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827" codeName="{00000000-0000-0000-0000-000000000000}"/>
  <workbookPr filterPrivacy="1" codeName="ThisWorkbook" defaultThemeVersion="124226"/>
  <xr:revisionPtr revIDLastSave="0" documentId="11_9A83F8EE7D773269440AF2303BFA894BE9AC9A89" xr6:coauthVersionLast="47" xr6:coauthVersionMax="47" xr10:uidLastSave="{00000000-0000-0000-0000-000000000000}"/>
  <bookViews>
    <workbookView xWindow="7020" yWindow="1050" windowWidth="20730" windowHeight="10500" tabRatio="904" xr2:uid="{00000000-000D-0000-FFFF-FFFF00000000}"/>
  </bookViews>
  <sheets>
    <sheet name="INDICE" sheetId="227" r:id="rId1"/>
    <sheet name="LB2018" sheetId="228" state="hidden" r:id="rId2"/>
    <sheet name="ACT2019" sheetId="229" state="hidden" r:id="rId3"/>
    <sheet name="ACT2020" sheetId="233" state="hidden" r:id="rId4"/>
    <sheet name="REPORTE" sheetId="232" state="hidden" r:id="rId5"/>
    <sheet name="lista" sheetId="239" state="hidden" r:id="rId6"/>
  </sheets>
  <definedNames>
    <definedName name="_xlnm._FilterDatabase" localSheetId="2" hidden="1">'ACT2019'!$A$14:$I$131</definedName>
    <definedName name="_xlnm._FilterDatabase" localSheetId="3" hidden="1">'ACT2020'!$A$14:$J$131</definedName>
    <definedName name="_xlnm._FilterDatabase" localSheetId="0" hidden="1">INDICE!$A$16:$FR$111</definedName>
    <definedName name="_xlnm._FilterDatabase" localSheetId="1" hidden="1">'LB2018'!#REF!</definedName>
    <definedName name="ANTOFAGASTA">#REF!</definedName>
    <definedName name="_xlnm.Print_Area" localSheetId="4">REPORTE!$A$1:$J$91</definedName>
    <definedName name="ATACAMA">#REF!</definedName>
    <definedName name="AYSÉN">#REF!</definedName>
    <definedName name="BASE18_SIL">#REF!</definedName>
    <definedName name="BIOBÍO">#REF!</definedName>
    <definedName name="COQUIMBO">#REF!</definedName>
    <definedName name="LB2018_V1">#REF!</definedName>
    <definedName name="MATRIZ18">#REF!</definedName>
    <definedName name="REGIÓN">#REF!</definedName>
    <definedName name="SEL_REG2020">'ACT2020'!$E$4</definedName>
    <definedName name="_xlnm.Print_Titles" localSheetId="4">REPORTE!$16:$16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91" i="232" l="1"/>
  <c r="J90" i="232"/>
  <c r="J89" i="232"/>
  <c r="J88" i="232"/>
  <c r="J87" i="232"/>
  <c r="J86" i="232"/>
  <c r="J85" i="232"/>
  <c r="J84" i="232"/>
  <c r="J83" i="232"/>
  <c r="J82" i="232"/>
  <c r="J81" i="232"/>
  <c r="J80" i="232"/>
  <c r="J79" i="232"/>
  <c r="J78" i="232"/>
  <c r="J77" i="232"/>
  <c r="J76" i="232"/>
  <c r="J75" i="232"/>
  <c r="J74" i="232"/>
  <c r="J73" i="232"/>
  <c r="J72" i="232"/>
  <c r="J71" i="232"/>
  <c r="J70" i="232"/>
  <c r="J69" i="232"/>
  <c r="J68" i="232"/>
  <c r="J67" i="232"/>
  <c r="J66" i="232"/>
  <c r="J65" i="232"/>
  <c r="J64" i="232"/>
  <c r="J63" i="232"/>
  <c r="J62" i="232"/>
  <c r="J61" i="232"/>
  <c r="J60" i="232"/>
  <c r="J59" i="232"/>
  <c r="J58" i="232"/>
  <c r="J57" i="232"/>
  <c r="J56" i="232"/>
  <c r="J55" i="232"/>
  <c r="J54" i="232"/>
  <c r="J53" i="232"/>
  <c r="J52" i="232"/>
  <c r="J51" i="232"/>
  <c r="J50" i="232"/>
  <c r="J49" i="232"/>
  <c r="J48" i="232"/>
  <c r="J47" i="232"/>
  <c r="J46" i="232"/>
  <c r="J45" i="232"/>
  <c r="J44" i="232"/>
  <c r="J43" i="232"/>
  <c r="J42" i="232"/>
  <c r="J41" i="232"/>
  <c r="J40" i="232"/>
  <c r="J39" i="232"/>
  <c r="J38" i="232"/>
  <c r="J37" i="232"/>
  <c r="J36" i="232"/>
  <c r="J35" i="232"/>
  <c r="J34" i="232"/>
  <c r="J33" i="232"/>
  <c r="I91" i="232"/>
  <c r="I90" i="232"/>
  <c r="I89" i="232"/>
  <c r="I88" i="232"/>
  <c r="I87" i="232"/>
  <c r="I86" i="232"/>
  <c r="I85" i="232"/>
  <c r="I84" i="232"/>
  <c r="I83" i="232"/>
  <c r="I82" i="232"/>
  <c r="I81" i="232"/>
  <c r="I80" i="232"/>
  <c r="I79" i="232"/>
  <c r="I78" i="232"/>
  <c r="I77" i="232"/>
  <c r="I76" i="232"/>
  <c r="I75" i="232"/>
  <c r="I74" i="232"/>
  <c r="I73" i="232"/>
  <c r="I72" i="232"/>
  <c r="I71" i="232"/>
  <c r="I70" i="232"/>
  <c r="I69" i="232"/>
  <c r="I68" i="232"/>
  <c r="I67" i="232"/>
  <c r="I66" i="232"/>
  <c r="I65" i="232"/>
  <c r="I64" i="232"/>
  <c r="I63" i="232"/>
  <c r="I62" i="232"/>
  <c r="I61" i="232"/>
  <c r="I60" i="232"/>
  <c r="I59" i="232"/>
  <c r="I58" i="232"/>
  <c r="I57" i="232"/>
  <c r="I56" i="232"/>
  <c r="I55" i="232"/>
  <c r="I54" i="232"/>
  <c r="I53" i="232"/>
  <c r="I52" i="232"/>
  <c r="I51" i="232"/>
  <c r="I50" i="232"/>
  <c r="I49" i="232"/>
  <c r="I48" i="232"/>
  <c r="I47" i="232"/>
  <c r="I46" i="232"/>
  <c r="I45" i="232"/>
  <c r="I44" i="232"/>
  <c r="I43" i="232"/>
  <c r="I42" i="232"/>
  <c r="I41" i="232"/>
  <c r="I40" i="232"/>
  <c r="I39" i="232"/>
  <c r="I38" i="232"/>
  <c r="I37" i="232"/>
  <c r="I36" i="232"/>
  <c r="I35" i="232"/>
  <c r="I34" i="232"/>
  <c r="I33" i="232"/>
  <c r="H91" i="232"/>
  <c r="H90" i="232"/>
  <c r="H89" i="232"/>
  <c r="H88" i="232"/>
  <c r="H87" i="232"/>
  <c r="H86" i="232"/>
  <c r="H85" i="232"/>
  <c r="H84" i="232"/>
  <c r="H83" i="232"/>
  <c r="H82" i="232"/>
  <c r="H81" i="232"/>
  <c r="H80" i="232"/>
  <c r="H79" i="232"/>
  <c r="H78" i="232"/>
  <c r="H77" i="232"/>
  <c r="H76" i="232"/>
  <c r="H75" i="232"/>
  <c r="H74" i="232"/>
  <c r="H73" i="232"/>
  <c r="H72" i="232"/>
  <c r="H71" i="232"/>
  <c r="H70" i="232"/>
  <c r="H69" i="232"/>
  <c r="H68" i="232"/>
  <c r="H67" i="232"/>
  <c r="H66" i="232"/>
  <c r="H65" i="232"/>
  <c r="H64" i="232"/>
  <c r="H63" i="232"/>
  <c r="H62" i="232"/>
  <c r="H61" i="232"/>
  <c r="H60" i="232"/>
  <c r="H59" i="232"/>
  <c r="H58" i="232"/>
  <c r="H57" i="232"/>
  <c r="H56" i="232"/>
  <c r="H55" i="232"/>
  <c r="H54" i="232"/>
  <c r="H53" i="232"/>
  <c r="H52" i="232"/>
  <c r="H51" i="232"/>
  <c r="H50" i="232"/>
  <c r="H49" i="232"/>
  <c r="H48" i="232"/>
  <c r="H47" i="232"/>
  <c r="H46" i="232"/>
  <c r="H45" i="232"/>
  <c r="H44" i="232"/>
  <c r="H43" i="232"/>
  <c r="H42" i="232"/>
  <c r="H41" i="232"/>
  <c r="H40" i="232"/>
  <c r="H39" i="232"/>
  <c r="H38" i="232"/>
  <c r="H37" i="232"/>
  <c r="H36" i="232"/>
  <c r="H35" i="232"/>
  <c r="H34" i="232"/>
  <c r="H33" i="232"/>
  <c r="S18" i="227" l="1"/>
  <c r="S19" i="227"/>
  <c r="S20" i="227"/>
  <c r="S21" i="227"/>
  <c r="S22" i="227"/>
  <c r="S23" i="227"/>
  <c r="S24" i="227"/>
  <c r="S25" i="227"/>
  <c r="S26" i="227"/>
  <c r="S27" i="227"/>
  <c r="S28" i="227"/>
  <c r="S29" i="227"/>
  <c r="S30" i="227"/>
  <c r="S31" i="227"/>
  <c r="S32" i="227"/>
  <c r="S33" i="227"/>
  <c r="S34" i="227"/>
  <c r="S35" i="227"/>
  <c r="S36" i="227"/>
  <c r="S37" i="227"/>
  <c r="S38" i="227"/>
  <c r="S39" i="227"/>
  <c r="S40" i="227"/>
  <c r="S41" i="227"/>
  <c r="S42" i="227"/>
  <c r="S43" i="227"/>
  <c r="S44" i="227"/>
  <c r="S45" i="227"/>
  <c r="S46" i="227"/>
  <c r="S47" i="227"/>
  <c r="S48" i="227"/>
  <c r="S49" i="227"/>
  <c r="S50" i="227"/>
  <c r="S51" i="227"/>
  <c r="S52" i="227"/>
  <c r="S53" i="227"/>
  <c r="S54" i="227"/>
  <c r="S55" i="227"/>
  <c r="S56" i="227"/>
  <c r="S57" i="227"/>
  <c r="S58" i="227"/>
  <c r="S59" i="227"/>
  <c r="S60" i="227"/>
  <c r="S61" i="227"/>
  <c r="S62" i="227"/>
  <c r="S63" i="227"/>
  <c r="S64" i="227"/>
  <c r="S65" i="227"/>
  <c r="S66" i="227"/>
  <c r="S67" i="227"/>
  <c r="S68" i="227"/>
  <c r="S69" i="227"/>
  <c r="S70" i="227"/>
  <c r="S71" i="227"/>
  <c r="S72" i="227"/>
  <c r="S73" i="227"/>
  <c r="S74" i="227"/>
  <c r="S75" i="227"/>
  <c r="S76" i="227"/>
  <c r="S77" i="227"/>
  <c r="S78" i="227"/>
  <c r="S79" i="227"/>
  <c r="S80" i="227"/>
  <c r="S81" i="227"/>
  <c r="S82" i="227"/>
  <c r="S83" i="227"/>
  <c r="S84" i="227"/>
  <c r="S85" i="227"/>
  <c r="S86" i="227"/>
  <c r="S87" i="227"/>
  <c r="S88" i="227"/>
  <c r="S89" i="227"/>
  <c r="S90" i="227"/>
  <c r="S91" i="227"/>
  <c r="S92" i="227"/>
  <c r="S93" i="227"/>
  <c r="S94" i="227"/>
  <c r="S95" i="227"/>
  <c r="S96" i="227"/>
  <c r="S97" i="227"/>
  <c r="S98" i="227"/>
  <c r="S99" i="227"/>
  <c r="S100" i="227"/>
  <c r="S101" i="227"/>
  <c r="S102" i="227"/>
  <c r="S103" i="227"/>
  <c r="S104" i="227"/>
  <c r="S105" i="227"/>
  <c r="S106" i="227"/>
  <c r="S107" i="227"/>
  <c r="S108" i="227"/>
  <c r="S109" i="227"/>
  <c r="S110" i="227"/>
  <c r="S17" i="227"/>
  <c r="B74" i="232" l="1"/>
  <c r="B75" i="232"/>
  <c r="Q111" i="227" l="1"/>
  <c r="R111" i="227"/>
  <c r="P111" i="227"/>
  <c r="J142" i="232" l="1"/>
  <c r="I142" i="232"/>
  <c r="H142" i="232"/>
  <c r="B142" i="232"/>
  <c r="J131" i="232"/>
  <c r="J130" i="232"/>
  <c r="J129" i="232"/>
  <c r="J128" i="232"/>
  <c r="J127" i="232"/>
  <c r="I131" i="232"/>
  <c r="I130" i="232"/>
  <c r="I129" i="232"/>
  <c r="I128" i="232"/>
  <c r="I127" i="232"/>
  <c r="H131" i="232"/>
  <c r="H130" i="232"/>
  <c r="H129" i="232"/>
  <c r="H128" i="232"/>
  <c r="H127" i="232"/>
  <c r="H116" i="232"/>
  <c r="H115" i="232"/>
  <c r="H114" i="232"/>
  <c r="H113" i="232"/>
  <c r="H112" i="232"/>
  <c r="H111" i="232"/>
  <c r="H110" i="232"/>
  <c r="H109" i="232"/>
  <c r="H108" i="232"/>
  <c r="H107" i="232"/>
  <c r="H106" i="232"/>
  <c r="H105" i="232"/>
  <c r="H104" i="232"/>
  <c r="J116" i="232"/>
  <c r="J115" i="232"/>
  <c r="J114" i="232"/>
  <c r="J113" i="232"/>
  <c r="J112" i="232"/>
  <c r="J111" i="232"/>
  <c r="J110" i="232"/>
  <c r="J109" i="232"/>
  <c r="J108" i="232"/>
  <c r="J107" i="232"/>
  <c r="J106" i="232"/>
  <c r="J105" i="232"/>
  <c r="I116" i="232"/>
  <c r="I115" i="232"/>
  <c r="I114" i="232"/>
  <c r="I113" i="232"/>
  <c r="I112" i="232"/>
  <c r="I111" i="232"/>
  <c r="I110" i="232"/>
  <c r="I109" i="232"/>
  <c r="I108" i="232"/>
  <c r="I107" i="232"/>
  <c r="I106" i="232"/>
  <c r="I105" i="232"/>
  <c r="J104" i="232"/>
  <c r="I104" i="232"/>
  <c r="J32" i="232" l="1"/>
  <c r="J31" i="232"/>
  <c r="J30" i="232"/>
  <c r="J29" i="232"/>
  <c r="J28" i="232"/>
  <c r="J27" i="232"/>
  <c r="J26" i="232"/>
  <c r="J25" i="232"/>
  <c r="J24" i="232"/>
  <c r="J23" i="232"/>
  <c r="J22" i="232"/>
  <c r="J21" i="232"/>
  <c r="J20" i="232"/>
  <c r="J19" i="232"/>
  <c r="J18" i="232"/>
  <c r="J17" i="232"/>
  <c r="I32" i="232"/>
  <c r="I31" i="232"/>
  <c r="I30" i="232"/>
  <c r="I29" i="232"/>
  <c r="I28" i="232"/>
  <c r="I27" i="232"/>
  <c r="I26" i="232"/>
  <c r="I25" i="232"/>
  <c r="I24" i="232"/>
  <c r="I23" i="232"/>
  <c r="I22" i="232"/>
  <c r="I21" i="232"/>
  <c r="I20" i="232"/>
  <c r="I19" i="232"/>
  <c r="I18" i="232"/>
  <c r="I17" i="232"/>
  <c r="H32" i="232"/>
  <c r="H31" i="232"/>
  <c r="H30" i="232"/>
  <c r="H29" i="232"/>
  <c r="H28" i="232"/>
  <c r="H27" i="232"/>
  <c r="H26" i="232"/>
  <c r="H25" i="232"/>
  <c r="H24" i="232"/>
  <c r="H23" i="232"/>
  <c r="H22" i="232"/>
  <c r="H21" i="232"/>
  <c r="H20" i="232"/>
  <c r="H19" i="232"/>
  <c r="H18" i="232"/>
  <c r="B33" i="232"/>
  <c r="B34" i="232"/>
  <c r="B35" i="232"/>
  <c r="B36" i="232"/>
  <c r="B37" i="232"/>
  <c r="B38" i="232"/>
  <c r="B39" i="232"/>
  <c r="B40" i="232"/>
  <c r="B41" i="232"/>
  <c r="B42" i="232"/>
  <c r="B43" i="232"/>
  <c r="B44" i="232"/>
  <c r="B45" i="232"/>
  <c r="B46" i="232"/>
  <c r="B47" i="232"/>
  <c r="B48" i="232"/>
  <c r="B49" i="232"/>
  <c r="B50" i="232"/>
  <c r="B51" i="232"/>
  <c r="B52" i="232"/>
  <c r="B53" i="232"/>
  <c r="B54" i="232"/>
  <c r="B55" i="232"/>
  <c r="B56" i="232"/>
  <c r="B57" i="232"/>
  <c r="B58" i="232"/>
  <c r="B59" i="232"/>
  <c r="B60" i="232"/>
  <c r="B61" i="232"/>
  <c r="B62" i="232"/>
  <c r="B63" i="232"/>
  <c r="B64" i="232"/>
  <c r="B65" i="232"/>
  <c r="B66" i="232"/>
  <c r="B67" i="232"/>
  <c r="B68" i="232"/>
  <c r="B69" i="232"/>
  <c r="B70" i="232"/>
  <c r="B71" i="232"/>
  <c r="B72" i="232"/>
  <c r="B73" i="232"/>
  <c r="B76" i="232"/>
  <c r="B77" i="232"/>
  <c r="B78" i="232"/>
  <c r="B79" i="232"/>
  <c r="B80" i="232"/>
  <c r="B81" i="232"/>
  <c r="B82" i="232"/>
  <c r="B83" i="232"/>
  <c r="B84" i="232"/>
  <c r="B85" i="232"/>
  <c r="B86" i="232"/>
  <c r="B87" i="232"/>
  <c r="B88" i="232"/>
  <c r="B89" i="232"/>
  <c r="B90" i="232"/>
  <c r="B91" i="232"/>
  <c r="B21" i="232"/>
  <c r="B18" i="232"/>
  <c r="B19" i="232"/>
  <c r="B20" i="232"/>
  <c r="B22" i="232"/>
  <c r="B23" i="232"/>
  <c r="B24" i="232"/>
  <c r="B25" i="232"/>
  <c r="B26" i="232"/>
  <c r="B27" i="232"/>
  <c r="B28" i="232"/>
  <c r="B29" i="232"/>
  <c r="B30" i="232"/>
  <c r="B32" i="232"/>
  <c r="B17" i="232"/>
  <c r="H17" i="232"/>
  <c r="B105" i="232" l="1"/>
  <c r="B106" i="232"/>
  <c r="B107" i="232"/>
  <c r="B108" i="232"/>
  <c r="B109" i="232"/>
  <c r="B110" i="232"/>
  <c r="B111" i="232"/>
  <c r="B112" i="232"/>
  <c r="B113" i="232"/>
  <c r="B127" i="232"/>
  <c r="B128" i="232"/>
  <c r="B129" i="232"/>
  <c r="B130" i="232"/>
  <c r="B131" i="232"/>
  <c r="B114" i="232"/>
  <c r="B115" i="232"/>
  <c r="B116" i="232"/>
  <c r="B104" i="232"/>
</calcChain>
</file>

<file path=xl/sharedStrings.xml><?xml version="1.0" encoding="utf-8"?>
<sst xmlns="http://schemas.openxmlformats.org/spreadsheetml/2006/main" count="22561" uniqueCount="636">
  <si>
    <t>MENÚ</t>
  </si>
  <si>
    <r>
      <rPr>
        <b/>
        <sz val="10"/>
        <color theme="3"/>
        <rFont val="Calibri"/>
        <family val="2"/>
        <scheme val="minor"/>
      </rPr>
      <t>Nota:</t>
    </r>
    <r>
      <rPr>
        <sz val="10"/>
        <color theme="3"/>
        <rFont val="Calibri"/>
        <family val="2"/>
        <scheme val="minor"/>
      </rPr>
      <t xml:space="preserve"> El Instituto Nacional de Estadísticas (INE) establece la población oficial de Chile según su División Político-Administrativa, esta población es diseminada a través de la publicación de las Estimaciones y Proyecciones de Población para los niveles: país, región, región urbana/rural, comuna y comuna urbano/rural. Todas disponibles en: &lt;https://www.ine.gob.cl/estadisticas/sociales/demografia-y-vitales/proyecciones-de-poblacion&gt;.
El Siedu, iniciativa conjunta entre el Consejo Nacional de Desarrollo Urbano (CNDU) y el INE para medir la calidad de vida en las ciudades chilenas, utiliza un método de estimación de la población para niveles territoriales urbanos bajo comuna, el cual es empleado en un subconjunto de indicadores de esta iniciativa (indicadores BPU_1, BPU_20, BPU_22, BPU_28a, BPU_28b, BPU_29, BPU_3, BPU_4, BPU_7, BPU_25, EA_202, EA_10, EA_90, BPU_13, EA_201, EA_48). Esta información es estrictamente funcional a los indicadores referenciados y no genera, ni constituye, en ningún caso, una población oficial para los niveles definidos por la División Político-Administrativa del país, ni para los estratos urbano y rural, sólo información específica para obtener cada indicador, circunscrita al respectivo estudio para el cual fue originado.</t>
    </r>
  </si>
  <si>
    <t>INSTRUCCIONES DE USO</t>
  </si>
  <si>
    <t>1) El libro de Excel se maneja haciendo click con el cursor en las opciones del menú ubicado en la barra superior.</t>
  </si>
  <si>
    <r>
      <t>2) Botón</t>
    </r>
    <r>
      <rPr>
        <b/>
        <i/>
        <sz val="11"/>
        <color theme="3"/>
        <rFont val="Calibri"/>
        <family val="2"/>
        <scheme val="minor"/>
      </rPr>
      <t xml:space="preserve"> Índice</t>
    </r>
    <r>
      <rPr>
        <sz val="11"/>
        <color theme="3"/>
        <rFont val="Calibri"/>
        <family val="2"/>
        <scheme val="minor"/>
      </rPr>
      <t>: muestra planilla que contiene el catálogo completo de indicadores de Siedu para todas las mediciones. En él se puede visualizar las mediciones disponibles por cada indicador en el campo</t>
    </r>
    <r>
      <rPr>
        <i/>
        <sz val="11"/>
        <color theme="3"/>
        <rFont val="Calibri"/>
        <family val="2"/>
        <scheme val="minor"/>
      </rPr>
      <t xml:space="preserve"> Mediciones disponibles por indicador.</t>
    </r>
  </si>
  <si>
    <r>
      <t>2)Botón</t>
    </r>
    <r>
      <rPr>
        <b/>
        <sz val="11"/>
        <color theme="3"/>
        <rFont val="Calibri"/>
        <family val="2"/>
        <scheme val="minor"/>
      </rPr>
      <t xml:space="preserve"> </t>
    </r>
    <r>
      <rPr>
        <b/>
        <i/>
        <sz val="11"/>
        <color theme="3"/>
        <rFont val="Calibri"/>
        <family val="2"/>
        <scheme val="minor"/>
      </rPr>
      <t>LB2018, ACT2019, ACT2020, ACT2021, ACT2022</t>
    </r>
    <r>
      <rPr>
        <sz val="11"/>
        <color theme="3"/>
        <rFont val="Calibri"/>
        <family val="2"/>
        <scheme val="minor"/>
      </rPr>
      <t>: muestra planilla consolidada para cada medición con los indicadores disponibles en cada una de ellas. A su vez, en cada medición se dispone de un botón que dirige a la tabla que contiene los indicadores con resultados agregados por comuna o ciudad.</t>
    </r>
  </si>
  <si>
    <r>
      <t>3) Botón</t>
    </r>
    <r>
      <rPr>
        <i/>
        <sz val="11"/>
        <color theme="3"/>
        <rFont val="Calibri"/>
        <family val="2"/>
        <scheme val="minor"/>
      </rPr>
      <t xml:space="preserve"> </t>
    </r>
    <r>
      <rPr>
        <b/>
        <i/>
        <sz val="11"/>
        <color theme="3"/>
        <rFont val="Calibri"/>
        <family val="2"/>
        <scheme val="minor"/>
      </rPr>
      <t>Reportes</t>
    </r>
    <r>
      <rPr>
        <sz val="11"/>
        <color theme="3"/>
        <rFont val="Calibri"/>
        <family val="2"/>
        <scheme val="minor"/>
      </rPr>
      <t>: permite seleccionar una comuna o ciudad para visualizar tanto, los indicadores como las mediciones disponibles.</t>
    </r>
  </si>
  <si>
    <t>Compromiso</t>
  </si>
  <si>
    <t>Atributo</t>
  </si>
  <si>
    <t>ID</t>
  </si>
  <si>
    <t>Estándar CNDU</t>
  </si>
  <si>
    <t>Tipo: evaluación o caracterización</t>
  </si>
  <si>
    <t>Indicador / Título del recurso</t>
  </si>
  <si>
    <t>Escala de resultados</t>
  </si>
  <si>
    <t>Mediciones disponibles por indicador</t>
  </si>
  <si>
    <t>LB2018</t>
  </si>
  <si>
    <t>ACT2019</t>
  </si>
  <si>
    <t>ACT2020</t>
  </si>
  <si>
    <t>Número de mediciones por indicador</t>
  </si>
  <si>
    <t>1. Mejor acceso a servicios y equipamientos públicos básicos</t>
  </si>
  <si>
    <t>Accesibilidad a áreas verdes</t>
  </si>
  <si>
    <t>BPU_20</t>
  </si>
  <si>
    <t>Hasta 400 metros de distancia</t>
  </si>
  <si>
    <t>Evaluación</t>
  </si>
  <si>
    <t>Distancia a plazas públicas.</t>
  </si>
  <si>
    <t>Comuna</t>
  </si>
  <si>
    <t>ü</t>
  </si>
  <si>
    <t>BPU_21</t>
  </si>
  <si>
    <t>Sin estándar</t>
  </si>
  <si>
    <t>Superficie de plazas públicas por habitante que cumple estándar de distancia (400 metros).</t>
  </si>
  <si>
    <t>BPU_22</t>
  </si>
  <si>
    <t>Hasta 3.000 metros de distancia</t>
  </si>
  <si>
    <t>Distancia a parques públicos.</t>
  </si>
  <si>
    <t>BPU_23</t>
  </si>
  <si>
    <t>Superficie de parques públicos por habitante que cumple estándar de distancia (3.000 metros).</t>
  </si>
  <si>
    <t>BPU_28a</t>
  </si>
  <si>
    <t>Porcentaje de población atendida por el sistema de plazas públicas.</t>
  </si>
  <si>
    <t>BPU_28b</t>
  </si>
  <si>
    <t>Porcentaje de población atendida por el sistema de parques públicos.</t>
  </si>
  <si>
    <t>BPU_29</t>
  </si>
  <si>
    <t>Desde 10 metros cuadrados / habitante</t>
  </si>
  <si>
    <t>Superficie de áreas verdes públicas por habitante.</t>
  </si>
  <si>
    <t>Accesibilidad a salud primaria pública</t>
  </si>
  <si>
    <t>BPU_7</t>
  </si>
  <si>
    <t>Hasta 1.500 metros de distancia</t>
  </si>
  <si>
    <t>Distancia a centros de salud primaria.</t>
  </si>
  <si>
    <t>BPU_8</t>
  </si>
  <si>
    <t>Cantidad de jornadas diarias completas de trabajo de médicos, en salud primaria, por cada 10.000 habitantes.</t>
  </si>
  <si>
    <t>Accesibilidad educación básica</t>
  </si>
  <si>
    <t>BPU_3</t>
  </si>
  <si>
    <t>Hasta 1.000 metros de distancia</t>
  </si>
  <si>
    <t>Distancia a establecimientos de educación básica.</t>
  </si>
  <si>
    <t>BPU_4</t>
  </si>
  <si>
    <t>Desde 1</t>
  </si>
  <si>
    <t>Razón entre disponibilidad efectiva de matrículas y demanda potencial por educación básica.</t>
  </si>
  <si>
    <t>Accesibilidad educación inicial</t>
  </si>
  <si>
    <t>BPU_1</t>
  </si>
  <si>
    <t>Distancia a establecimientos de educación inicial.</t>
  </si>
  <si>
    <t>2. Mejor acceso a movilidad sustentable</t>
  </si>
  <si>
    <t>Accesibilidad y cobertura del transporte público</t>
  </si>
  <si>
    <t>BPU_25</t>
  </si>
  <si>
    <t>400 metros de distancia máxima</t>
  </si>
  <si>
    <t>Distancia a paraderos de transporte público mayor.</t>
  </si>
  <si>
    <t>BPU_26</t>
  </si>
  <si>
    <t>Densidad de oferta planificada de transporte público mayor en periodo punta mañana, por persona.</t>
  </si>
  <si>
    <t>BPU_26*</t>
  </si>
  <si>
    <t>Densidad de la oferta real de transporte público mayor en periodo punta mañana, por persona.</t>
  </si>
  <si>
    <t>BPU_26b</t>
  </si>
  <si>
    <t>Densidad de oferta planificada de transporte público menor en periodo punta mañana, por persona.</t>
  </si>
  <si>
    <t>DE_36</t>
  </si>
  <si>
    <t>90% o más de población cubierta dentro de la red de transporte público mayor</t>
  </si>
  <si>
    <t>Porcentaje de la población dentro del área de influencia de la red de transporte público mayor.</t>
  </si>
  <si>
    <t>Ciudad</t>
  </si>
  <si>
    <t>Condiciones para la movilidad activa</t>
  </si>
  <si>
    <t>EA_93</t>
  </si>
  <si>
    <t>Caracterización</t>
  </si>
  <si>
    <t>Porcentaje de cobertura de la red de ciclovía sobre la red vial.</t>
  </si>
  <si>
    <t>EA_202</t>
  </si>
  <si>
    <t>Porcentaje de población atendida por la red de ciclovías.</t>
  </si>
  <si>
    <t>Conectividad urbana</t>
  </si>
  <si>
    <t>DE_25</t>
  </si>
  <si>
    <t>Promedio de intersecciones relevantes cada 1,44 km².</t>
  </si>
  <si>
    <t>Congestión</t>
  </si>
  <si>
    <t>DE_33</t>
  </si>
  <si>
    <t>Relación entre el tiempo de viaje en hora punta respecto del tiempo de viaje fuera de hora punta.</t>
  </si>
  <si>
    <t>Partición modal</t>
  </si>
  <si>
    <t>DE_102</t>
  </si>
  <si>
    <t>Partición modal del transporte público (número de viajes en transporte público respecto al número total de viajes).</t>
  </si>
  <si>
    <t>DE_105</t>
  </si>
  <si>
    <t>Partición modal del transporte sustentable (suma de viajes en transporte público, caminata y bicicleta respecto al número total de viajes).</t>
  </si>
  <si>
    <t>Tiempos de viaje</t>
  </si>
  <si>
    <t>DE_16</t>
  </si>
  <si>
    <t>Hasta 60 minutos</t>
  </si>
  <si>
    <t>Tiempo de viaje en hora punta mañana.</t>
  </si>
  <si>
    <t>DE_29</t>
  </si>
  <si>
    <t>Tiempo de viaje en transporte público en hora punta mañana.</t>
  </si>
  <si>
    <t>DE_200</t>
  </si>
  <si>
    <t xml:space="preserve">Proporción de viajes con una duración mayor o igual a 45 minutos. </t>
  </si>
  <si>
    <t>DE_201</t>
  </si>
  <si>
    <t>Proporción de viajes de estudio y trabajo con una duración mayor o igual a 45 minutos.</t>
  </si>
  <si>
    <t>DE_202</t>
  </si>
  <si>
    <t>Proporción de viajes totales en transporte público con una duración mayor o igual a 45 minutos.</t>
  </si>
  <si>
    <t>DE_203</t>
  </si>
  <si>
    <t>Proporción de viajes totales en transporte privado con una duración mayor o igual a 45 minutos.</t>
  </si>
  <si>
    <t>Seguridad vial</t>
  </si>
  <si>
    <t>DE_28</t>
  </si>
  <si>
    <t>Número de víctimas mortales en siniestros de tránsito por cada 100.000 habitantes.</t>
  </si>
  <si>
    <t>DE_31</t>
  </si>
  <si>
    <t>Número de víctimas lesionadas en siniestros de tránsito por cada 100.000 habitantes.</t>
  </si>
  <si>
    <t>3. Mejor calidad del medio ambiente urbano</t>
  </si>
  <si>
    <t>Contaminación Atmosférica</t>
  </si>
  <si>
    <t>EA_16</t>
  </si>
  <si>
    <t xml:space="preserve">Hasta 50 µg/m³
</t>
  </si>
  <si>
    <t>Cumplimiento norma diaria de Material Particulado 2,5.</t>
  </si>
  <si>
    <t>EA_42</t>
  </si>
  <si>
    <t>Hasta 50 µg/m³</t>
  </si>
  <si>
    <t>Existencia de estación de monitoreo de Material Particulado 2,5 con registros validados.</t>
  </si>
  <si>
    <t>EA_47</t>
  </si>
  <si>
    <t>Número de episodios críticos de contaminación por Material Particulado fino (MP 2,5).</t>
  </si>
  <si>
    <t>Contaminación por ruido</t>
  </si>
  <si>
    <t>EA_10</t>
  </si>
  <si>
    <t>Ld &gt; 65 dBA OCDE</t>
  </si>
  <si>
    <t>Porcentaje de personas potencialmente expuestas a niveles de ruido diurno inaceptables (Ld &gt; 65 dBA OCDE).</t>
  </si>
  <si>
    <t>EA_90</t>
  </si>
  <si>
    <t>Ln &gt; 55 dBA OCDE</t>
  </si>
  <si>
    <t>Porcentaje de personas potencialmente expuestas a niveles de ruido nocturno inaceptables (Ln &gt; 55 dBA OCDE).</t>
  </si>
  <si>
    <t>Eficiencia de uso del Agua Potable</t>
  </si>
  <si>
    <t>EA_8</t>
  </si>
  <si>
    <t>Consumo de agua potable residencial per cápita al día.</t>
  </si>
  <si>
    <t>EA_9</t>
  </si>
  <si>
    <t>Porcentaje de agua no facturada.</t>
  </si>
  <si>
    <t>Eficiencia en la gestión de residuos</t>
  </si>
  <si>
    <t>EA_34</t>
  </si>
  <si>
    <t>Hasta 1 kilogramo / habitante / día</t>
  </si>
  <si>
    <t>Cantidad de Residuos eliminados con disposición final per cápita.</t>
  </si>
  <si>
    <t>EA_36</t>
  </si>
  <si>
    <t>Porcentaje de residuos municipales valorizados.</t>
  </si>
  <si>
    <t>EA_35</t>
  </si>
  <si>
    <t>Número de microbasurales por cada 10.000 habitantes.</t>
  </si>
  <si>
    <t>Eficiencia Energética</t>
  </si>
  <si>
    <t>EA_22</t>
  </si>
  <si>
    <t>Consumo de energía eléctrica per cápita residencial.</t>
  </si>
  <si>
    <t>EA_22a</t>
  </si>
  <si>
    <t>Consumo de energía eléctrica per cápita no residencial.</t>
  </si>
  <si>
    <t>EA_23</t>
  </si>
  <si>
    <t>Porcentaje de aporte de energía eléctrica proveniente de paneles solares residenciales.</t>
  </si>
  <si>
    <t>Infraestructura Ecológica</t>
  </si>
  <si>
    <t>IP_33a</t>
  </si>
  <si>
    <t>Superficie del Continuo de Construcciones Urbanas (CCU).</t>
  </si>
  <si>
    <t>IP_33b</t>
  </si>
  <si>
    <t>Superficie de suelos de alto valor agrícola, según clases de suelo, próximas al CCU.</t>
  </si>
  <si>
    <t>IP_33c</t>
  </si>
  <si>
    <t>Superficie de sitios prioritarios para la conservación próximos al CCU.</t>
  </si>
  <si>
    <t>EA_53</t>
  </si>
  <si>
    <t>Porcentaje de la superficie cubierta por vegetación total.</t>
  </si>
  <si>
    <t>EA_53a</t>
  </si>
  <si>
    <t>Porcentaje de la superficie cubierta por vegetación densa.</t>
  </si>
  <si>
    <t>4. Mayor integración social y calidad de barrios y viviendas</t>
  </si>
  <si>
    <t>Accesibilidad Digital Domiciliaria</t>
  </si>
  <si>
    <t>BPU_24</t>
  </si>
  <si>
    <t>Tasa de conexiones residenciales fijas de internet por cada 1.000 viviendas particulares.</t>
  </si>
  <si>
    <t>BPU_201</t>
  </si>
  <si>
    <t>Tasa de conexiones residenciales fijas de internet por cada 100 habitantes.</t>
  </si>
  <si>
    <t>Acceso a servicios energéticos básicos domiciliarios</t>
  </si>
  <si>
    <t>IS_91</t>
  </si>
  <si>
    <t>Indisponibilidad de suministro eléctrico - indicador SAIDI anual.</t>
  </si>
  <si>
    <t>Calidad del espacio público</t>
  </si>
  <si>
    <t>IS_40</t>
  </si>
  <si>
    <t>100% de veredas en buen estado</t>
  </si>
  <si>
    <t>Porcentaje de manzanas con veredas con buena calidad de pavimento.</t>
  </si>
  <si>
    <t>BPU_17</t>
  </si>
  <si>
    <t>Cantidad de luminarias cada 50 metros lineales de red vial.</t>
  </si>
  <si>
    <t>Déficit habitacional cualitativo</t>
  </si>
  <si>
    <t>IS_31</t>
  </si>
  <si>
    <t>Hasta 10%</t>
  </si>
  <si>
    <t>Porcentaje de viviendas particulares que requieren mejoras de materialidad y/o servicios básicos.</t>
  </si>
  <si>
    <t>Déficit habitacional cuantitativo</t>
  </si>
  <si>
    <t>IS_32</t>
  </si>
  <si>
    <t>Requerimiento de viviendas nuevas urbanas.</t>
  </si>
  <si>
    <t>IS_33</t>
  </si>
  <si>
    <t>Porcentaje de viviendas en situación de hacinamiento.</t>
  </si>
  <si>
    <t>IS_34</t>
  </si>
  <si>
    <t>Porcentaje de viviendas con situación de allegamiento externo.</t>
  </si>
  <si>
    <t>EA_33</t>
  </si>
  <si>
    <t>Porcentaje de la superficie de campamentos respecto del área urbana.</t>
  </si>
  <si>
    <t>EA_33a</t>
  </si>
  <si>
    <t>Densidad de hogares en campamentos.</t>
  </si>
  <si>
    <t>Hogares en situación de pobreza</t>
  </si>
  <si>
    <t>IS_36</t>
  </si>
  <si>
    <t>Porcentaje de la población en situación de pobreza por ingresos.</t>
  </si>
  <si>
    <t>IS_37</t>
  </si>
  <si>
    <t>Porcentaje de la población en situación de pobreza multidimensional.</t>
  </si>
  <si>
    <t>Migrantes Internacionales</t>
  </si>
  <si>
    <t>IS_201</t>
  </si>
  <si>
    <t>Población estimada de migrantes internacionales por comuna.</t>
  </si>
  <si>
    <t>Proximidad residencial de grupos de distinto NSE</t>
  </si>
  <si>
    <t>IS_39</t>
  </si>
  <si>
    <t>100% de las unidades vecinales (UV) de una comuna con un mínimo de 20% y un máximo de 60% de población vulnerable</t>
  </si>
  <si>
    <t>Porcentaje de unidades vecinales de la comuna que tienen entre 20% y 60% de hogares vulnerables.</t>
  </si>
  <si>
    <t>IS_39a</t>
  </si>
  <si>
    <t>Índice de segregación de la población vulnerable.</t>
  </si>
  <si>
    <t>Seguridad ciudadana</t>
  </si>
  <si>
    <t>IS_58a</t>
  </si>
  <si>
    <t>Tasa de víctimas de delitos violentos por casos policiales cada 10.000 habitantes</t>
  </si>
  <si>
    <t>IS_58b</t>
  </si>
  <si>
    <t>Tasa de víctimas de delitos contra la propiedad por casos policiales cada 10.000 habitantes</t>
  </si>
  <si>
    <t>IS_58c</t>
  </si>
  <si>
    <t>Tasa de víctimas de delitos violencia intrafamiliar por casos policiales cada 10.000 habitantes</t>
  </si>
  <si>
    <t>BPU_13</t>
  </si>
  <si>
    <t>Distancia a una unidad o destacamento destinado al servicio operativo de Carabineros.</t>
  </si>
  <si>
    <t>5. Más y mejor planificación de ciudades y regiones</t>
  </si>
  <si>
    <t>Conectividad e integración espacial con el entorno urbano de urbanizaciones nuevas y existentes</t>
  </si>
  <si>
    <t>IS_20</t>
  </si>
  <si>
    <t>Porcentaje de continuidad de la infraestructura vial en las áreas de crecimiento urbano.</t>
  </si>
  <si>
    <t>Consumo y uso eficiente del suelo urbano</t>
  </si>
  <si>
    <t>EA_31</t>
  </si>
  <si>
    <t>Tasa de crecimiento anual de la extensión física urbana.</t>
  </si>
  <si>
    <t>IS_5</t>
  </si>
  <si>
    <t>Diferencia entre el valor de suelo más alto y el más bajo entre las áreas homogéneas urbanas definidas por el Servicio de Impuestos Internos.</t>
  </si>
  <si>
    <t>Exposición de la población a amenazas naturales</t>
  </si>
  <si>
    <t>EA_48</t>
  </si>
  <si>
    <t>Porcentaje de población expuesta a inundación por tsunami.</t>
  </si>
  <si>
    <t>Exposición del equipamiento crítico a amenazas naturales</t>
  </si>
  <si>
    <t>EA_41</t>
  </si>
  <si>
    <t>Porcentaje de equipamiento crítico expuesto a inundación por tsunami.</t>
  </si>
  <si>
    <t>Proceso de descentralización urbana</t>
  </si>
  <si>
    <t>IG_1</t>
  </si>
  <si>
    <t>Porcentaje de la inversión nacional a escala comunal en la que participa el municipio como institución contratante.</t>
  </si>
  <si>
    <t>Planificación urbana</t>
  </si>
  <si>
    <t>IG_66</t>
  </si>
  <si>
    <t>PRC vigente o actualizado en menos de 10 años</t>
  </si>
  <si>
    <t>Plan Regulador Comunal actualizado en los últimos 10 años.</t>
  </si>
  <si>
    <t>6. Mayor crecimiento económico inclusivo y sostenible para el desarrollo urbano</t>
  </si>
  <si>
    <t>Autonomía y gestión municipal</t>
  </si>
  <si>
    <t>DE_3</t>
  </si>
  <si>
    <t>Hasta 30%</t>
  </si>
  <si>
    <t>Participación del Fondo Común Municipal (FCM) en el ingreso municipal total (descontadas las transferencias).</t>
  </si>
  <si>
    <t>Estado y calidad del mercado laboral</t>
  </si>
  <si>
    <t>DE_99</t>
  </si>
  <si>
    <t>Porcentaje de ocupados que trabajan en el sector primario.</t>
  </si>
  <si>
    <t>DE_100</t>
  </si>
  <si>
    <t>Porcentaje de ocupados que trabajan en el sector secundario.</t>
  </si>
  <si>
    <t>DE_101</t>
  </si>
  <si>
    <t>Porcentaje de ocupados que trabajan en el sector terciario.</t>
  </si>
  <si>
    <t>DE_18</t>
  </si>
  <si>
    <t>Hasta 5%</t>
  </si>
  <si>
    <t>Tasa de desocupación.</t>
  </si>
  <si>
    <t>DE_98</t>
  </si>
  <si>
    <t>Porcentaje de ocupados por cuenta propia, respecto del total de personas ocupadas.</t>
  </si>
  <si>
    <t>7. Mayor protección de nuestro patrimonio cultural</t>
  </si>
  <si>
    <t>Coherencia de fondos públicos</t>
  </si>
  <si>
    <t>IP_6</t>
  </si>
  <si>
    <t>Porcentaje de inversión pública destinada a proyectos que tienen procesos de intervención de restauración de inmuebles patrimoniales sobre el total de inversión destinada a proyectos con recomendación favorable.</t>
  </si>
  <si>
    <t>Coherencia de la norma aplicada, a inmuebles y áreas patrimoniales</t>
  </si>
  <si>
    <t>IP_34</t>
  </si>
  <si>
    <t>Zonas de Conservación Histórica (ZCH) con norma urbana específica (Plano Seccional/ Plano de Detalle) en Instrumentos de Planificación Territorial (IPT's).</t>
  </si>
  <si>
    <t>IP_34a</t>
  </si>
  <si>
    <t>Zonas de Conservación Histórica (ZCH) con norma arquitectónica específica (Plano Seccional / Plano de Detalle) en Instrumentos de Planificación Territorial (IPT's).</t>
  </si>
  <si>
    <t>IP_48</t>
  </si>
  <si>
    <t>Plan Regulador Comunal (PRC) reconoce inmuebles y/o zonas de conservación histórica ((ICH y/o ZCH).</t>
  </si>
  <si>
    <t>Plan Regulador Comunal (PRC) reconoce inmuebles y/o zonas de conservación histórica.</t>
  </si>
  <si>
    <t>Valoración económica, social, paisajística, ambiental y cultural en IPT's</t>
  </si>
  <si>
    <t>IP_43</t>
  </si>
  <si>
    <t>Porcentaje de zonas típicas con lineamientos de intervención aprobados.</t>
  </si>
  <si>
    <t>IP_43a</t>
  </si>
  <si>
    <t>Porcentaje de zonas típicas con lineamientos de intervención en desarrollo.</t>
  </si>
  <si>
    <t>8. Mayor y mejor participación de la sociedad civil en las decisiones de desarrollo urbano</t>
  </si>
  <si>
    <t>Compromiso y participación en el desarrollo comunal</t>
  </si>
  <si>
    <t>IP_47</t>
  </si>
  <si>
    <t>Número de organizaciones de la sociedad civil por cada 1.000 habitantes.</t>
  </si>
  <si>
    <t>IP_47a</t>
  </si>
  <si>
    <t>Número de organizaciones comunitarias por cada 1.000 habitantes.</t>
  </si>
  <si>
    <t>Implementación de procesos de participación temprana en proyectos urbanos de alto impacto a nivel del desarrollo urbano</t>
  </si>
  <si>
    <t>IG_22</t>
  </si>
  <si>
    <t>100% de los proyectos</t>
  </si>
  <si>
    <t>Porcentaje de proyectos urbanos de alto impacto con Participación Ciudadana Anticipada (PACA).</t>
  </si>
  <si>
    <t>Inclusión de la comunidad en la toma de decisiones para la inversión local</t>
  </si>
  <si>
    <t>IG_92</t>
  </si>
  <si>
    <t>El Municipio cuenta con mecanismos de presupuestos participativos.</t>
  </si>
  <si>
    <t>IG_91</t>
  </si>
  <si>
    <t>Monto total per cápita, en pesos, de fondos entregados por el municipio a la comunidad vía proyectos concursables para el mejoramiento urbano.</t>
  </si>
  <si>
    <t>Participación electoral</t>
  </si>
  <si>
    <t>IG_90</t>
  </si>
  <si>
    <t>Porcentaje de participación en las elecciones municipales por comuna.</t>
  </si>
  <si>
    <t>Número de indicadores por medición</t>
  </si>
  <si>
    <t xml:space="preserve"> </t>
  </si>
  <si>
    <t>Para regresar al ÍNDICE o revisar otra medición presione con el cursor en las opciones del Menú en la barra superior.</t>
  </si>
  <si>
    <r>
      <t xml:space="preserve">                    Indicadores por comuna (</t>
    </r>
    <r>
      <rPr>
        <b/>
        <sz val="11"/>
        <color theme="3"/>
        <rFont val="Calibri"/>
        <family val="2"/>
        <scheme val="minor"/>
      </rPr>
      <t>Tabla 1</t>
    </r>
    <r>
      <rPr>
        <sz val="11"/>
        <color theme="3"/>
        <rFont val="Calibri"/>
        <family val="2"/>
        <scheme val="minor"/>
      </rPr>
      <t>): corresponde a los indicadores disponibles según la nomenclatura de la División Político Administrativa para las comunas consideradas por SIEDU.</t>
    </r>
  </si>
  <si>
    <r>
      <t xml:space="preserve">                    Indicadores por ciudad: corresponde a los indicadores disponibles según la nomenclatura INE (</t>
    </r>
    <r>
      <rPr>
        <b/>
        <sz val="11"/>
        <color theme="3"/>
        <rFont val="Calibri"/>
        <family val="2"/>
        <scheme val="minor"/>
      </rPr>
      <t>Tabla 2</t>
    </r>
    <r>
      <rPr>
        <sz val="11"/>
        <color theme="3"/>
        <rFont val="Calibri"/>
        <family val="2"/>
        <scheme val="minor"/>
      </rPr>
      <t>), la clasificación de la encuesta ENE (</t>
    </r>
    <r>
      <rPr>
        <b/>
        <sz val="11"/>
        <color theme="3"/>
        <rFont val="Calibri"/>
        <family val="2"/>
        <scheme val="minor"/>
      </rPr>
      <t>Tabla 3</t>
    </r>
    <r>
      <rPr>
        <sz val="11"/>
        <color theme="3"/>
        <rFont val="Calibri"/>
        <family val="2"/>
        <scheme val="minor"/>
      </rPr>
      <t>) y según la clasificación de la metodología CCU para las comunas consideradas por SIEDU (</t>
    </r>
    <r>
      <rPr>
        <b/>
        <sz val="11"/>
        <color theme="3"/>
        <rFont val="Calibri"/>
        <family val="2"/>
        <scheme val="minor"/>
      </rPr>
      <t>Tabla 4</t>
    </r>
    <r>
      <rPr>
        <sz val="11"/>
        <color theme="3"/>
        <rFont val="Calibri"/>
        <family val="2"/>
        <scheme val="minor"/>
      </rPr>
      <t>).</t>
    </r>
  </si>
  <si>
    <t>ID INDICADOR</t>
  </si>
  <si>
    <t>ESTÁNDAR CNDT</t>
  </si>
  <si>
    <t>100% de las UUVV de una comuna.</t>
  </si>
  <si>
    <t>Plan Regulador Comunal reconoce ICH y/o ZCH</t>
  </si>
  <si>
    <t>LB2018 - TABLA 1. INDICADORES CON RESULTADOS AGREGADOS POR COMUNA</t>
  </si>
  <si>
    <t>MEDIDA DE REPRESENTACIÓN</t>
  </si>
  <si>
    <t>m</t>
  </si>
  <si>
    <t>m²/hab</t>
  </si>
  <si>
    <t>Porcentaje</t>
  </si>
  <si>
    <t>Jornadas diarias / 10.000 habs</t>
  </si>
  <si>
    <t>Relación (Matrículas / Población)</t>
  </si>
  <si>
    <t>Promedio per cápita de frecuencia de TP mayor</t>
  </si>
  <si>
    <t>Promedio per cápita de frecuencia de TP menor</t>
  </si>
  <si>
    <t>Número de intersecciones promedio.</t>
  </si>
  <si>
    <t>Relación (Tiempo de viaje PPM / Tiempo de viaje PFP)</t>
  </si>
  <si>
    <t>Min</t>
  </si>
  <si>
    <t>Relación (Número víctimas mortales /100.000 habs)</t>
  </si>
  <si>
    <t>Relación (Número víctimas lesionadas /100.000 habs)</t>
  </si>
  <si>
    <t>kg/hab/día</t>
  </si>
  <si>
    <t>Relación (Número  microbasurales / 10.000 habs)</t>
  </si>
  <si>
    <t>Kilovatio hora (kWh)/hab/año</t>
  </si>
  <si>
    <t>Relación (Conexiones residenciales fijas / 1.000 viviendas particulares)</t>
  </si>
  <si>
    <t>Relación (Conexiones residenciales fijas / 100 habs)</t>
  </si>
  <si>
    <t>Número de horas promedio / año</t>
  </si>
  <si>
    <t>Relación (Número de luminarias / 50 m de red vial)</t>
  </si>
  <si>
    <t>Número de viviendas</t>
  </si>
  <si>
    <t>Densidad (Número hogares/ha)</t>
  </si>
  <si>
    <t>Índice</t>
  </si>
  <si>
    <t>Tasa</t>
  </si>
  <si>
    <t>Clasificación binaria (SI o NO)</t>
  </si>
  <si>
    <t>Relación (Monto per cápita en pesos / hab)</t>
  </si>
  <si>
    <t>Región</t>
  </si>
  <si>
    <t>Provincia</t>
  </si>
  <si>
    <t>Área</t>
  </si>
  <si>
    <t>Nombre Ciudad</t>
  </si>
  <si>
    <t>Cod_Ciudad</t>
  </si>
  <si>
    <t>CUT</t>
  </si>
  <si>
    <t>Superficie de plazas públicas por habitante que cumple estándar de distancia (400 metros)</t>
  </si>
  <si>
    <t>Superficie de parques públicos por habitante que cumple estándar de distancia (3.000 metros)</t>
  </si>
  <si>
    <t xml:space="preserve"> Porcentaje de población atendida por el sistema de plazas públicas.</t>
  </si>
  <si>
    <t xml:space="preserve">Cantidad de jornadas diarias completas de trabajo de médicos, en salud primaria, por cada 10.000 habitantes </t>
  </si>
  <si>
    <t>Razón entre disponibilidad efectiva de matrículas y demanda potencial por educación básica</t>
  </si>
  <si>
    <t>Densidad de oferta planificada de transporte público mayor en periodo punta mañana, por persona</t>
  </si>
  <si>
    <t>Densidad de oferta real de transporte público mayor en periodo punta mañana, por persona.</t>
  </si>
  <si>
    <t>Proporción de viajes con una duración mayor o igual a 45 minutos.</t>
  </si>
  <si>
    <t>Porcentaje de  la superficie cubierta por vegetación total.</t>
  </si>
  <si>
    <t xml:space="preserve">Porcentaje de la superficie de campamentos respecto del área urbana.
</t>
  </si>
  <si>
    <t>Densidad de hogares en campamentos .</t>
  </si>
  <si>
    <t>Tasa de víctimas de delitos violentos por casos policiales cada 10.000 habitantes.</t>
  </si>
  <si>
    <t>Tasa de víctimas de delitos contra la propiedad por casos policiales cada 10.000 habitantes.</t>
  </si>
  <si>
    <t>Tasa de víctimas de delitos violencia intrafamiliar por casos policiales cada 10.000 habitantes.</t>
  </si>
  <si>
    <t xml:space="preserve">Diferencia entre el valor de suelo más alto y el más bajo entre las áreas homogéneas urbanas definidas por el Servicio de Impuestos Internos.
</t>
  </si>
  <si>
    <t xml:space="preserve">Porcentaje de la inversión nacional a escala comunal en la que participa el municipio como institución contratante.
</t>
  </si>
  <si>
    <t xml:space="preserve">Participación del Fondo Común Municipal (FCM) en el ingreso municipal total (descontadas las transferencias).
</t>
  </si>
  <si>
    <t>Porcentaje de inversión pública destinada a proyectos que tienen procesos de intervención de restauración de inmuebles patrimoniales sobre el total de inversión destinada a proyectos con RF.</t>
  </si>
  <si>
    <t>Zonas de Conservación Histórica (ZCH) con norma urbana específica (Plano Seccional/ Plano de Detalle) en Instrumentos de Planificación Territorial (IPT's)</t>
  </si>
  <si>
    <t>Zonas de Conservación Histórica (ZCH) con norma arquitectónica específica (Plano Seccional / Plano de Detalle) en Instrumentos de Planificación Territorial (IPT's)</t>
  </si>
  <si>
    <t>El municipio cuenta con mecanismos de presupuestos participativos.</t>
  </si>
  <si>
    <t>TARAPACÁ</t>
  </si>
  <si>
    <t>IQUIQUE</t>
  </si>
  <si>
    <t>OTRAS COMUNAS</t>
  </si>
  <si>
    <t>IQUIQUE – ALTO HOSPICIO</t>
  </si>
  <si>
    <t>S/I</t>
  </si>
  <si>
    <t>Sin medición</t>
  </si>
  <si>
    <t>SI</t>
  </si>
  <si>
    <t>Sin ZCH</t>
  </si>
  <si>
    <t>NO</t>
  </si>
  <si>
    <t>ALTO HOSPICIO</t>
  </si>
  <si>
    <t>N/A</t>
  </si>
  <si>
    <t>Comuna no costera</t>
  </si>
  <si>
    <t>Sin ZT</t>
  </si>
  <si>
    <t>ANTOFAGASTA</t>
  </si>
  <si>
    <t>EL LOA</t>
  </si>
  <si>
    <t>CALAMA</t>
  </si>
  <si>
    <t>ATACAMA</t>
  </si>
  <si>
    <t>COPIAPÓ</t>
  </si>
  <si>
    <t>COPIAPÓ – TIERRA AMARILLA</t>
  </si>
  <si>
    <t>TIERRA AMARILLA</t>
  </si>
  <si>
    <t>HUASCO</t>
  </si>
  <si>
    <t>VALLENAR</t>
  </si>
  <si>
    <t>COQUIMBO</t>
  </si>
  <si>
    <t>ELQUI</t>
  </si>
  <si>
    <t>LA SERENA – COQUIMBO</t>
  </si>
  <si>
    <t>LA SERENA</t>
  </si>
  <si>
    <t>LIMARÍ</t>
  </si>
  <si>
    <t>OVALLE</t>
  </si>
  <si>
    <t>VALPARAÍSO</t>
  </si>
  <si>
    <t>GRAN VALPARAÍSO</t>
  </si>
  <si>
    <t>CASABLANCA</t>
  </si>
  <si>
    <t>CONCÓN</t>
  </si>
  <si>
    <t>PUCHUNCAVÍ</t>
  </si>
  <si>
    <t>QUINTERO</t>
  </si>
  <si>
    <t>VIÑA DEL MAR</t>
  </si>
  <si>
    <t>LOS ANDES</t>
  </si>
  <si>
    <t>LOS ANDES – SAN ESTEBAN</t>
  </si>
  <si>
    <t>SAN ESTEBAN</t>
  </si>
  <si>
    <t>QUILLOTA</t>
  </si>
  <si>
    <t>QUILLOTA – LA CALERA – LA CRUZ – HIJUELA</t>
  </si>
  <si>
    <t>CALERA</t>
  </si>
  <si>
    <t>HIJUELAS</t>
  </si>
  <si>
    <t>LA CRUZ</t>
  </si>
  <si>
    <t>SAN ANTONIO</t>
  </si>
  <si>
    <t>SAN ANTONIO – CARTAGENA – SANTO DOMINGO</t>
  </si>
  <si>
    <t>CARTAGENA</t>
  </si>
  <si>
    <t>SANTO DOMINGO</t>
  </si>
  <si>
    <t>SAN FELIPE DE ACONCAGUA</t>
  </si>
  <si>
    <t>SAN FELIPE</t>
  </si>
  <si>
    <t>MARGA MARGA</t>
  </si>
  <si>
    <t>QUILPUÉ</t>
  </si>
  <si>
    <t>LIMACHE</t>
  </si>
  <si>
    <t>OLMUÉ</t>
  </si>
  <si>
    <t>VILLA ALEMANA</t>
  </si>
  <si>
    <t>O’HIGGINS</t>
  </si>
  <si>
    <t>CACHAPOAL</t>
  </si>
  <si>
    <t>RANCAGUA – MACHALÍ</t>
  </si>
  <si>
    <t>RANCAGUA</t>
  </si>
  <si>
    <t>MACHALÍ</t>
  </si>
  <si>
    <t>RENGO</t>
  </si>
  <si>
    <t>COLCHAGUA</t>
  </si>
  <si>
    <t>SAN FERNANDO</t>
  </si>
  <si>
    <t>MAULE</t>
  </si>
  <si>
    <t>TALCA</t>
  </si>
  <si>
    <t>TALCA – CULENAR</t>
  </si>
  <si>
    <t>CONSTITUCIÓN</t>
  </si>
  <si>
    <t>CURICÓ</t>
  </si>
  <si>
    <t>CURICÓ – RAUCO – ROMERAL</t>
  </si>
  <si>
    <t>RAUCO</t>
  </si>
  <si>
    <t>ROMERAL</t>
  </si>
  <si>
    <t>LINARES</t>
  </si>
  <si>
    <t>BIOBÍO</t>
  </si>
  <si>
    <t>CONCEPCIÓN</t>
  </si>
  <si>
    <t>GRAN CONCEPCIÓN</t>
  </si>
  <si>
    <t>CORONEL</t>
  </si>
  <si>
    <t>CHIGUAYANTE</t>
  </si>
  <si>
    <t>HUALQUI</t>
  </si>
  <si>
    <t>LOTA</t>
  </si>
  <si>
    <t>PENCO</t>
  </si>
  <si>
    <t>SAN PEDRO DE LA PAZ</t>
  </si>
  <si>
    <t>SANTA JUANA</t>
  </si>
  <si>
    <t>TALCAHUANO</t>
  </si>
  <si>
    <t>TOMÉ</t>
  </si>
  <si>
    <t>HUALPÉN</t>
  </si>
  <si>
    <t>LOS ÁNGELES – NACIMIENTO</t>
  </si>
  <si>
    <t>LOS ÁNGELES</t>
  </si>
  <si>
    <t>NACIMIENTO</t>
  </si>
  <si>
    <t>LA ARAUCANÍA</t>
  </si>
  <si>
    <t>CAUTÍN</t>
  </si>
  <si>
    <t>TEMUCO – PADRE LAS CASAS</t>
  </si>
  <si>
    <t>TEMUCO</t>
  </si>
  <si>
    <t>PADRE LAS CASAS</t>
  </si>
  <si>
    <t>VILLARRICA</t>
  </si>
  <si>
    <t>MALLECO</t>
  </si>
  <si>
    <t>ANGOL</t>
  </si>
  <si>
    <t>LOS LAGOS</t>
  </si>
  <si>
    <t>LLANQUIHUE</t>
  </si>
  <si>
    <t>PUERTO MONTT – PUERTO VARAS</t>
  </si>
  <si>
    <t>PUERTO MONTT</t>
  </si>
  <si>
    <t>PUERTO VARAS</t>
  </si>
  <si>
    <t>CHILOÉ</t>
  </si>
  <si>
    <t>CASTRO</t>
  </si>
  <si>
    <t>OSORNO</t>
  </si>
  <si>
    <t>AYSÉN</t>
  </si>
  <si>
    <t>COYHAIQUE</t>
  </si>
  <si>
    <t>MAGALLANES</t>
  </si>
  <si>
    <t>PUNTA ARENAS</t>
  </si>
  <si>
    <t>METROPOLITANA</t>
  </si>
  <si>
    <t>SANTIAGO</t>
  </si>
  <si>
    <t>GRAN SANTIAGO</t>
  </si>
  <si>
    <t>CERRILLOS</t>
  </si>
  <si>
    <t>CERRO NAVIA</t>
  </si>
  <si>
    <t>CONCHALÍ</t>
  </si>
  <si>
    <t>EL BOSQUE</t>
  </si>
  <si>
    <t>ESTACIÓN CENTRAL</t>
  </si>
  <si>
    <t>HUECHURABA</t>
  </si>
  <si>
    <t>INDEPENDENCIA</t>
  </si>
  <si>
    <t>LA CISTERNA</t>
  </si>
  <si>
    <t>LA FLORIDA</t>
  </si>
  <si>
    <t>LA GRANJA</t>
  </si>
  <si>
    <t>LA PINTANA</t>
  </si>
  <si>
    <t>LA REINA</t>
  </si>
  <si>
    <t>LAS CONDES</t>
  </si>
  <si>
    <t>LO BARNECHEA</t>
  </si>
  <si>
    <t>LO ESPEJO</t>
  </si>
  <si>
    <t>LO PRADO</t>
  </si>
  <si>
    <t>MACUL</t>
  </si>
  <si>
    <t>MAIPÚ</t>
  </si>
  <si>
    <t>ÑUÑOA</t>
  </si>
  <si>
    <t>PEDRO AGUIRRE CERDA</t>
  </si>
  <si>
    <t>PEÑALOLÉN</t>
  </si>
  <si>
    <t>PROVIDENCIA</t>
  </si>
  <si>
    <t>PUDAHUEL</t>
  </si>
  <si>
    <t>QUILICURA</t>
  </si>
  <si>
    <t>QUINTA NORMAL</t>
  </si>
  <si>
    <t>RECOLETA</t>
  </si>
  <si>
    <t>RENCA</t>
  </si>
  <si>
    <t>SAN JOAQUÍN</t>
  </si>
  <si>
    <t>SAN MIGUEL</t>
  </si>
  <si>
    <t>SAN RAMÓN</t>
  </si>
  <si>
    <t>VITACURA</t>
  </si>
  <si>
    <t>CORDILLERA</t>
  </si>
  <si>
    <t>PUENTE ALTO</t>
  </si>
  <si>
    <t>PIRQUE</t>
  </si>
  <si>
    <t>SAN JOSÉ DE MAIPO</t>
  </si>
  <si>
    <t>CHACABUCO</t>
  </si>
  <si>
    <t>COLINA</t>
  </si>
  <si>
    <t>LAMPA</t>
  </si>
  <si>
    <t>TILTIL</t>
  </si>
  <si>
    <t>MAIPO</t>
  </si>
  <si>
    <t>SAN BERNARDO</t>
  </si>
  <si>
    <t>BUIN</t>
  </si>
  <si>
    <t>CALERA DE TANGO</t>
  </si>
  <si>
    <t>PAINE</t>
  </si>
  <si>
    <t>MELIPILLA</t>
  </si>
  <si>
    <t>TALAGANTE</t>
  </si>
  <si>
    <t>EL MONTE</t>
  </si>
  <si>
    <t>ISLA DE MAIPO</t>
  </si>
  <si>
    <t>PADRE HURTADO</t>
  </si>
  <si>
    <t>PEÑAFLOR</t>
  </si>
  <si>
    <t>LOS RÍOS</t>
  </si>
  <si>
    <t>VALDIVIA</t>
  </si>
  <si>
    <t>ARICA Y PARINACOTA</t>
  </si>
  <si>
    <t>ARICA</t>
  </si>
  <si>
    <t>ÑUBLE</t>
  </si>
  <si>
    <t>DIGUILLÍN</t>
  </si>
  <si>
    <t>CHILLÁN – CHILLÁN VIEJO</t>
  </si>
  <si>
    <t>CHILLÁN</t>
  </si>
  <si>
    <t>CHILLÁN VIEJO</t>
  </si>
  <si>
    <t>PUNILLA</t>
  </si>
  <si>
    <t>SAN CARLOS</t>
  </si>
  <si>
    <t>90% o más de población cubierta.</t>
  </si>
  <si>
    <t>LB2018 - TABLA 2. INDICADORES CON RESULTADOS AGREGADOS POR CIUDAD</t>
  </si>
  <si>
    <t>Número de episodios críticos</t>
  </si>
  <si>
    <t>L / día / Hab</t>
  </si>
  <si>
    <t>Ha</t>
  </si>
  <si>
    <t>Relación (Número de organizaciones / 1.000 habs)</t>
  </si>
  <si>
    <t>Número de episodios críticos de contaminación por material particulado fino (MP 2,5).</t>
  </si>
  <si>
    <t>Superficie del Continuo de Construcciones Urbanas (CCU)</t>
  </si>
  <si>
    <t>Superficie de suelos de alto valor agrícola, según clases de suelo, próximas al CCU</t>
  </si>
  <si>
    <t>Superficie de sitios prioritarios para la conservación próximos al CCU</t>
  </si>
  <si>
    <t>-</t>
  </si>
  <si>
    <t>LB2018 - TABLA 3. INDICADORES CON RESULTADOS AGREGADOS POR CIUDAD SEGÚN ENE</t>
  </si>
  <si>
    <t>Nombre Ciudad definido por la Encuesta Nacional de Empleo (ENE)</t>
  </si>
  <si>
    <t>1 / Incluye Concón</t>
  </si>
  <si>
    <t>2 / Incluye las 32 comunas de la Provincia de Santiago más Puente Alto, San Bernardo y Padre Hurtado</t>
  </si>
  <si>
    <t xml:space="preserve">IQUIQUE       </t>
  </si>
  <si>
    <t xml:space="preserve">ANTOFAGASTA      </t>
  </si>
  <si>
    <t>3 / Incluye Chillán Viejo</t>
  </si>
  <si>
    <t xml:space="preserve">CALAMA           </t>
  </si>
  <si>
    <t>4 / Incluye Chiguayante y San Pedro de Paz</t>
  </si>
  <si>
    <t xml:space="preserve">COPIAPÓ         </t>
  </si>
  <si>
    <t>5 / Incluye Hualpén</t>
  </si>
  <si>
    <t xml:space="preserve">VALLENAR         </t>
  </si>
  <si>
    <t xml:space="preserve">COQUIMBO         </t>
  </si>
  <si>
    <t xml:space="preserve">LA SERENA        </t>
  </si>
  <si>
    <t xml:space="preserve">OVALLE           </t>
  </si>
  <si>
    <t xml:space="preserve">VALPARAÍSO       </t>
  </si>
  <si>
    <t>VIÑA DEL MAR (1)</t>
  </si>
  <si>
    <t xml:space="preserve">SAN ANTONIO      </t>
  </si>
  <si>
    <t xml:space="preserve">RANCAGUA         </t>
  </si>
  <si>
    <t xml:space="preserve">SAN FERNANDO     </t>
  </si>
  <si>
    <t xml:space="preserve">CURICÓ          </t>
  </si>
  <si>
    <t xml:space="preserve">TALCA            </t>
  </si>
  <si>
    <t xml:space="preserve">LINARES          </t>
  </si>
  <si>
    <t>CONCEPCIÓN (4)</t>
  </si>
  <si>
    <t>TALCAHUANO (5)</t>
  </si>
  <si>
    <t xml:space="preserve">LOTA             </t>
  </si>
  <si>
    <t xml:space="preserve">CORONEL          </t>
  </si>
  <si>
    <t xml:space="preserve">LOS ÁNGELES      </t>
  </si>
  <si>
    <t xml:space="preserve">ANGOL            </t>
  </si>
  <si>
    <t xml:space="preserve">TEMUCO           </t>
  </si>
  <si>
    <t xml:space="preserve">OSORNO           </t>
  </si>
  <si>
    <t xml:space="preserve">PUERTO MONTT     </t>
  </si>
  <si>
    <t xml:space="preserve">COYHAIQUE         </t>
  </si>
  <si>
    <t xml:space="preserve">PUERTO AYSÉN   </t>
  </si>
  <si>
    <t xml:space="preserve">PUNTA ARENAS     </t>
  </si>
  <si>
    <t>GRAN SANTIAGO (2)</t>
  </si>
  <si>
    <t xml:space="preserve">VALDIVIA         </t>
  </si>
  <si>
    <t xml:space="preserve">ARICA         </t>
  </si>
  <si>
    <t>CHILLÁN (3)</t>
  </si>
  <si>
    <t>LB2018 - TABLA 4. INDICADORES CON RESULTADOS AGREGADOS POR CIUDAD SEGÚN CCU</t>
  </si>
  <si>
    <t>Comunas que abarca</t>
  </si>
  <si>
    <t>Nombre Continuo de Contrucciones Urbanas (CCU)</t>
  </si>
  <si>
    <t>ID_U_2017</t>
  </si>
  <si>
    <t>IQUIQUE, ALTO HOSPICIO</t>
  </si>
  <si>
    <t>IQUIQUE - ALTO HOSPICIO</t>
  </si>
  <si>
    <t>LA SERENA, COQUIMBO</t>
  </si>
  <si>
    <t>LA SERENA - COQUIMBO</t>
  </si>
  <si>
    <t>VALPARAÍSO, CONCÓN, VIÑA DEL MAR, QUILPUÉ, VILLA ALEMANA (LIMACHE, POR EXTENCION DESDE VILLA ALEMANA)</t>
  </si>
  <si>
    <t>LOS ANDES, CALLE LARGA</t>
  </si>
  <si>
    <t>LOS ANDES - CALLE LARGA</t>
  </si>
  <si>
    <t>OLMUÉ (SE EXTIENDE HACIA LIMACHE)</t>
  </si>
  <si>
    <t>QUILLOTA, CALERA, HIJUELAS, LA CRUZ (SE EXTIENDA A NOGALES POR CALERA)</t>
  </si>
  <si>
    <t>QUILLOTA - LA CALERA - LA CRUZ - HIJUELAS</t>
  </si>
  <si>
    <t>SAN ANTONIO, CARTAGENA, EL TABO (LAS CRUCES)</t>
  </si>
  <si>
    <t>SAN ANTONIO - CARTAGENA - LAS CRUCES</t>
  </si>
  <si>
    <t>RANCAGUA, MACHALÍ, OLIVAR, REQUINOA</t>
  </si>
  <si>
    <t>RANCAGUA - MACHALÍ - GULTRO - LOS LIRIOS</t>
  </si>
  <si>
    <t>MAULE (NO ES LA PARTE QUE CONURBA CON TALCA)</t>
  </si>
  <si>
    <t>TALCA, MAULE</t>
  </si>
  <si>
    <t>TALCA - CULENAR</t>
  </si>
  <si>
    <t>CONCEPCIÓN, CORONEL, CHIGUAYANTE, PENCO, SAN PEDRO DE LA PAZ, TALCAHUANO, HUALPÉN</t>
  </si>
  <si>
    <t>LA ARAUCANIA</t>
  </si>
  <si>
    <t>TEMUCO, PADRE LAS CASAS, VILCUN</t>
  </si>
  <si>
    <t>TEMUCO - PADRE LAS CASAS - CAJON</t>
  </si>
  <si>
    <t>CALERA DE TANGO (NO ES LA PARTE QUE CONURBA CON EL GRAN SANTIAGO)</t>
  </si>
  <si>
    <t>BAJOS DE SAN AGUSTÍN - SAN IGNACIO - LOS TILOS</t>
  </si>
  <si>
    <t>BUIN, PAINE</t>
  </si>
  <si>
    <t>BUIN - PAINE</t>
  </si>
  <si>
    <t>COLINA (NO ES LA PARTE QUE CONURBA CON EL GRAN SANTIAGO)</t>
  </si>
  <si>
    <t>SANTIAGO, CALERA DE TANGO (SOLO EL AREA DE GRAN SANTIAGO), CERRILLOS, CERRO NAVIA, COLINA (SOLO EL AREA DE GRAN SANTIAGO), CONCHALÍ, EL BOSQUE, ESTACION CENTRAL, HUECHURABA, INDEPENDENCIA, LAMPA (SOLO EL AREA DE GRAN SANTIAGO), LA CISTERNA, LA FLORIDA, LA GRANJA, LA PINTANA, LA REINA, LAS CONDES, LO BARNECHEA, LO ESPEJO, LO PRADO, MACUL, MAIPÚ, ÑUÑOA, PEDRO AGUIRRE CERDA, PEÑALOLEN, PROVIDENCIA, PUDAHUEL, QUILICURA, QUINTA NORMAL, RECOLETA, RENCA, SAN JOAQUÍN, SAN MIGUEL, SAN RAMÓN, VITACURA, PUENTE ALTO, SAN BERNARDO, TALAGANTE, PADRE HURTADO, PEÑAFLOR.</t>
  </si>
  <si>
    <t>LAMPA (NO ES LA PARTE QUE CONURBA CON EL GRAN SANTIAGO)</t>
  </si>
  <si>
    <t>CHILLÁN - CHILLÁN VIEJO</t>
  </si>
  <si>
    <t>ACT2019 - TABLA 1. INDICADORES CON RESULTADOS AGREGADOS POR COMUNA</t>
  </si>
  <si>
    <t>Sin CITSU</t>
  </si>
  <si>
    <t xml:space="preserve">NO </t>
  </si>
  <si>
    <t>ACT2019 - TABLA 2. INDICADORES CON RESULTADOS AGREGADOS POR CIUDAD</t>
  </si>
  <si>
    <t>ACT2019 - TABLA 3. INDICADORES CON RESULTADOS AGREGADOS POR CIUDAD SEGÚN ENE</t>
  </si>
  <si>
    <t>ACT2019 - TABLA 4. INDICADORES CON RESULTADOS AGREGADOS POR CIUDAD SEGÚN CCU</t>
  </si>
  <si>
    <t>ACT2020 - TABLA 1. INDICADORES CON RESULTADOS AGREGADOS POR COMUNA</t>
  </si>
  <si>
    <t>ACT2020 - TABLA 2. INDICADORES CON RESULTADOS AGREGADOS POR CIUDAD</t>
  </si>
  <si>
    <t>ACT2020 - TABLA 3. INDICADORES CON RESULTADOS AGREGADOS POR CIUDAD SEGÚN ENE</t>
  </si>
  <si>
    <t>ACT2020 - TABLA 4. INDICADORES CON RESULTADOS AGREGADOS POR CIUDAD SEGÚN CCU</t>
  </si>
  <si>
    <t>Seleccione una COMUNA de la lista desplegable</t>
  </si>
  <si>
    <t>Seleccione comuna…</t>
  </si>
  <si>
    <t xml:space="preserve">                    Para regresar al ÍNDICE o revisar otra medición presione con el cursor en las opciones del Menú en la barra superior.</t>
  </si>
  <si>
    <r>
      <t xml:space="preserve">                    Indicadores por comuna (Reporte 1): </t>
    </r>
    <r>
      <rPr>
        <sz val="11"/>
        <color theme="3"/>
        <rFont val="Calibri"/>
        <family val="2"/>
        <scheme val="minor"/>
      </rPr>
      <t xml:space="preserve">corresponde a los indicadores disponibles según la nomenclatura de la División Político Administrativa para las comunas </t>
    </r>
  </si>
  <si>
    <t xml:space="preserve">                    consideradas por SIEDU.</t>
  </si>
  <si>
    <r>
      <t xml:space="preserve">                    Indicadores por ciudad: </t>
    </r>
    <r>
      <rPr>
        <sz val="11"/>
        <color theme="3"/>
        <rFont val="Calibri"/>
        <family val="2"/>
        <scheme val="minor"/>
      </rPr>
      <t xml:space="preserve">corresponde a los indicadores disponibles según la nomenclatura INE </t>
    </r>
    <r>
      <rPr>
        <b/>
        <sz val="11"/>
        <color theme="3"/>
        <rFont val="Calibri"/>
        <family val="2"/>
        <scheme val="minor"/>
      </rPr>
      <t>(Reporte 2)</t>
    </r>
    <r>
      <rPr>
        <sz val="11"/>
        <color theme="3"/>
        <rFont val="Calibri"/>
        <family val="2"/>
        <scheme val="minor"/>
      </rPr>
      <t>, la clasificación de la encuesta ENE</t>
    </r>
    <r>
      <rPr>
        <b/>
        <sz val="11"/>
        <color theme="3"/>
        <rFont val="Calibri"/>
        <family val="2"/>
        <scheme val="minor"/>
      </rPr>
      <t xml:space="preserve"> (Reporte 3)</t>
    </r>
    <r>
      <rPr>
        <sz val="11"/>
        <color theme="3"/>
        <rFont val="Calibri"/>
        <family val="2"/>
        <scheme val="minor"/>
      </rPr>
      <t xml:space="preserve"> y </t>
    </r>
  </si>
  <si>
    <r>
      <t xml:space="preserve">                    según la clasificación de la metodología CCU para las comunas consideradas por SIEDU</t>
    </r>
    <r>
      <rPr>
        <b/>
        <sz val="11"/>
        <color theme="3"/>
        <rFont val="Calibri"/>
        <family val="2"/>
        <scheme val="minor"/>
      </rPr>
      <t xml:space="preserve"> (Reporte 4)</t>
    </r>
    <r>
      <rPr>
        <sz val="11"/>
        <color theme="3"/>
        <rFont val="Calibri"/>
        <family val="2"/>
        <scheme val="minor"/>
      </rPr>
      <t>.</t>
    </r>
  </si>
  <si>
    <t>REPORTE 1 - INDICADORES CON RESULTADOS AGREGADOS POR COMUNA</t>
  </si>
  <si>
    <t>Nombre del indicador</t>
  </si>
  <si>
    <t>Seleccione una CIUDAD de la lista desplegable</t>
  </si>
  <si>
    <t>Seleccione una ciudad…</t>
  </si>
  <si>
    <t>REPORTE 2 - INDICADORES CON RESULTADOS AGREGADOS POR CIUDAD</t>
  </si>
  <si>
    <t>Seleccione una CIUDAD ENE de la lista desplegable</t>
  </si>
  <si>
    <t>REPORTE 3 - INDICADORES CON RESULTADOS AGREGADOS POR CIUDAD DE LA ENCUESTA NACIONAL DE EMPLEO (ENE)</t>
  </si>
  <si>
    <t>Seleccione una CIUDAD CCU de la lista desplegable</t>
  </si>
  <si>
    <t>REPORTE 4 - INDICADORES CON RESULTADOS AGREGADOS POR CIUDAD SEGÚN CONTINUO DE CONSTRUCCIONES URBANAS (CCU)</t>
  </si>
  <si>
    <t>comunas</t>
  </si>
  <si>
    <t>ciudades</t>
  </si>
  <si>
    <t>ciudades ENE</t>
  </si>
  <si>
    <t>ciudades CCU</t>
  </si>
  <si>
    <t>VIÑA DEL MAR (Incluye Concón)</t>
  </si>
  <si>
    <t>CONCEPCIÓN (Incluye Chiguayante y San Pedro de la Paz)</t>
  </si>
  <si>
    <t>TALCAHUANO (Incluye Hualpén)</t>
  </si>
  <si>
    <t>GRAN SANTIAGO (Incluye Prov.Santiago, Puente Alto, San Bernardo y Padre Hurtado)</t>
  </si>
  <si>
    <t>CHILLÁN (Incluye Chillán Viejo)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</si>
</sst>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_ * #,##0_ ;_ * \-#,##0_ ;_ * &quot;-&quot;_ ;_ @_ "/>
    <numFmt numFmtId="165" formatCode="0.0"/>
    <numFmt numFmtId="166" formatCode="#,##0.0"/>
  </numFmts>
  <fonts count="59">
    <font>
      <sz val="11"/>
      <color theme="1"/>
      <name val="Calibri"/>
      <family val="2"/>
      <scheme val="minor"/>
    </font>
    <font>
      <sz val="9"/>
      <color rgb="FF000000"/>
      <name val="Calibri"/>
      <family val="2"/>
    </font>
    <font>
      <sz val="11"/>
      <color theme="1"/>
      <name val="Calibri"/>
      <family val="2"/>
      <scheme val="minor"/>
    </font>
    <font>
      <sz val="10"/>
      <color rgb="FF000000"/>
      <name val="Calibri"/>
      <family val="2"/>
    </font>
    <font>
      <sz val="10"/>
      <color theme="1"/>
      <name val="Calibri"/>
      <family val="2"/>
      <scheme val="minor"/>
    </font>
    <font>
      <u/>
      <sz val="11"/>
      <color theme="10"/>
      <name val="Calibri"/>
      <family val="2"/>
      <scheme val="minor"/>
    </font>
    <font>
      <sz val="11"/>
      <color rgb="FF000000"/>
      <name val="Calibri"/>
      <family val="2"/>
    </font>
    <font>
      <sz val="11"/>
      <color indexed="8"/>
      <name val="Calibri"/>
      <family val="2"/>
      <scheme val="minor"/>
    </font>
    <font>
      <sz val="9"/>
      <color theme="1"/>
      <name val="Calibri"/>
      <family val="2"/>
      <scheme val="minor"/>
    </font>
    <font>
      <sz val="11"/>
      <color rgb="FF000000"/>
      <name val="Calibri"/>
      <family val="2"/>
    </font>
    <font>
      <sz val="11"/>
      <color rgb="FFFF0000"/>
      <name val="Calibri"/>
      <family val="2"/>
      <scheme val="minor"/>
    </font>
    <font>
      <b/>
      <sz val="11"/>
      <color theme="0"/>
      <name val="Calibri"/>
      <family val="2"/>
      <scheme val="minor"/>
    </font>
    <font>
      <sz val="11"/>
      <color theme="0"/>
      <name val="Calibri"/>
      <family val="2"/>
      <scheme val="minor"/>
    </font>
    <font>
      <b/>
      <sz val="9"/>
      <color theme="0"/>
      <name val="Calibri"/>
      <family val="2"/>
      <scheme val="minor"/>
    </font>
    <font>
      <sz val="11"/>
      <color rgb="FF000000"/>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i/>
      <sz val="11"/>
      <color rgb="FF7F7F7F"/>
      <name val="Calibri"/>
      <family val="2"/>
      <scheme val="minor"/>
    </font>
    <font>
      <b/>
      <sz val="11"/>
      <color theme="1"/>
      <name val="Calibri"/>
      <family val="2"/>
      <scheme val="minor"/>
    </font>
    <font>
      <sz val="10"/>
      <name val="Arial"/>
      <family val="2"/>
    </font>
    <font>
      <sz val="18"/>
      <color theme="3"/>
      <name val="Cambria"/>
      <family val="2"/>
      <scheme val="major"/>
    </font>
    <font>
      <sz val="11"/>
      <name val="Calibri"/>
      <family val="2"/>
    </font>
    <font>
      <sz val="11"/>
      <color theme="3"/>
      <name val="Wingdings"/>
      <charset val="2"/>
    </font>
    <font>
      <sz val="12"/>
      <color theme="0"/>
      <name val="Calibri"/>
      <family val="2"/>
      <scheme val="minor"/>
    </font>
    <font>
      <sz val="12"/>
      <color theme="1"/>
      <name val="Calibri"/>
      <family val="2"/>
      <scheme val="minor"/>
    </font>
    <font>
      <u/>
      <sz val="12"/>
      <color theme="10"/>
      <name val="Calibri"/>
      <family val="2"/>
      <scheme val="minor"/>
    </font>
    <font>
      <sz val="10"/>
      <color indexed="8"/>
      <name val="Arial"/>
      <family val="2"/>
    </font>
    <font>
      <sz val="12"/>
      <name val="Calibri"/>
      <family val="1"/>
      <scheme val="minor"/>
    </font>
    <font>
      <u/>
      <sz val="12"/>
      <color theme="10"/>
      <name val="Calibri"/>
      <family val="1"/>
      <scheme val="minor"/>
    </font>
    <font>
      <sz val="24"/>
      <color theme="0"/>
      <name val="Calibri"/>
      <family val="2"/>
      <scheme val="minor"/>
    </font>
    <font>
      <sz val="9"/>
      <color theme="3"/>
      <name val="Calibri"/>
      <family val="2"/>
      <scheme val="minor"/>
    </font>
    <font>
      <b/>
      <sz val="10"/>
      <color theme="3"/>
      <name val="Calibri"/>
      <family val="2"/>
      <scheme val="minor"/>
    </font>
    <font>
      <sz val="11"/>
      <color theme="3"/>
      <name val="Calibri"/>
      <family val="2"/>
      <scheme val="minor"/>
    </font>
    <font>
      <i/>
      <sz val="11"/>
      <color theme="3"/>
      <name val="Calibri"/>
      <family val="2"/>
      <scheme val="minor"/>
    </font>
    <font>
      <b/>
      <sz val="10"/>
      <color theme="0"/>
      <name val="Calibri"/>
      <family val="2"/>
      <scheme val="minor"/>
    </font>
    <font>
      <sz val="10"/>
      <color rgb="FF000000"/>
      <name val="Calibri"/>
      <family val="2"/>
      <scheme val="minor"/>
    </font>
    <font>
      <sz val="10"/>
      <color theme="0"/>
      <name val="Calibri"/>
      <family val="2"/>
      <scheme val="minor"/>
    </font>
    <font>
      <sz val="10"/>
      <color theme="3"/>
      <name val="Calibri"/>
      <family val="2"/>
      <scheme val="minor"/>
    </font>
    <font>
      <sz val="9"/>
      <color theme="3"/>
      <name val="Wingdings"/>
      <charset val="2"/>
    </font>
    <font>
      <sz val="11"/>
      <name val="Calibri"/>
      <family val="2"/>
      <scheme val="minor"/>
    </font>
    <font>
      <b/>
      <i/>
      <sz val="11"/>
      <color theme="3"/>
      <name val="Calibri"/>
      <family val="2"/>
      <scheme val="minor"/>
    </font>
    <font>
      <sz val="10"/>
      <name val="Calibri"/>
      <family val="2"/>
      <scheme val="minor"/>
    </font>
    <font>
      <sz val="10"/>
      <name val="Calibri"/>
      <family val="2"/>
    </font>
    <font>
      <sz val="10"/>
      <color indexed="8"/>
      <name val="Calibri"/>
      <family val="2"/>
      <scheme val="minor"/>
    </font>
    <font>
      <sz val="10"/>
      <color theme="1"/>
      <name val="Calibri"/>
      <family val="2"/>
    </font>
    <font>
      <sz val="9"/>
      <name val="Calibri"/>
      <family val="2"/>
      <scheme val="minor"/>
    </font>
    <font>
      <sz val="11"/>
      <color rgb="FF9C5700"/>
      <name val="Calibri"/>
      <family val="2"/>
      <scheme val="minor"/>
    </font>
    <font>
      <sz val="10"/>
      <color indexed="8"/>
      <name val="Arial"/>
      <family val="2"/>
    </font>
    <font>
      <b/>
      <sz val="12"/>
      <color theme="3"/>
      <name val="Calibri"/>
      <family val="2"/>
      <scheme val="minor"/>
    </font>
    <font>
      <sz val="12"/>
      <color theme="3"/>
      <name val="Calibri"/>
      <family val="2"/>
      <scheme val="minor"/>
    </font>
  </fonts>
  <fills count="44">
    <fill>
      <patternFill patternType="none"/>
    </fill>
    <fill>
      <patternFill patternType="gray125"/>
    </fill>
    <fill>
      <patternFill patternType="solid">
        <fgColor theme="0"/>
        <bgColor indexed="64"/>
      </patternFill>
    </fill>
    <fill>
      <patternFill patternType="solid">
        <fgColor theme="4"/>
      </patternFill>
    </fill>
    <fill>
      <patternFill patternType="solid">
        <fgColor indexed="65"/>
        <bgColor theme="0"/>
      </patternFill>
    </fill>
    <fill>
      <patternFill patternType="solid">
        <fgColor theme="0"/>
        <bgColor theme="0"/>
      </patternFill>
    </fill>
    <fill>
      <patternFill patternType="solid">
        <fgColor rgb="FFFFFFFF"/>
        <bgColor theme="0"/>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bgColor theme="0"/>
      </patternFill>
    </fill>
    <fill>
      <patternFill patternType="solid">
        <fgColor theme="1" tint="0.34998626667073579"/>
        <bgColor indexed="64"/>
      </patternFill>
    </fill>
    <fill>
      <patternFill patternType="solid">
        <fgColor theme="0" tint="-0.14999847407452621"/>
        <bgColor indexed="64"/>
      </patternFill>
    </fill>
    <fill>
      <patternFill patternType="solid">
        <fgColor theme="1" tint="0.499984740745262"/>
        <bgColor indexed="64"/>
      </patternFill>
    </fill>
    <fill>
      <patternFill patternType="solid">
        <fgColor auto="1"/>
        <bgColor theme="0"/>
      </patternFill>
    </fill>
    <fill>
      <patternFill patternType="solid">
        <fgColor theme="0" tint="-0.14999847407452621"/>
        <bgColor theme="0"/>
      </patternFill>
    </fill>
    <fill>
      <patternFill patternType="solid">
        <fgColor rgb="FFFFFFFF"/>
        <bgColor rgb="FFFFFFFF"/>
      </patternFill>
    </fill>
  </fills>
  <borders count="3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thin">
        <color auto="1"/>
      </right>
      <top style="thin">
        <color indexed="64"/>
      </top>
      <bottom/>
      <diagonal/>
    </border>
    <border>
      <left style="thin">
        <color indexed="64"/>
      </left>
      <right/>
      <top/>
      <bottom style="thin">
        <color auto="1"/>
      </bottom>
      <diagonal/>
    </border>
    <border>
      <left/>
      <right/>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top style="thin">
        <color auto="1"/>
      </top>
      <bottom/>
      <diagonal/>
    </border>
    <border>
      <left/>
      <right/>
      <top style="thin">
        <color auto="1"/>
      </top>
      <bottom/>
      <diagonal/>
    </border>
    <border>
      <left/>
      <right style="thin">
        <color indexed="64"/>
      </right>
      <top/>
      <bottom/>
      <diagonal/>
    </border>
    <border>
      <left style="thin">
        <color auto="1"/>
      </left>
      <right/>
      <top/>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theme="1" tint="0.499984740745262"/>
      </left>
      <right style="medium">
        <color theme="1" tint="0.499984740745262"/>
      </right>
      <top style="medium">
        <color theme="1" tint="0.499984740745262"/>
      </top>
      <bottom style="medium">
        <color theme="1" tint="0.499984740745262"/>
      </bottom>
      <diagonal/>
    </border>
    <border>
      <left style="thin">
        <color rgb="FF000000"/>
      </left>
      <right/>
      <top style="thin">
        <color rgb="FF000000"/>
      </top>
      <bottom style="thin">
        <color rgb="FF000000"/>
      </bottom>
      <diagonal/>
    </border>
    <border>
      <left style="thin">
        <color rgb="FF000000"/>
      </left>
      <right/>
      <top style="thin">
        <color rgb="FF000000"/>
      </top>
      <bottom/>
      <diagonal/>
    </border>
    <border>
      <left style="thin">
        <color rgb="FF000000"/>
      </left>
      <right/>
      <top/>
      <bottom style="thin">
        <color rgb="FF000000"/>
      </bottom>
      <diagonal/>
    </border>
    <border>
      <left style="thin">
        <color rgb="FF000000"/>
      </left>
      <right style="thin">
        <color rgb="FF000000"/>
      </right>
      <top style="thin">
        <color rgb="FF000000"/>
      </top>
      <bottom style="thin">
        <color rgb="FF000000"/>
      </bottom>
      <diagonal/>
    </border>
    <border>
      <left style="medium">
        <color theme="1" tint="0.499984740745262"/>
      </left>
      <right/>
      <top style="medium">
        <color theme="1" tint="0.499984740745262"/>
      </top>
      <bottom style="medium">
        <color theme="1" tint="0.499984740745262"/>
      </bottom>
      <diagonal/>
    </border>
    <border>
      <left/>
      <right style="medium">
        <color theme="1" tint="0.499984740745262"/>
      </right>
      <top style="medium">
        <color theme="1" tint="0.499984740745262"/>
      </top>
      <bottom style="medium">
        <color theme="1" tint="0.499984740745262"/>
      </bottom>
      <diagonal/>
    </border>
    <border>
      <left/>
      <right/>
      <top style="medium">
        <color theme="1" tint="0.499984740745262"/>
      </top>
      <bottom style="medium">
        <color theme="1" tint="0.499984740745262"/>
      </bottom>
      <diagonal/>
    </border>
  </borders>
  <cellStyleXfs count="170">
    <xf numFmtId="0" fontId="0" fillId="0" borderId="0"/>
    <xf numFmtId="0" fontId="6" fillId="0" borderId="0"/>
    <xf numFmtId="0" fontId="7" fillId="0" borderId="0"/>
    <xf numFmtId="0" fontId="9" fillId="0" borderId="0"/>
    <xf numFmtId="0" fontId="12" fillId="3" borderId="0" applyNumberFormat="0" applyBorder="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0" borderId="10" applyNumberFormat="0" applyFill="0" applyAlignment="0" applyProtection="0"/>
    <xf numFmtId="0" fontId="18" fillId="0" borderId="11" applyNumberFormat="0" applyFill="0" applyAlignment="0" applyProtection="0"/>
    <xf numFmtId="0" fontId="18" fillId="0" borderId="0" applyNumberFormat="0" applyFill="0" applyBorder="0" applyAlignment="0" applyProtection="0"/>
    <xf numFmtId="0" fontId="19" fillId="7" borderId="0" applyNumberFormat="0" applyBorder="0" applyAlignment="0" applyProtection="0"/>
    <xf numFmtId="0" fontId="20" fillId="8" borderId="0" applyNumberFormat="0" applyBorder="0" applyAlignment="0" applyProtection="0"/>
    <xf numFmtId="0" fontId="21" fillId="9" borderId="0" applyNumberFormat="0" applyBorder="0" applyAlignment="0" applyProtection="0"/>
    <xf numFmtId="0" fontId="22" fillId="10" borderId="12" applyNumberFormat="0" applyAlignment="0" applyProtection="0"/>
    <xf numFmtId="0" fontId="23" fillId="11" borderId="13" applyNumberFormat="0" applyAlignment="0" applyProtection="0"/>
    <xf numFmtId="0" fontId="24" fillId="11" borderId="12" applyNumberFormat="0" applyAlignment="0" applyProtection="0"/>
    <xf numFmtId="0" fontId="25" fillId="0" borderId="14" applyNumberFormat="0" applyFill="0" applyAlignment="0" applyProtection="0"/>
    <xf numFmtId="0" fontId="11" fillId="12" borderId="15" applyNumberFormat="0" applyAlignment="0" applyProtection="0"/>
    <xf numFmtId="0" fontId="10" fillId="0" borderId="0" applyNumberFormat="0" applyFill="0" applyBorder="0" applyAlignment="0" applyProtection="0"/>
    <xf numFmtId="0" fontId="2" fillId="13" borderId="16" applyNumberFormat="0" applyFont="0" applyAlignment="0" applyProtection="0"/>
    <xf numFmtId="0" fontId="26" fillId="0" borderId="0" applyNumberFormat="0" applyFill="0" applyBorder="0" applyAlignment="0" applyProtection="0"/>
    <xf numFmtId="0" fontId="27" fillId="0" borderId="17" applyNumberFormat="0" applyFill="0" applyAlignment="0" applyProtection="0"/>
    <xf numFmtId="0" fontId="2" fillId="14" borderId="0" applyNumberFormat="0" applyBorder="0" applyAlignment="0" applyProtection="0"/>
    <xf numFmtId="0" fontId="2" fillId="15" borderId="0" applyNumberFormat="0" applyBorder="0" applyAlignment="0" applyProtection="0"/>
    <xf numFmtId="0" fontId="12" fillId="16" borderId="0" applyNumberFormat="0" applyBorder="0" applyAlignment="0" applyProtection="0"/>
    <xf numFmtId="0" fontId="12" fillId="17"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12" fillId="20" borderId="0" applyNumberFormat="0" applyBorder="0" applyAlignment="0" applyProtection="0"/>
    <xf numFmtId="0" fontId="1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12" fillId="24" borderId="0" applyNumberFormat="0" applyBorder="0" applyAlignment="0" applyProtection="0"/>
    <xf numFmtId="0" fontId="1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12" fillId="28" borderId="0" applyNumberFormat="0" applyBorder="0" applyAlignment="0" applyProtection="0"/>
    <xf numFmtId="0" fontId="1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2" fillId="32" borderId="0" applyNumberFormat="0" applyBorder="0" applyAlignment="0" applyProtection="0"/>
    <xf numFmtId="0" fontId="1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12" fillId="36" borderId="0" applyNumberFormat="0" applyBorder="0" applyAlignment="0" applyProtection="0"/>
    <xf numFmtId="0" fontId="28" fillId="0" borderId="0"/>
    <xf numFmtId="0" fontId="29" fillId="0" borderId="0" applyNumberFormat="0" applyFill="0" applyBorder="0" applyAlignment="0" applyProtection="0"/>
    <xf numFmtId="0" fontId="5" fillId="0" borderId="0" applyNumberFormat="0" applyFill="0" applyBorder="0" applyAlignment="0" applyProtection="0"/>
    <xf numFmtId="0" fontId="14" fillId="0" borderId="0"/>
    <xf numFmtId="43" fontId="14" fillId="0" borderId="0" applyFont="0" applyFill="0" applyBorder="0" applyAlignment="0" applyProtection="0"/>
    <xf numFmtId="0" fontId="6" fillId="0" borderId="0"/>
    <xf numFmtId="0" fontId="30" fillId="0" borderId="0"/>
    <xf numFmtId="0" fontId="2" fillId="0" borderId="0"/>
    <xf numFmtId="0" fontId="2" fillId="0" borderId="0"/>
    <xf numFmtId="0" fontId="2" fillId="13" borderId="16" applyNumberFormat="0" applyFont="0" applyAlignment="0" applyProtection="0"/>
    <xf numFmtId="0" fontId="7" fillId="0" borderId="0"/>
    <xf numFmtId="0" fontId="6" fillId="0" borderId="0"/>
    <xf numFmtId="9" fontId="28" fillId="0" borderId="0" applyFont="0" applyFill="0" applyBorder="0" applyAlignment="0" applyProtection="0"/>
    <xf numFmtId="43" fontId="2" fillId="0" borderId="0" applyFont="0" applyFill="0" applyBorder="0" applyAlignment="0" applyProtection="0"/>
    <xf numFmtId="0" fontId="6" fillId="0" borderId="0"/>
    <xf numFmtId="0" fontId="12" fillId="3" borderId="0" applyNumberFormat="0" applyBorder="0" applyAlignment="0" applyProtection="0"/>
    <xf numFmtId="0" fontId="7" fillId="0" borderId="0"/>
    <xf numFmtId="0" fontId="7"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5" fillId="0" borderId="0" applyNumberFormat="0" applyFill="0" applyBorder="0" applyAlignment="0" applyProtection="0"/>
    <xf numFmtId="0" fontId="6" fillId="0" borderId="0"/>
    <xf numFmtId="0" fontId="15" fillId="0" borderId="0" applyNumberFormat="0" applyFill="0" applyBorder="0" applyAlignment="0" applyProtection="0"/>
    <xf numFmtId="0" fontId="18" fillId="0" borderId="0" applyNumberFormat="0" applyFill="0" applyBorder="0" applyAlignment="0" applyProtection="0"/>
    <xf numFmtId="0" fontId="19" fillId="7" borderId="0" applyNumberFormat="0" applyBorder="0" applyAlignment="0" applyProtection="0"/>
    <xf numFmtId="0" fontId="20" fillId="8" borderId="0" applyNumberFormat="0" applyBorder="0" applyAlignment="0" applyProtection="0"/>
    <xf numFmtId="0" fontId="21" fillId="9" borderId="0" applyNumberFormat="0" applyBorder="0" applyAlignment="0" applyProtection="0"/>
    <xf numFmtId="0" fontId="10" fillId="0" borderId="0" applyNumberFormat="0" applyFill="0" applyBorder="0" applyAlignment="0" applyProtection="0"/>
    <xf numFmtId="0" fontId="2" fillId="13" borderId="16" applyNumberFormat="0" applyFont="0" applyAlignment="0" applyProtection="0"/>
    <xf numFmtId="0" fontId="26" fillId="0" borderId="0" applyNumberFormat="0" applyFill="0" applyBorder="0" applyAlignment="0" applyProtection="0"/>
    <xf numFmtId="0" fontId="2" fillId="14" borderId="0" applyNumberFormat="0" applyBorder="0" applyAlignment="0" applyProtection="0"/>
    <xf numFmtId="0" fontId="2" fillId="15" borderId="0" applyNumberFormat="0" applyBorder="0" applyAlignment="0" applyProtection="0"/>
    <xf numFmtId="0" fontId="12" fillId="16" borderId="0" applyNumberFormat="0" applyBorder="0" applyAlignment="0" applyProtection="0"/>
    <xf numFmtId="0" fontId="12" fillId="17"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12" fillId="20" borderId="0" applyNumberFormat="0" applyBorder="0" applyAlignment="0" applyProtection="0"/>
    <xf numFmtId="0" fontId="12"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12" fillId="24" borderId="0" applyNumberFormat="0" applyBorder="0" applyAlignment="0" applyProtection="0"/>
    <xf numFmtId="0" fontId="1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12" fillId="28" borderId="0" applyNumberFormat="0" applyBorder="0" applyAlignment="0" applyProtection="0"/>
    <xf numFmtId="0" fontId="1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2" fillId="32" borderId="0" applyNumberFormat="0" applyBorder="0" applyAlignment="0" applyProtection="0"/>
    <xf numFmtId="0" fontId="1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12" fillId="36" borderId="0" applyNumberFormat="0" applyBorder="0" applyAlignment="0" applyProtection="0"/>
    <xf numFmtId="0" fontId="2" fillId="0" borderId="0"/>
    <xf numFmtId="0" fontId="2" fillId="0" borderId="0"/>
    <xf numFmtId="0" fontId="2" fillId="0" borderId="0"/>
    <xf numFmtId="0" fontId="7" fillId="0" borderId="0"/>
    <xf numFmtId="0" fontId="7" fillId="0" borderId="0"/>
    <xf numFmtId="0" fontId="2" fillId="0" borderId="0"/>
    <xf numFmtId="0" fontId="7" fillId="0" borderId="0"/>
    <xf numFmtId="0" fontId="7" fillId="0" borderId="0"/>
    <xf numFmtId="0" fontId="28" fillId="0" borderId="0"/>
    <xf numFmtId="0" fontId="6" fillId="0" borderId="0"/>
    <xf numFmtId="0" fontId="32" fillId="3" borderId="0" applyNumberFormat="0" applyBorder="0" applyAlignment="0" applyProtection="0"/>
    <xf numFmtId="0" fontId="33" fillId="0" borderId="0"/>
    <xf numFmtId="0" fontId="34" fillId="0" borderId="0" applyNumberFormat="0" applyFill="0" applyBorder="0" applyAlignment="0" applyProtection="0"/>
    <xf numFmtId="0" fontId="2" fillId="0" borderId="0"/>
    <xf numFmtId="0" fontId="12" fillId="32" borderId="0" applyNumberFormat="0" applyBorder="0" applyAlignment="0" applyProtection="0"/>
    <xf numFmtId="0" fontId="12" fillId="16" borderId="0" applyNumberFormat="0" applyBorder="0" applyAlignment="0" applyProtection="0"/>
    <xf numFmtId="0" fontId="12" fillId="20" borderId="0" applyNumberFormat="0" applyBorder="0" applyAlignment="0" applyProtection="0"/>
    <xf numFmtId="0" fontId="12" fillId="24" borderId="0" applyNumberFormat="0" applyBorder="0" applyAlignment="0" applyProtection="0"/>
    <xf numFmtId="0" fontId="21" fillId="9" borderId="0" applyNumberFormat="0" applyBorder="0" applyAlignment="0" applyProtection="0"/>
    <xf numFmtId="0" fontId="12" fillId="28" borderId="0" applyNumberFormat="0" applyBorder="0" applyAlignment="0" applyProtection="0"/>
    <xf numFmtId="0" fontId="15" fillId="0" borderId="0" applyNumberFormat="0" applyFill="0" applyBorder="0" applyAlignment="0" applyProtection="0"/>
    <xf numFmtId="0" fontId="6" fillId="0" borderId="0"/>
    <xf numFmtId="0" fontId="12" fillId="36" borderId="0" applyNumberFormat="0" applyBorder="0" applyAlignment="0" applyProtection="0"/>
    <xf numFmtId="0" fontId="28" fillId="0" borderId="0"/>
    <xf numFmtId="164" fontId="2" fillId="0" borderId="0" applyFont="0" applyFill="0" applyBorder="0" applyAlignment="0" applyProtection="0"/>
    <xf numFmtId="0" fontId="28" fillId="0" borderId="0"/>
    <xf numFmtId="0" fontId="14" fillId="0" borderId="0"/>
    <xf numFmtId="0" fontId="6" fillId="0" borderId="0"/>
    <xf numFmtId="0" fontId="30" fillId="0" borderId="0"/>
    <xf numFmtId="0" fontId="6" fillId="0" borderId="0"/>
    <xf numFmtId="0" fontId="30" fillId="0" borderId="0"/>
    <xf numFmtId="0" fontId="6" fillId="0" borderId="0"/>
    <xf numFmtId="0" fontId="35" fillId="0" borderId="0"/>
    <xf numFmtId="0" fontId="30" fillId="0" borderId="0"/>
    <xf numFmtId="9" fontId="30" fillId="0" borderId="0" applyFont="0" applyFill="0" applyBorder="0" applyAlignment="0" applyProtection="0"/>
    <xf numFmtId="43" fontId="14" fillId="0" borderId="0" applyFont="0" applyFill="0" applyBorder="0" applyAlignment="0" applyProtection="0"/>
    <xf numFmtId="9" fontId="2" fillId="0" borderId="0" applyFont="0" applyFill="0" applyBorder="0" applyAlignment="0" applyProtection="0"/>
    <xf numFmtId="0" fontId="2" fillId="0" borderId="0"/>
    <xf numFmtId="43" fontId="2" fillId="0" borderId="0" applyFont="0" applyFill="0" applyBorder="0" applyAlignment="0" applyProtection="0"/>
    <xf numFmtId="0" fontId="30" fillId="0" borderId="0"/>
    <xf numFmtId="0" fontId="30" fillId="0" borderId="0"/>
    <xf numFmtId="0" fontId="36" fillId="0" borderId="0"/>
    <xf numFmtId="0" fontId="37" fillId="0" borderId="0" applyNumberFormat="0" applyFill="0" applyBorder="0" applyAlignment="0" applyProtection="0"/>
    <xf numFmtId="0" fontId="2" fillId="0" borderId="0"/>
    <xf numFmtId="0" fontId="2" fillId="13" borderId="16" applyNumberFormat="0" applyFont="0" applyAlignment="0" applyProtection="0"/>
    <xf numFmtId="0" fontId="5" fillId="0" borderId="0" applyNumberFormat="0" applyFill="0" applyBorder="0" applyAlignment="0" applyProtection="0"/>
    <xf numFmtId="0" fontId="28" fillId="0" borderId="0"/>
    <xf numFmtId="9" fontId="2" fillId="0" borderId="0" applyFont="0" applyFill="0" applyBorder="0" applyAlignment="0" applyProtection="0"/>
    <xf numFmtId="0" fontId="2" fillId="28" borderId="0" applyNumberFormat="0" applyBorder="0" applyAlignment="0" applyProtection="0"/>
    <xf numFmtId="0" fontId="2" fillId="20" borderId="0" applyNumberFormat="0" applyBorder="0" applyAlignment="0" applyProtection="0"/>
    <xf numFmtId="0" fontId="2" fillId="32" borderId="0" applyNumberFormat="0" applyBorder="0" applyAlignment="0" applyProtection="0"/>
    <xf numFmtId="0" fontId="55" fillId="9" borderId="0" applyNumberFormat="0" applyBorder="0" applyAlignment="0" applyProtection="0"/>
    <xf numFmtId="0" fontId="6" fillId="0" borderId="0"/>
    <xf numFmtId="0" fontId="56" fillId="0" borderId="0"/>
    <xf numFmtId="0" fontId="12" fillId="32" borderId="0" applyNumberFormat="0" applyBorder="0" applyAlignment="0" applyProtection="0"/>
    <xf numFmtId="0" fontId="12" fillId="36" borderId="0" applyNumberFormat="0" applyBorder="0" applyAlignment="0" applyProtection="0"/>
    <xf numFmtId="0" fontId="12" fillId="28" borderId="0" applyNumberFormat="0" applyBorder="0" applyAlignment="0" applyProtection="0"/>
    <xf numFmtId="0" fontId="2" fillId="36" borderId="0" applyNumberFormat="0" applyBorder="0" applyAlignment="0" applyProtection="0"/>
    <xf numFmtId="0" fontId="21" fillId="9" borderId="0" applyNumberFormat="0" applyBorder="0" applyAlignment="0" applyProtection="0"/>
    <xf numFmtId="0" fontId="12" fillId="16" borderId="0" applyNumberFormat="0" applyBorder="0" applyAlignment="0" applyProtection="0"/>
    <xf numFmtId="0" fontId="2" fillId="16" borderId="0" applyNumberFormat="0" applyBorder="0" applyAlignment="0" applyProtection="0"/>
    <xf numFmtId="0" fontId="12" fillId="20" borderId="0" applyNumberFormat="0" applyBorder="0" applyAlignment="0" applyProtection="0"/>
    <xf numFmtId="0" fontId="2" fillId="24" borderId="0" applyNumberFormat="0" applyBorder="0" applyAlignment="0" applyProtection="0"/>
    <xf numFmtId="0" fontId="12" fillId="24" borderId="0" applyNumberFormat="0" applyBorder="0" applyAlignment="0" applyProtection="0"/>
  </cellStyleXfs>
  <cellXfs count="342">
    <xf numFmtId="0" fontId="0" fillId="0" borderId="0" xfId="0"/>
    <xf numFmtId="0" fontId="0" fillId="39" borderId="0" xfId="0" applyFill="1"/>
    <xf numFmtId="0" fontId="0" fillId="38" borderId="0" xfId="0" applyFill="1"/>
    <xf numFmtId="0" fontId="3" fillId="6" borderId="1" xfId="0" applyFont="1" applyFill="1" applyBorder="1" applyAlignment="1">
      <alignment horizontal="left" vertical="center"/>
    </xf>
    <xf numFmtId="0" fontId="3" fillId="6" borderId="1" xfId="0" applyFont="1" applyFill="1" applyBorder="1" applyAlignment="1">
      <alignment vertical="center"/>
    </xf>
    <xf numFmtId="3" fontId="3" fillId="6" borderId="1" xfId="0" applyNumberFormat="1" applyFont="1" applyFill="1" applyBorder="1" applyAlignment="1">
      <alignment horizontal="left" vertical="center"/>
    </xf>
    <xf numFmtId="0" fontId="3" fillId="4" borderId="1" xfId="0" applyFont="1" applyFill="1" applyBorder="1" applyAlignment="1">
      <alignment horizontal="left" vertical="center"/>
    </xf>
    <xf numFmtId="3" fontId="3" fillId="4" borderId="1" xfId="0" applyNumberFormat="1" applyFont="1" applyFill="1" applyBorder="1" applyAlignment="1">
      <alignment horizontal="left" vertical="center"/>
    </xf>
    <xf numFmtId="0" fontId="3" fillId="6" borderId="2" xfId="0" applyFont="1" applyFill="1" applyBorder="1" applyAlignment="1">
      <alignment horizontal="left" vertical="center"/>
    </xf>
    <xf numFmtId="0" fontId="3" fillId="6" borderId="2" xfId="0" applyFont="1" applyFill="1" applyBorder="1" applyAlignment="1">
      <alignment vertical="center"/>
    </xf>
    <xf numFmtId="3" fontId="4" fillId="5" borderId="1" xfId="0" applyNumberFormat="1" applyFont="1" applyFill="1" applyBorder="1" applyAlignment="1">
      <alignment wrapText="1"/>
    </xf>
    <xf numFmtId="0" fontId="0" fillId="40" borderId="0" xfId="0" applyFill="1"/>
    <xf numFmtId="0" fontId="1" fillId="0" borderId="0" xfId="0" applyFont="1" applyAlignment="1">
      <alignment vertical="center" wrapText="1"/>
    </xf>
    <xf numFmtId="0" fontId="1" fillId="2" borderId="7" xfId="0" applyFont="1" applyFill="1" applyBorder="1" applyAlignment="1">
      <alignment horizontal="center" vertical="center" wrapText="1"/>
    </xf>
    <xf numFmtId="0" fontId="1" fillId="2" borderId="4" xfId="0" applyFont="1" applyFill="1" applyBorder="1" applyAlignment="1">
      <alignment horizontal="center" vertical="center" wrapText="1"/>
    </xf>
    <xf numFmtId="0" fontId="8" fillId="0" borderId="1" xfId="0" applyFont="1" applyBorder="1" applyAlignment="1">
      <alignment horizontal="center" vertical="center"/>
    </xf>
    <xf numFmtId="0" fontId="13" fillId="3" borderId="22" xfId="4" applyFont="1" applyBorder="1" applyAlignment="1">
      <alignment horizontal="center" vertical="center" wrapText="1"/>
    </xf>
    <xf numFmtId="0" fontId="31" fillId="2" borderId="1" xfId="0" applyFont="1" applyFill="1" applyBorder="1" applyAlignment="1">
      <alignment horizontal="center" vertical="center"/>
    </xf>
    <xf numFmtId="0" fontId="31" fillId="0" borderId="1" xfId="0" applyFont="1" applyBorder="1" applyAlignment="1">
      <alignment horizontal="center" vertical="center"/>
    </xf>
    <xf numFmtId="0" fontId="8" fillId="0" borderId="0" xfId="0" applyFont="1" applyAlignment="1">
      <alignment horizontal="left" wrapText="1"/>
    </xf>
    <xf numFmtId="0" fontId="39" fillId="0" borderId="0" xfId="0" applyFont="1" applyAlignment="1">
      <alignment wrapText="1"/>
    </xf>
    <xf numFmtId="0" fontId="43" fillId="3" borderId="1" xfId="4" applyFont="1" applyBorder="1" applyAlignment="1">
      <alignment horizontal="center" vertical="center" wrapText="1"/>
    </xf>
    <xf numFmtId="0" fontId="38" fillId="40" borderId="0" xfId="0" applyFont="1" applyFill="1" applyAlignment="1">
      <alignment horizontal="center" vertical="center"/>
    </xf>
    <xf numFmtId="0" fontId="40" fillId="39" borderId="0" xfId="0" applyFont="1" applyFill="1"/>
    <xf numFmtId="0" fontId="40" fillId="0" borderId="0" xfId="0" applyFont="1"/>
    <xf numFmtId="0" fontId="40" fillId="39" borderId="0" xfId="0" applyFont="1" applyFill="1" applyAlignment="1">
      <alignment vertical="top" wrapText="1"/>
    </xf>
    <xf numFmtId="0" fontId="12" fillId="39" borderId="0" xfId="0" applyFont="1" applyFill="1"/>
    <xf numFmtId="0" fontId="4" fillId="4" borderId="1" xfId="0" applyFont="1" applyFill="1" applyBorder="1"/>
    <xf numFmtId="0" fontId="44" fillId="4" borderId="1" xfId="0" applyFont="1" applyFill="1" applyBorder="1"/>
    <xf numFmtId="0" fontId="3" fillId="6" borderId="1" xfId="0" applyFont="1" applyFill="1" applyBorder="1" applyAlignment="1">
      <alignment horizontal="right" vertical="center"/>
    </xf>
    <xf numFmtId="0" fontId="4" fillId="4" borderId="2" xfId="0" applyFont="1" applyFill="1" applyBorder="1"/>
    <xf numFmtId="0" fontId="3" fillId="6" borderId="2" xfId="0" applyFont="1" applyFill="1" applyBorder="1" applyAlignment="1">
      <alignment horizontal="right" vertical="center"/>
    </xf>
    <xf numFmtId="0" fontId="38" fillId="40" borderId="0" xfId="0" applyFont="1" applyFill="1" applyAlignment="1">
      <alignment vertical="center"/>
    </xf>
    <xf numFmtId="0" fontId="39" fillId="0" borderId="1" xfId="0" applyFont="1" applyBorder="1" applyAlignment="1">
      <alignment horizontal="center"/>
    </xf>
    <xf numFmtId="0" fontId="39" fillId="0" borderId="1" xfId="0" applyFont="1" applyBorder="1" applyAlignment="1">
      <alignment horizontal="center" vertical="center"/>
    </xf>
    <xf numFmtId="0" fontId="11" fillId="37" borderId="24" xfId="4" applyFont="1" applyFill="1" applyBorder="1" applyAlignment="1">
      <alignment horizontal="center" vertical="center" wrapText="1"/>
    </xf>
    <xf numFmtId="4" fontId="45" fillId="3" borderId="1" xfId="4" applyNumberFormat="1" applyFont="1" applyBorder="1" applyAlignment="1">
      <alignment horizontal="center" vertical="center" wrapText="1"/>
    </xf>
    <xf numFmtId="4" fontId="45" fillId="37" borderId="1" xfId="4" applyNumberFormat="1" applyFont="1" applyFill="1" applyBorder="1" applyAlignment="1">
      <alignment horizontal="center" vertical="center" wrapText="1"/>
    </xf>
    <xf numFmtId="3" fontId="45" fillId="37" borderId="1" xfId="4" applyNumberFormat="1" applyFont="1" applyFill="1" applyBorder="1" applyAlignment="1">
      <alignment horizontal="center" vertical="center" wrapText="1"/>
    </xf>
    <xf numFmtId="3" fontId="4" fillId="4" borderId="1" xfId="0" applyNumberFormat="1" applyFont="1" applyFill="1" applyBorder="1"/>
    <xf numFmtId="4" fontId="3" fillId="4" borderId="1" xfId="0" applyNumberFormat="1" applyFont="1" applyFill="1" applyBorder="1" applyAlignment="1">
      <alignment vertical="center"/>
    </xf>
    <xf numFmtId="3" fontId="4" fillId="4" borderId="1" xfId="0" applyNumberFormat="1" applyFont="1" applyFill="1" applyBorder="1" applyAlignment="1">
      <alignment horizontal="right"/>
    </xf>
    <xf numFmtId="3" fontId="4" fillId="4" borderId="1" xfId="0" applyNumberFormat="1" applyFont="1" applyFill="1" applyBorder="1" applyAlignment="1">
      <alignment horizontal="left"/>
    </xf>
    <xf numFmtId="0" fontId="45" fillId="37" borderId="1" xfId="4" applyFont="1" applyFill="1" applyBorder="1" applyAlignment="1">
      <alignment horizontal="center" vertical="center"/>
    </xf>
    <xf numFmtId="3" fontId="3" fillId="6" borderId="2" xfId="0" applyNumberFormat="1" applyFont="1" applyFill="1" applyBorder="1" applyAlignment="1">
      <alignment vertical="center"/>
    </xf>
    <xf numFmtId="2" fontId="4" fillId="4" borderId="2" xfId="0" applyNumberFormat="1" applyFont="1" applyFill="1" applyBorder="1"/>
    <xf numFmtId="3" fontId="4" fillId="4" borderId="2" xfId="0" applyNumberFormat="1" applyFont="1" applyFill="1" applyBorder="1"/>
    <xf numFmtId="3" fontId="44" fillId="6" borderId="2" xfId="0" applyNumberFormat="1" applyFont="1" applyFill="1" applyBorder="1" applyAlignment="1">
      <alignment horizontal="right" vertical="center"/>
    </xf>
    <xf numFmtId="3" fontId="4" fillId="4" borderId="2" xfId="0" applyNumberFormat="1" applyFont="1" applyFill="1" applyBorder="1" applyAlignment="1">
      <alignment horizontal="right"/>
    </xf>
    <xf numFmtId="4" fontId="3" fillId="4" borderId="2" xfId="0" applyNumberFormat="1" applyFont="1" applyFill="1" applyBorder="1" applyAlignment="1">
      <alignment horizontal="right" vertical="center"/>
    </xf>
    <xf numFmtId="4" fontId="3" fillId="4" borderId="2" xfId="0" applyNumberFormat="1" applyFont="1" applyFill="1" applyBorder="1" applyAlignment="1">
      <alignment vertical="center"/>
    </xf>
    <xf numFmtId="0" fontId="8" fillId="0" borderId="0" xfId="0" applyFont="1" applyAlignment="1">
      <alignment horizontal="center"/>
    </xf>
    <xf numFmtId="4" fontId="4" fillId="4" borderId="2" xfId="0" applyNumberFormat="1" applyFont="1" applyFill="1" applyBorder="1" applyAlignment="1">
      <alignment horizontal="right"/>
    </xf>
    <xf numFmtId="4" fontId="4" fillId="4" borderId="2" xfId="0" applyNumberFormat="1" applyFont="1" applyFill="1" applyBorder="1"/>
    <xf numFmtId="4" fontId="4" fillId="4" borderId="1" xfId="0" applyNumberFormat="1" applyFont="1" applyFill="1" applyBorder="1" applyAlignment="1">
      <alignment horizontal="right"/>
    </xf>
    <xf numFmtId="4" fontId="4" fillId="4" borderId="1" xfId="0" applyNumberFormat="1" applyFont="1" applyFill="1" applyBorder="1" applyAlignment="1">
      <alignment horizontal="left"/>
    </xf>
    <xf numFmtId="4" fontId="3" fillId="4" borderId="1" xfId="0" applyNumberFormat="1" applyFont="1" applyFill="1" applyBorder="1" applyAlignment="1">
      <alignment horizontal="left" vertical="center"/>
    </xf>
    <xf numFmtId="4" fontId="3" fillId="4" borderId="1" xfId="0" applyNumberFormat="1" applyFont="1" applyFill="1" applyBorder="1" applyAlignment="1">
      <alignment horizontal="right" vertical="center"/>
    </xf>
    <xf numFmtId="3" fontId="3" fillId="6" borderId="1" xfId="0" applyNumberFormat="1" applyFont="1" applyFill="1" applyBorder="1" applyAlignment="1">
      <alignment vertical="center"/>
    </xf>
    <xf numFmtId="2" fontId="4" fillId="4" borderId="1" xfId="0" applyNumberFormat="1" applyFont="1" applyFill="1" applyBorder="1"/>
    <xf numFmtId="3" fontId="3" fillId="6" borderId="1" xfId="0" applyNumberFormat="1" applyFont="1" applyFill="1" applyBorder="1" applyAlignment="1">
      <alignment horizontal="right" vertical="center"/>
    </xf>
    <xf numFmtId="4" fontId="4" fillId="4" borderId="1" xfId="0" applyNumberFormat="1" applyFont="1" applyFill="1" applyBorder="1"/>
    <xf numFmtId="3" fontId="44" fillId="6" borderId="1" xfId="0" applyNumberFormat="1" applyFont="1" applyFill="1" applyBorder="1" applyAlignment="1">
      <alignment horizontal="right" vertical="center"/>
    </xf>
    <xf numFmtId="0" fontId="47" fillId="2" borderId="1" xfId="0" applyFont="1" applyFill="1" applyBorder="1" applyAlignment="1">
      <alignment horizontal="center" vertical="center"/>
    </xf>
    <xf numFmtId="0" fontId="45" fillId="37" borderId="1" xfId="4" applyFont="1" applyFill="1" applyBorder="1" applyAlignment="1">
      <alignment horizontal="center" vertical="center" wrapText="1"/>
    </xf>
    <xf numFmtId="3" fontId="3" fillId="6" borderId="2" xfId="0" applyNumberFormat="1" applyFont="1" applyFill="1" applyBorder="1" applyAlignment="1">
      <alignment horizontal="right" vertical="center"/>
    </xf>
    <xf numFmtId="0" fontId="45" fillId="37" borderId="7" xfId="4" applyFont="1" applyFill="1" applyBorder="1" applyAlignment="1">
      <alignment horizontal="center" vertical="center" wrapText="1"/>
    </xf>
    <xf numFmtId="0" fontId="3" fillId="41" borderId="4" xfId="0" applyFont="1" applyFill="1" applyBorder="1" applyAlignment="1">
      <alignment horizontal="left" vertical="center"/>
    </xf>
    <xf numFmtId="0" fontId="3" fillId="41" borderId="7" xfId="0" applyFont="1" applyFill="1" applyBorder="1" applyAlignment="1">
      <alignment horizontal="left" vertical="center"/>
    </xf>
    <xf numFmtId="0" fontId="4" fillId="41" borderId="1" xfId="0" applyFont="1" applyFill="1" applyBorder="1" applyAlignment="1">
      <alignment horizontal="right"/>
    </xf>
    <xf numFmtId="0" fontId="3" fillId="41" borderId="1" xfId="0" applyFont="1" applyFill="1" applyBorder="1" applyAlignment="1">
      <alignment horizontal="left" vertical="center"/>
    </xf>
    <xf numFmtId="3" fontId="3" fillId="41" borderId="1" xfId="0" applyNumberFormat="1" applyFont="1" applyFill="1" applyBorder="1" applyAlignment="1">
      <alignment horizontal="left" vertical="center"/>
    </xf>
    <xf numFmtId="2" fontId="4" fillId="41" borderId="1" xfId="153" applyNumberFormat="1" applyFont="1" applyFill="1" applyBorder="1" applyAlignment="1">
      <alignment horizontal="right" vertical="center"/>
    </xf>
    <xf numFmtId="0" fontId="4" fillId="41" borderId="1" xfId="0" applyFont="1" applyFill="1" applyBorder="1"/>
    <xf numFmtId="0" fontId="3" fillId="41" borderId="2" xfId="0" applyFont="1" applyFill="1" applyBorder="1" applyAlignment="1">
      <alignment horizontal="left" vertical="center"/>
    </xf>
    <xf numFmtId="0" fontId="4" fillId="41" borderId="2" xfId="0" applyFont="1" applyFill="1" applyBorder="1"/>
    <xf numFmtId="0" fontId="4" fillId="41" borderId="2" xfId="0" applyFont="1" applyFill="1" applyBorder="1" applyAlignment="1">
      <alignment horizontal="right"/>
    </xf>
    <xf numFmtId="0" fontId="45" fillId="37" borderId="2" xfId="4" applyFont="1" applyFill="1" applyBorder="1" applyAlignment="1">
      <alignment horizontal="center" vertical="center" wrapText="1"/>
    </xf>
    <xf numFmtId="0" fontId="45" fillId="37" borderId="5" xfId="4" applyFont="1" applyFill="1" applyBorder="1" applyAlignment="1">
      <alignment horizontal="center" vertical="center" wrapText="1"/>
    </xf>
    <xf numFmtId="0" fontId="0" fillId="0" borderId="1" xfId="0" applyBorder="1" applyAlignment="1">
      <alignment horizontal="center" vertical="center"/>
    </xf>
    <xf numFmtId="0" fontId="45" fillId="3" borderId="1" xfId="4" applyFont="1" applyBorder="1" applyAlignment="1">
      <alignment horizontal="center" vertical="center" wrapText="1"/>
    </xf>
    <xf numFmtId="0" fontId="45" fillId="37" borderId="2" xfId="4" applyFont="1" applyFill="1" applyBorder="1" applyAlignment="1">
      <alignment horizontal="center" vertical="center"/>
    </xf>
    <xf numFmtId="0" fontId="48" fillId="0" borderId="0" xfId="0" applyFont="1"/>
    <xf numFmtId="0" fontId="3" fillId="6" borderId="0" xfId="0" applyFont="1" applyFill="1" applyAlignment="1">
      <alignment horizontal="left" vertical="center"/>
    </xf>
    <xf numFmtId="0" fontId="44" fillId="4" borderId="0" xfId="0" applyFont="1" applyFill="1"/>
    <xf numFmtId="0" fontId="4" fillId="4" borderId="0" xfId="0" applyFont="1" applyFill="1"/>
    <xf numFmtId="3" fontId="3" fillId="6" borderId="0" xfId="0" applyNumberFormat="1" applyFont="1" applyFill="1" applyAlignment="1">
      <alignment horizontal="left" vertical="center"/>
    </xf>
    <xf numFmtId="0" fontId="3" fillId="6" borderId="0" xfId="0" applyFont="1" applyFill="1" applyAlignment="1">
      <alignment horizontal="right" vertical="center"/>
    </xf>
    <xf numFmtId="0" fontId="3" fillId="6" borderId="0" xfId="0" applyFont="1" applyFill="1" applyAlignment="1">
      <alignment vertical="center"/>
    </xf>
    <xf numFmtId="3" fontId="4" fillId="5" borderId="0" xfId="0" applyNumberFormat="1" applyFont="1" applyFill="1" applyAlignment="1">
      <alignment wrapText="1"/>
    </xf>
    <xf numFmtId="0" fontId="4" fillId="0" borderId="0" xfId="0" applyFont="1"/>
    <xf numFmtId="3" fontId="4" fillId="4" borderId="0" xfId="0" applyNumberFormat="1" applyFont="1" applyFill="1" applyAlignment="1">
      <alignment horizontal="right"/>
    </xf>
    <xf numFmtId="0" fontId="12" fillId="0" borderId="0" xfId="0" applyFont="1"/>
    <xf numFmtId="0" fontId="40" fillId="0" borderId="0" xfId="0" applyFont="1" applyAlignment="1">
      <alignment vertical="top" wrapText="1"/>
    </xf>
    <xf numFmtId="0" fontId="40" fillId="0" borderId="0" xfId="0" applyFont="1" applyAlignment="1">
      <alignment horizontal="left" vertical="top" wrapText="1"/>
    </xf>
    <xf numFmtId="3" fontId="4" fillId="4" borderId="0" xfId="0" applyNumberFormat="1" applyFont="1" applyFill="1"/>
    <xf numFmtId="4" fontId="3" fillId="4" borderId="0" xfId="0" applyNumberFormat="1" applyFont="1" applyFill="1" applyAlignment="1">
      <alignment vertical="center"/>
    </xf>
    <xf numFmtId="4" fontId="4" fillId="4" borderId="0" xfId="0" applyNumberFormat="1" applyFont="1" applyFill="1" applyAlignment="1">
      <alignment horizontal="right"/>
    </xf>
    <xf numFmtId="4" fontId="3" fillId="4" borderId="0" xfId="0" applyNumberFormat="1" applyFont="1" applyFill="1" applyAlignment="1">
      <alignment horizontal="right" vertical="center"/>
    </xf>
    <xf numFmtId="3" fontId="3" fillId="6" borderId="0" xfId="0" applyNumberFormat="1" applyFont="1" applyFill="1" applyAlignment="1">
      <alignment vertical="center"/>
    </xf>
    <xf numFmtId="2" fontId="4" fillId="4" borderId="0" xfId="0" applyNumberFormat="1" applyFont="1" applyFill="1"/>
    <xf numFmtId="3" fontId="3" fillId="6" borderId="0" xfId="0" applyNumberFormat="1" applyFont="1" applyFill="1" applyAlignment="1">
      <alignment horizontal="right" vertical="center"/>
    </xf>
    <xf numFmtId="4" fontId="4" fillId="4" borderId="0" xfId="0" applyNumberFormat="1" applyFont="1" applyFill="1"/>
    <xf numFmtId="3" fontId="44" fillId="6" borderId="0" xfId="0" applyNumberFormat="1" applyFont="1" applyFill="1" applyAlignment="1">
      <alignment horizontal="right" vertical="center"/>
    </xf>
    <xf numFmtId="0" fontId="18" fillId="0" borderId="0" xfId="0" applyFont="1"/>
    <xf numFmtId="0" fontId="1" fillId="0" borderId="1" xfId="0" applyFont="1" applyBorder="1" applyAlignment="1">
      <alignment horizontal="center" vertical="center" wrapText="1"/>
    </xf>
    <xf numFmtId="0" fontId="46" fillId="42" borderId="1" xfId="4" applyFont="1" applyFill="1" applyBorder="1" applyAlignment="1">
      <alignment horizontal="center" vertical="center" wrapText="1"/>
    </xf>
    <xf numFmtId="0" fontId="45" fillId="0" borderId="0" xfId="4" applyFont="1" applyFill="1" applyBorder="1" applyAlignment="1">
      <alignment horizontal="center" vertical="center" wrapText="1"/>
    </xf>
    <xf numFmtId="0" fontId="46" fillId="39" borderId="1" xfId="0" applyFont="1" applyFill="1" applyBorder="1" applyAlignment="1">
      <alignment horizontal="center"/>
    </xf>
    <xf numFmtId="0" fontId="18" fillId="0" borderId="0" xfId="0" applyFont="1" applyAlignment="1">
      <alignment vertical="top"/>
    </xf>
    <xf numFmtId="0" fontId="50" fillId="5" borderId="1" xfId="0" applyFont="1" applyFill="1" applyBorder="1" applyAlignment="1">
      <alignment horizontal="center" vertical="center" wrapText="1"/>
    </xf>
    <xf numFmtId="0" fontId="50" fillId="4" borderId="1" xfId="0" applyFont="1" applyFill="1" applyBorder="1" applyAlignment="1">
      <alignment horizontal="center" vertical="center" wrapText="1"/>
    </xf>
    <xf numFmtId="0" fontId="18" fillId="0" borderId="0" xfId="0" applyFont="1" applyAlignment="1">
      <alignment vertical="center"/>
    </xf>
    <xf numFmtId="0" fontId="8" fillId="0" borderId="2" xfId="0" applyFont="1" applyBorder="1" applyAlignment="1">
      <alignment horizontal="center" vertical="center"/>
    </xf>
    <xf numFmtId="0" fontId="44" fillId="0" borderId="1" xfId="0" applyFont="1" applyBorder="1" applyAlignment="1">
      <alignment horizontal="center" vertical="center" wrapText="1"/>
    </xf>
    <xf numFmtId="0" fontId="50" fillId="0" borderId="1" xfId="0" applyFont="1" applyBorder="1" applyAlignment="1">
      <alignment horizontal="center" vertical="center" wrapText="1"/>
    </xf>
    <xf numFmtId="0" fontId="4" fillId="0" borderId="1" xfId="0" applyFont="1" applyBorder="1"/>
    <xf numFmtId="2" fontId="4" fillId="41" borderId="1" xfId="153" applyNumberFormat="1" applyFont="1" applyFill="1" applyBorder="1" applyAlignment="1">
      <alignment horizontal="left" vertical="center"/>
    </xf>
    <xf numFmtId="0" fontId="1" fillId="2" borderId="1" xfId="0" applyFont="1" applyFill="1" applyBorder="1" applyAlignment="1">
      <alignment horizontal="center" vertical="center" wrapText="1"/>
    </xf>
    <xf numFmtId="4" fontId="3" fillId="6" borderId="1" xfId="0" applyNumberFormat="1" applyFont="1" applyFill="1" applyBorder="1" applyAlignment="1">
      <alignment horizontal="right" vertical="center"/>
    </xf>
    <xf numFmtId="4" fontId="3" fillId="5" borderId="1" xfId="0" applyNumberFormat="1" applyFont="1" applyFill="1" applyBorder="1" applyAlignment="1">
      <alignment horizontal="right" vertical="center"/>
    </xf>
    <xf numFmtId="3" fontId="3" fillId="5" borderId="1" xfId="0" applyNumberFormat="1" applyFont="1" applyFill="1" applyBorder="1" applyAlignment="1">
      <alignment vertical="center"/>
    </xf>
    <xf numFmtId="4" fontId="4" fillId="0" borderId="1" xfId="0" applyNumberFormat="1" applyFont="1" applyBorder="1"/>
    <xf numFmtId="4" fontId="3" fillId="0" borderId="1" xfId="0" applyNumberFormat="1" applyFont="1" applyBorder="1" applyAlignment="1">
      <alignment horizontal="right" vertical="center"/>
    </xf>
    <xf numFmtId="0" fontId="4" fillId="4" borderId="1" xfId="0" applyFont="1" applyFill="1" applyBorder="1" applyAlignment="1">
      <alignment horizontal="left"/>
    </xf>
    <xf numFmtId="0" fontId="4" fillId="4" borderId="1" xfId="0" applyFont="1" applyFill="1" applyBorder="1" applyAlignment="1">
      <alignment horizontal="right"/>
    </xf>
    <xf numFmtId="4" fontId="4" fillId="0" borderId="1" xfId="0" applyNumberFormat="1" applyFont="1" applyBorder="1" applyAlignment="1">
      <alignment horizontal="right"/>
    </xf>
    <xf numFmtId="1" fontId="51" fillId="4" borderId="26" xfId="0" applyNumberFormat="1" applyFont="1" applyFill="1" applyBorder="1" applyAlignment="1">
      <alignment horizontal="left" vertical="center"/>
    </xf>
    <xf numFmtId="1" fontId="51" fillId="4" borderId="27" xfId="0" applyNumberFormat="1" applyFont="1" applyFill="1" applyBorder="1" applyAlignment="1">
      <alignment horizontal="left" vertical="center"/>
    </xf>
    <xf numFmtId="1" fontId="51" fillId="4" borderId="4" xfId="0" applyNumberFormat="1" applyFont="1" applyFill="1" applyBorder="1" applyAlignment="1">
      <alignment horizontal="left" vertical="center"/>
    </xf>
    <xf numFmtId="1" fontId="51" fillId="4" borderId="28" xfId="0" applyNumberFormat="1" applyFont="1" applyFill="1" applyBorder="1" applyAlignment="1">
      <alignment horizontal="left" vertical="center"/>
    </xf>
    <xf numFmtId="2" fontId="3" fillId="6" borderId="1" xfId="0" applyNumberFormat="1" applyFont="1" applyFill="1" applyBorder="1" applyAlignment="1">
      <alignment horizontal="right" vertical="center"/>
    </xf>
    <xf numFmtId="0" fontId="44" fillId="6" borderId="1" xfId="0" applyFont="1" applyFill="1" applyBorder="1" applyAlignment="1">
      <alignment horizontal="right" vertical="center"/>
    </xf>
    <xf numFmtId="0" fontId="4" fillId="5" borderId="1" xfId="0" applyFont="1" applyFill="1" applyBorder="1" applyAlignment="1">
      <alignment horizontal="left"/>
    </xf>
    <xf numFmtId="2" fontId="4" fillId="4" borderId="1" xfId="0" applyNumberFormat="1" applyFont="1" applyFill="1" applyBorder="1" applyAlignment="1">
      <alignment horizontal="right"/>
    </xf>
    <xf numFmtId="2" fontId="44" fillId="6" borderId="1" xfId="0" applyNumberFormat="1" applyFont="1" applyFill="1" applyBorder="1" applyAlignment="1">
      <alignment horizontal="right" vertical="center"/>
    </xf>
    <xf numFmtId="2" fontId="44" fillId="5" borderId="1" xfId="0" applyNumberFormat="1" applyFont="1" applyFill="1" applyBorder="1" applyAlignment="1">
      <alignment horizontal="right" vertical="center"/>
    </xf>
    <xf numFmtId="1" fontId="51" fillId="4" borderId="1" xfId="0" applyNumberFormat="1" applyFont="1" applyFill="1" applyBorder="1" applyAlignment="1">
      <alignment horizontal="right" vertical="center"/>
    </xf>
    <xf numFmtId="1" fontId="50" fillId="4" borderId="1" xfId="11" applyNumberFormat="1" applyFont="1" applyFill="1" applyBorder="1" applyAlignment="1">
      <alignment horizontal="right" vertical="center"/>
    </xf>
    <xf numFmtId="1" fontId="51" fillId="4" borderId="1" xfId="0" applyNumberFormat="1" applyFont="1" applyFill="1" applyBorder="1" applyAlignment="1">
      <alignment horizontal="left" vertical="center"/>
    </xf>
    <xf numFmtId="1" fontId="51" fillId="4" borderId="26" xfId="0" applyNumberFormat="1" applyFont="1" applyFill="1" applyBorder="1" applyAlignment="1">
      <alignment horizontal="right" vertical="center"/>
    </xf>
    <xf numFmtId="1" fontId="50" fillId="4" borderId="26" xfId="11" applyNumberFormat="1" applyFont="1" applyFill="1" applyBorder="1" applyAlignment="1">
      <alignment horizontal="right" vertical="center"/>
    </xf>
    <xf numFmtId="0" fontId="0" fillId="4" borderId="0" xfId="0" applyFill="1" applyAlignment="1">
      <alignment horizontal="left"/>
    </xf>
    <xf numFmtId="165" fontId="4" fillId="4" borderId="1" xfId="0" applyNumberFormat="1" applyFont="1" applyFill="1" applyBorder="1" applyAlignment="1">
      <alignment horizontal="right"/>
    </xf>
    <xf numFmtId="0" fontId="4" fillId="4" borderId="1" xfId="0" applyFont="1" applyFill="1" applyBorder="1" applyAlignment="1">
      <alignment horizontal="right" wrapText="1"/>
    </xf>
    <xf numFmtId="0" fontId="4" fillId="4" borderId="1" xfId="0" applyFont="1" applyFill="1" applyBorder="1" applyAlignment="1">
      <alignment horizontal="left" wrapText="1"/>
    </xf>
    <xf numFmtId="165" fontId="4" fillId="4" borderId="1" xfId="0" applyNumberFormat="1" applyFont="1" applyFill="1" applyBorder="1" applyAlignment="1">
      <alignment horizontal="right" wrapText="1"/>
    </xf>
    <xf numFmtId="2" fontId="4" fillId="4" borderId="1" xfId="0" applyNumberFormat="1" applyFont="1" applyFill="1" applyBorder="1" applyAlignment="1">
      <alignment horizontal="left"/>
    </xf>
    <xf numFmtId="2" fontId="4" fillId="5" borderId="1" xfId="0" applyNumberFormat="1" applyFont="1" applyFill="1" applyBorder="1" applyAlignment="1">
      <alignment horizontal="left"/>
    </xf>
    <xf numFmtId="2" fontId="50" fillId="5" borderId="1" xfId="0" applyNumberFormat="1" applyFont="1" applyFill="1" applyBorder="1" applyAlignment="1">
      <alignment horizontal="left" vertical="center"/>
    </xf>
    <xf numFmtId="1" fontId="4" fillId="4" borderId="1" xfId="0" applyNumberFormat="1" applyFont="1" applyFill="1" applyBorder="1" applyAlignment="1">
      <alignment horizontal="right"/>
    </xf>
    <xf numFmtId="1" fontId="4" fillId="0" borderId="1" xfId="0" applyNumberFormat="1" applyFont="1" applyBorder="1" applyAlignment="1">
      <alignment horizontal="right"/>
    </xf>
    <xf numFmtId="1" fontId="3" fillId="43" borderId="1" xfId="0" applyNumberFormat="1" applyFont="1" applyFill="1" applyBorder="1" applyAlignment="1">
      <alignment horizontal="right"/>
    </xf>
    <xf numFmtId="1" fontId="4" fillId="4" borderId="22" xfId="0" applyNumberFormat="1" applyFont="1" applyFill="1" applyBorder="1" applyAlignment="1">
      <alignment horizontal="right"/>
    </xf>
    <xf numFmtId="1" fontId="3" fillId="43" borderId="22" xfId="0" applyNumberFormat="1" applyFont="1" applyFill="1" applyBorder="1" applyAlignment="1">
      <alignment horizontal="right"/>
    </xf>
    <xf numFmtId="0" fontId="50" fillId="4" borderId="1" xfId="0" applyFont="1" applyFill="1" applyBorder="1" applyAlignment="1">
      <alignment horizontal="left" vertical="center"/>
    </xf>
    <xf numFmtId="0" fontId="50" fillId="4" borderId="1" xfId="0" applyFont="1" applyFill="1" applyBorder="1" applyAlignment="1">
      <alignment vertical="center"/>
    </xf>
    <xf numFmtId="0" fontId="44" fillId="4" borderId="1" xfId="0" applyFont="1" applyFill="1" applyBorder="1" applyAlignment="1">
      <alignment vertical="center"/>
    </xf>
    <xf numFmtId="0" fontId="3" fillId="0" borderId="1" xfId="0" applyFont="1" applyBorder="1" applyAlignment="1">
      <alignment horizontal="right" vertical="center"/>
    </xf>
    <xf numFmtId="3" fontId="3" fillId="0" borderId="1" xfId="0" applyNumberFormat="1" applyFont="1" applyBorder="1" applyAlignment="1">
      <alignment horizontal="right" vertical="center"/>
    </xf>
    <xf numFmtId="4" fontId="52" fillId="4" borderId="1" xfId="61" applyNumberFormat="1" applyFont="1" applyFill="1" applyBorder="1"/>
    <xf numFmtId="4" fontId="52" fillId="4" borderId="1" xfId="62" applyNumberFormat="1" applyFont="1" applyFill="1" applyBorder="1"/>
    <xf numFmtId="3" fontId="4" fillId="0" borderId="1" xfId="0" applyNumberFormat="1" applyFont="1" applyBorder="1"/>
    <xf numFmtId="2" fontId="4" fillId="2" borderId="1" xfId="0" applyNumberFormat="1" applyFont="1" applyFill="1" applyBorder="1"/>
    <xf numFmtId="4" fontId="4" fillId="6" borderId="1" xfId="0" applyNumberFormat="1" applyFont="1" applyFill="1" applyBorder="1" applyAlignment="1">
      <alignment horizontal="right" vertical="center"/>
    </xf>
    <xf numFmtId="2" fontId="4" fillId="5" borderId="1" xfId="0" applyNumberFormat="1" applyFont="1" applyFill="1" applyBorder="1"/>
    <xf numFmtId="0" fontId="3" fillId="5" borderId="1" xfId="0" applyFont="1" applyFill="1" applyBorder="1" applyAlignment="1">
      <alignment horizontal="left" vertical="center" wrapText="1"/>
    </xf>
    <xf numFmtId="3" fontId="3" fillId="6" borderId="29" xfId="0" applyNumberFormat="1" applyFont="1" applyFill="1" applyBorder="1" applyAlignment="1">
      <alignment horizontal="right" vertical="center"/>
    </xf>
    <xf numFmtId="2" fontId="3" fillId="4" borderId="1" xfId="0" applyNumberFormat="1" applyFont="1" applyFill="1" applyBorder="1" applyAlignment="1">
      <alignment horizontal="right" vertical="center"/>
    </xf>
    <xf numFmtId="2" fontId="3" fillId="4" borderId="29" xfId="0" applyNumberFormat="1" applyFont="1" applyFill="1" applyBorder="1" applyAlignment="1">
      <alignment horizontal="right" vertical="center"/>
    </xf>
    <xf numFmtId="2" fontId="3" fillId="0" borderId="29" xfId="0" applyNumberFormat="1" applyFont="1" applyBorder="1" applyAlignment="1">
      <alignment horizontal="right" vertical="center"/>
    </xf>
    <xf numFmtId="2" fontId="3" fillId="4" borderId="29" xfId="153" applyNumberFormat="1" applyFont="1" applyFill="1" applyBorder="1" applyAlignment="1">
      <alignment horizontal="right" vertical="center"/>
    </xf>
    <xf numFmtId="3" fontId="4" fillId="4" borderId="1" xfId="117" applyNumberFormat="1" applyFont="1" applyFill="1" applyBorder="1"/>
    <xf numFmtId="2" fontId="4" fillId="5" borderId="1" xfId="153" applyNumberFormat="1" applyFont="1" applyFill="1" applyBorder="1" applyAlignment="1">
      <alignment horizontal="right"/>
    </xf>
    <xf numFmtId="2" fontId="4" fillId="5" borderId="1" xfId="153" applyNumberFormat="1" applyFont="1" applyFill="1" applyBorder="1" applyAlignment="1">
      <alignment horizontal="left"/>
    </xf>
    <xf numFmtId="4" fontId="3" fillId="6" borderId="1" xfId="0" applyNumberFormat="1" applyFont="1" applyFill="1" applyBorder="1" applyAlignment="1">
      <alignment horizontal="left" vertical="center"/>
    </xf>
    <xf numFmtId="0" fontId="4" fillId="0" borderId="1" xfId="0" applyFont="1" applyBorder="1" applyAlignment="1">
      <alignment horizontal="center" vertical="center" wrapText="1"/>
    </xf>
    <xf numFmtId="3" fontId="4" fillId="0" borderId="1" xfId="0" applyNumberFormat="1" applyFont="1" applyBorder="1" applyAlignment="1">
      <alignment horizontal="left" vertical="center"/>
    </xf>
    <xf numFmtId="0" fontId="4" fillId="0" borderId="1" xfId="0" applyFont="1" applyBorder="1" applyAlignment="1">
      <alignment horizontal="center" vertical="center"/>
    </xf>
    <xf numFmtId="0" fontId="4" fillId="0" borderId="2" xfId="0" applyFont="1" applyBorder="1" applyAlignment="1">
      <alignment horizontal="center" vertical="center" wrapText="1"/>
    </xf>
    <xf numFmtId="166" fontId="4" fillId="0" borderId="1" xfId="0" applyNumberFormat="1" applyFont="1" applyBorder="1" applyAlignment="1">
      <alignment horizontal="left"/>
    </xf>
    <xf numFmtId="3" fontId="4" fillId="0" borderId="1" xfId="0" applyNumberFormat="1" applyFont="1" applyBorder="1" applyAlignment="1">
      <alignment horizontal="right"/>
    </xf>
    <xf numFmtId="4" fontId="4" fillId="0" borderId="1" xfId="0" applyNumberFormat="1" applyFont="1" applyBorder="1" applyAlignment="1">
      <alignment horizontal="left"/>
    </xf>
    <xf numFmtId="3" fontId="4" fillId="0" borderId="1" xfId="0" applyNumberFormat="1" applyFont="1" applyBorder="1" applyAlignment="1">
      <alignment horizontal="left"/>
    </xf>
    <xf numFmtId="2" fontId="52" fillId="4" borderId="1" xfId="2" applyNumberFormat="1" applyFont="1" applyFill="1" applyBorder="1"/>
    <xf numFmtId="0" fontId="44" fillId="0" borderId="1" xfId="0" applyFont="1" applyBorder="1"/>
    <xf numFmtId="0" fontId="44" fillId="0" borderId="1" xfId="0" applyFont="1" applyBorder="1" applyAlignment="1">
      <alignment vertical="center"/>
    </xf>
    <xf numFmtId="0" fontId="3" fillId="0" borderId="1" xfId="0" applyFont="1" applyBorder="1" applyAlignment="1">
      <alignment horizontal="left"/>
    </xf>
    <xf numFmtId="0" fontId="3" fillId="0" borderId="1" xfId="0" applyFont="1" applyBorder="1" applyAlignment="1">
      <alignment horizontal="left" vertical="center"/>
    </xf>
    <xf numFmtId="3" fontId="4" fillId="4" borderId="1" xfId="0" applyNumberFormat="1" applyFont="1" applyFill="1" applyBorder="1" applyAlignment="1">
      <alignment horizontal="left" vertical="center"/>
    </xf>
    <xf numFmtId="0" fontId="4" fillId="4" borderId="1" xfId="0" applyFont="1" applyFill="1" applyBorder="1" applyAlignment="1">
      <alignment horizontal="left" vertical="center"/>
    </xf>
    <xf numFmtId="3" fontId="4" fillId="4" borderId="1" xfId="0" applyNumberFormat="1" applyFont="1" applyFill="1" applyBorder="1" applyAlignment="1">
      <alignment horizontal="right" vertical="center" wrapText="1"/>
    </xf>
    <xf numFmtId="3" fontId="4" fillId="4" borderId="1" xfId="12" applyNumberFormat="1" applyFont="1" applyFill="1" applyBorder="1" applyAlignment="1">
      <alignment horizontal="right" vertical="center" wrapText="1"/>
    </xf>
    <xf numFmtId="3" fontId="4" fillId="4" borderId="1" xfId="0" applyNumberFormat="1" applyFont="1" applyFill="1" applyBorder="1" applyAlignment="1">
      <alignment vertical="center" wrapText="1"/>
    </xf>
    <xf numFmtId="0" fontId="4" fillId="4" borderId="1" xfId="12" applyFont="1" applyFill="1" applyBorder="1" applyAlignment="1">
      <alignment horizontal="right" vertical="center"/>
    </xf>
    <xf numFmtId="0" fontId="4" fillId="4" borderId="1" xfId="0" applyFont="1" applyFill="1" applyBorder="1" applyAlignment="1">
      <alignment horizontal="right" vertical="center"/>
    </xf>
    <xf numFmtId="2" fontId="51" fillId="4" borderId="1" xfId="0" applyNumberFormat="1" applyFont="1" applyFill="1" applyBorder="1"/>
    <xf numFmtId="2" fontId="51" fillId="4" borderId="1" xfId="51" applyNumberFormat="1" applyFont="1" applyFill="1" applyBorder="1"/>
    <xf numFmtId="1" fontId="4" fillId="4" borderId="1" xfId="0" applyNumberFormat="1" applyFont="1" applyFill="1" applyBorder="1"/>
    <xf numFmtId="2" fontId="53" fillId="6" borderId="1" xfId="0" applyNumberFormat="1" applyFont="1" applyFill="1" applyBorder="1" applyAlignment="1">
      <alignment horizontal="right"/>
    </xf>
    <xf numFmtId="2" fontId="4" fillId="0" borderId="1" xfId="0" applyNumberFormat="1" applyFont="1" applyBorder="1"/>
    <xf numFmtId="2" fontId="4" fillId="0" borderId="1" xfId="0" applyNumberFormat="1" applyFont="1" applyBorder="1" applyAlignment="1">
      <alignment horizontal="right"/>
    </xf>
    <xf numFmtId="0" fontId="4" fillId="2" borderId="1" xfId="0" applyFont="1" applyFill="1" applyBorder="1" applyAlignment="1">
      <alignment horizontal="center" vertical="center" wrapText="1"/>
    </xf>
    <xf numFmtId="0" fontId="46" fillId="39" borderId="0" xfId="0" applyFont="1" applyFill="1" applyAlignment="1">
      <alignment horizontal="center"/>
    </xf>
    <xf numFmtId="0" fontId="0" fillId="39" borderId="0" xfId="0" applyFill="1" applyAlignment="1">
      <alignment horizontal="center"/>
    </xf>
    <xf numFmtId="2" fontId="4" fillId="4" borderId="1" xfId="0" applyNumberFormat="1" applyFont="1" applyFill="1" applyBorder="1" applyAlignment="1" applyProtection="1">
      <alignment horizontal="right"/>
      <protection locked="0"/>
    </xf>
    <xf numFmtId="3" fontId="3" fillId="6" borderId="1" xfId="0" applyNumberFormat="1" applyFont="1" applyFill="1" applyBorder="1" applyAlignment="1">
      <alignment horizontal="left" vertical="center" wrapText="1"/>
    </xf>
    <xf numFmtId="0" fontId="4" fillId="41" borderId="1" xfId="0" applyFont="1" applyFill="1" applyBorder="1" applyAlignment="1">
      <alignment wrapText="1"/>
    </xf>
    <xf numFmtId="0" fontId="3" fillId="6" borderId="1" xfId="0" applyFont="1" applyFill="1" applyBorder="1" applyAlignment="1">
      <alignment horizontal="left" vertical="center" wrapText="1"/>
    </xf>
    <xf numFmtId="0" fontId="3" fillId="6" borderId="2" xfId="0" applyFont="1" applyFill="1" applyBorder="1" applyAlignment="1">
      <alignment horizontal="left" vertical="center" wrapText="1"/>
    </xf>
    <xf numFmtId="2" fontId="8" fillId="0" borderId="1" xfId="0" applyNumberFormat="1" applyFont="1" applyBorder="1" applyAlignment="1">
      <alignment horizontal="center" vertical="center"/>
    </xf>
    <xf numFmtId="2" fontId="8" fillId="0" borderId="24" xfId="0" applyNumberFormat="1" applyFont="1" applyBorder="1" applyAlignment="1">
      <alignment horizontal="center" vertical="center"/>
    </xf>
    <xf numFmtId="1" fontId="8" fillId="0" borderId="24" xfId="0" applyNumberFormat="1" applyFont="1" applyBorder="1" applyAlignment="1">
      <alignment horizontal="center" vertical="center"/>
    </xf>
    <xf numFmtId="0" fontId="4" fillId="0" borderId="0" xfId="0" applyFont="1" applyAlignment="1">
      <alignment horizontal="center" vertical="center"/>
    </xf>
    <xf numFmtId="0" fontId="46" fillId="0" borderId="0" xfId="4" applyFont="1" applyFill="1" applyBorder="1" applyAlignment="1">
      <alignment horizontal="center" vertical="center" wrapText="1"/>
    </xf>
    <xf numFmtId="165" fontId="8" fillId="0" borderId="24" xfId="0" applyNumberFormat="1" applyFont="1" applyBorder="1" applyAlignment="1">
      <alignment horizontal="center" vertical="center"/>
    </xf>
    <xf numFmtId="2" fontId="4" fillId="4" borderId="1" xfId="0" applyNumberFormat="1" applyFont="1" applyFill="1" applyBorder="1" applyAlignment="1">
      <alignment horizontal="right" wrapText="1"/>
    </xf>
    <xf numFmtId="2" fontId="4" fillId="0" borderId="1" xfId="0" applyNumberFormat="1" applyFont="1" applyBorder="1" applyAlignment="1">
      <alignment horizontal="right" wrapText="1"/>
    </xf>
    <xf numFmtId="2" fontId="4" fillId="4" borderId="1" xfId="0" applyNumberFormat="1" applyFont="1" applyFill="1" applyBorder="1" applyAlignment="1">
      <alignment horizontal="left" vertical="center"/>
    </xf>
    <xf numFmtId="0" fontId="4" fillId="41" borderId="2" xfId="0" applyFont="1" applyFill="1" applyBorder="1" applyAlignment="1">
      <alignment wrapText="1"/>
    </xf>
    <xf numFmtId="3" fontId="8" fillId="0" borderId="24" xfId="0" applyNumberFormat="1" applyFont="1" applyBorder="1" applyAlignment="1">
      <alignment horizontal="center" vertical="center"/>
    </xf>
    <xf numFmtId="0" fontId="4" fillId="4" borderId="1" xfId="0" applyFont="1" applyFill="1" applyBorder="1" applyAlignment="1">
      <alignment horizontal="left" vertical="center" wrapText="1"/>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left" vertical="center" wrapText="1"/>
    </xf>
    <xf numFmtId="0" fontId="45" fillId="37" borderId="5" xfId="4" applyFont="1" applyFill="1" applyBorder="1" applyAlignment="1">
      <alignment horizontal="center" vertical="center"/>
    </xf>
    <xf numFmtId="0" fontId="45" fillId="37" borderId="7" xfId="4" applyFont="1" applyFill="1" applyBorder="1" applyAlignment="1">
      <alignment horizontal="center" vertical="center"/>
    </xf>
    <xf numFmtId="2" fontId="4" fillId="4" borderId="1" xfId="0" applyNumberFormat="1" applyFont="1" applyFill="1" applyBorder="1" applyAlignment="1">
      <alignment horizontal="right" vertical="center"/>
    </xf>
    <xf numFmtId="4" fontId="8" fillId="0" borderId="24" xfId="0" applyNumberFormat="1" applyFont="1" applyBorder="1" applyAlignment="1">
      <alignment horizontal="center" vertical="center"/>
    </xf>
    <xf numFmtId="1" fontId="4" fillId="41" borderId="1" xfId="153" applyNumberFormat="1" applyFont="1" applyFill="1" applyBorder="1" applyAlignment="1">
      <alignment horizontal="left" vertical="center"/>
    </xf>
    <xf numFmtId="1" fontId="3" fillId="0" borderId="1" xfId="0" applyNumberFormat="1" applyFont="1" applyBorder="1" applyAlignment="1">
      <alignment horizontal="right" vertical="center"/>
    </xf>
    <xf numFmtId="0" fontId="3" fillId="41" borderId="0" xfId="0" applyFont="1" applyFill="1" applyAlignment="1">
      <alignment horizontal="left" vertical="center"/>
    </xf>
    <xf numFmtId="0" fontId="0" fillId="0" borderId="0" xfId="0" applyAlignment="1">
      <alignment horizontal="center" vertical="center"/>
    </xf>
    <xf numFmtId="0" fontId="4" fillId="41" borderId="0" xfId="0" applyFont="1" applyFill="1"/>
    <xf numFmtId="3" fontId="3" fillId="41" borderId="0" xfId="0" applyNumberFormat="1" applyFont="1" applyFill="1" applyAlignment="1">
      <alignment horizontal="left" vertical="center"/>
    </xf>
    <xf numFmtId="0" fontId="4" fillId="41" borderId="0" xfId="0" applyFont="1" applyFill="1" applyAlignment="1">
      <alignment horizontal="right"/>
    </xf>
    <xf numFmtId="2" fontId="4" fillId="41" borderId="0" xfId="153" applyNumberFormat="1" applyFont="1" applyFill="1" applyBorder="1" applyAlignment="1">
      <alignment horizontal="left" vertical="center"/>
    </xf>
    <xf numFmtId="0" fontId="50" fillId="4" borderId="0" xfId="0" applyFont="1" applyFill="1" applyAlignment="1">
      <alignment horizontal="left" vertical="center"/>
    </xf>
    <xf numFmtId="2" fontId="4" fillId="4" borderId="0" xfId="0" applyNumberFormat="1" applyFont="1" applyFill="1" applyAlignment="1">
      <alignment horizontal="right"/>
    </xf>
    <xf numFmtId="2" fontId="4" fillId="0" borderId="0" xfId="0" applyNumberFormat="1" applyFont="1"/>
    <xf numFmtId="1" fontId="4" fillId="41" borderId="0" xfId="153" applyNumberFormat="1" applyFont="1" applyFill="1" applyBorder="1" applyAlignment="1">
      <alignment horizontal="left" vertical="center"/>
    </xf>
    <xf numFmtId="2" fontId="4" fillId="2" borderId="0" xfId="0" applyNumberFormat="1" applyFont="1" applyFill="1"/>
    <xf numFmtId="2" fontId="51" fillId="4" borderId="0" xfId="0" applyNumberFormat="1" applyFont="1" applyFill="1"/>
    <xf numFmtId="2" fontId="51" fillId="4" borderId="0" xfId="51" applyNumberFormat="1" applyFont="1" applyFill="1"/>
    <xf numFmtId="0" fontId="4" fillId="0" borderId="0" xfId="0" applyFont="1" applyAlignment="1">
      <alignment horizontal="center" vertical="center" wrapText="1"/>
    </xf>
    <xf numFmtId="0" fontId="3" fillId="6" borderId="0" xfId="0" applyFont="1" applyFill="1" applyAlignment="1">
      <alignment horizontal="left" vertical="center" wrapText="1"/>
    </xf>
    <xf numFmtId="0" fontId="4" fillId="41" borderId="0" xfId="0" applyFont="1" applyFill="1" applyAlignment="1">
      <alignment wrapText="1"/>
    </xf>
    <xf numFmtId="0" fontId="3" fillId="0" borderId="0" xfId="0" applyFont="1" applyAlignment="1">
      <alignment horizontal="left" vertical="center" wrapText="1"/>
    </xf>
    <xf numFmtId="0" fontId="4" fillId="0" borderId="0" xfId="0" applyFont="1" applyAlignment="1">
      <alignment wrapText="1"/>
    </xf>
    <xf numFmtId="0" fontId="3" fillId="0" borderId="0" xfId="0" applyFont="1" applyAlignment="1">
      <alignment horizontal="left" vertical="center"/>
    </xf>
    <xf numFmtId="0" fontId="0" fillId="0" borderId="0" xfId="0" applyAlignment="1">
      <alignment wrapText="1"/>
    </xf>
    <xf numFmtId="3" fontId="3" fillId="41" borderId="2" xfId="0" applyNumberFormat="1" applyFont="1" applyFill="1" applyBorder="1" applyAlignment="1">
      <alignment horizontal="left" vertical="center" wrapText="1"/>
    </xf>
    <xf numFmtId="0" fontId="3" fillId="41" borderId="1" xfId="0" applyFont="1" applyFill="1" applyBorder="1" applyAlignment="1">
      <alignment horizontal="left" vertical="center" wrapText="1"/>
    </xf>
    <xf numFmtId="3" fontId="3" fillId="41" borderId="1" xfId="0" applyNumberFormat="1" applyFont="1" applyFill="1" applyBorder="1" applyAlignment="1">
      <alignment horizontal="left" vertical="center" wrapText="1"/>
    </xf>
    <xf numFmtId="3" fontId="3" fillId="4" borderId="1" xfId="0" applyNumberFormat="1" applyFont="1" applyFill="1" applyBorder="1" applyAlignment="1">
      <alignment horizontal="left" vertical="center" wrapText="1"/>
    </xf>
    <xf numFmtId="0" fontId="3" fillId="4" borderId="1" xfId="0" applyFont="1" applyFill="1" applyBorder="1" applyAlignment="1">
      <alignment horizontal="left" vertical="center" wrapText="1"/>
    </xf>
    <xf numFmtId="0" fontId="46" fillId="39" borderId="0" xfId="0" applyFont="1" applyFill="1"/>
    <xf numFmtId="0" fontId="50" fillId="0" borderId="0" xfId="0" applyFont="1" applyAlignment="1">
      <alignment vertical="top" wrapText="1"/>
    </xf>
    <xf numFmtId="0" fontId="50" fillId="0" borderId="0" xfId="0" applyFont="1" applyAlignment="1">
      <alignment horizontal="left" vertical="top" wrapText="1"/>
    </xf>
    <xf numFmtId="2" fontId="50" fillId="4" borderId="0" xfId="0" applyNumberFormat="1" applyFont="1" applyFill="1" applyAlignment="1">
      <alignment horizontal="left" vertical="center"/>
    </xf>
    <xf numFmtId="0" fontId="39" fillId="0" borderId="0" xfId="0" applyFont="1" applyAlignment="1">
      <alignment horizontal="center"/>
    </xf>
    <xf numFmtId="2" fontId="8" fillId="0" borderId="0" xfId="0" applyNumberFormat="1" applyFont="1" applyAlignment="1">
      <alignment horizontal="center" vertical="center"/>
    </xf>
    <xf numFmtId="0" fontId="43" fillId="0" borderId="0" xfId="4" applyFont="1" applyFill="1" applyBorder="1" applyAlignment="1">
      <alignment vertical="center" wrapText="1"/>
    </xf>
    <xf numFmtId="0" fontId="43" fillId="0" borderId="0" xfId="4" applyFont="1" applyFill="1" applyBorder="1" applyAlignment="1">
      <alignment horizontal="center" vertical="center" wrapText="1"/>
    </xf>
    <xf numFmtId="0" fontId="31" fillId="0" borderId="0" xfId="0" applyFont="1" applyAlignment="1">
      <alignment horizontal="center" vertical="center"/>
    </xf>
    <xf numFmtId="0" fontId="8" fillId="0" borderId="0" xfId="0" applyFont="1" applyAlignment="1">
      <alignment horizontal="center" vertical="center"/>
    </xf>
    <xf numFmtId="0" fontId="58" fillId="39" borderId="0" xfId="0" applyFont="1" applyFill="1"/>
    <xf numFmtId="0" fontId="41" fillId="39" borderId="0" xfId="0" applyFont="1" applyFill="1"/>
    <xf numFmtId="0" fontId="41" fillId="39" borderId="0" xfId="0" applyFont="1" applyFill="1" applyAlignment="1">
      <alignment horizontal="center"/>
    </xf>
    <xf numFmtId="0" fontId="18" fillId="39" borderId="0" xfId="0" applyFont="1" applyFill="1"/>
    <xf numFmtId="0" fontId="18" fillId="39" borderId="0" xfId="0" applyFont="1" applyFill="1" applyAlignment="1">
      <alignment horizontal="left" vertical="top"/>
    </xf>
    <xf numFmtId="0" fontId="41" fillId="39" borderId="0" xfId="0" applyFont="1" applyFill="1" applyAlignment="1">
      <alignment horizontal="left" vertical="top"/>
    </xf>
    <xf numFmtId="0" fontId="1" fillId="2" borderId="1" xfId="0" applyFont="1" applyFill="1" applyBorder="1" applyAlignment="1">
      <alignment horizontal="center" vertical="center" wrapText="1"/>
    </xf>
    <xf numFmtId="0" fontId="8" fillId="0" borderId="4" xfId="0" applyFont="1" applyBorder="1" applyAlignment="1">
      <alignment vertical="center" wrapText="1"/>
    </xf>
    <xf numFmtId="0" fontId="8" fillId="0" borderId="23" xfId="0" applyFont="1" applyBorder="1" applyAlignment="1">
      <alignment vertical="center" wrapText="1"/>
    </xf>
    <xf numFmtId="0" fontId="8" fillId="0" borderId="24" xfId="0" applyFont="1" applyBorder="1" applyAlignment="1">
      <alignment vertical="center" wrapText="1"/>
    </xf>
    <xf numFmtId="0" fontId="8" fillId="0" borderId="4" xfId="0" applyFont="1" applyBorder="1" applyAlignment="1">
      <alignment horizontal="left" vertical="center"/>
    </xf>
    <xf numFmtId="0" fontId="8" fillId="0" borderId="23" xfId="0" applyFont="1" applyBorder="1" applyAlignment="1">
      <alignment horizontal="left" vertical="center"/>
    </xf>
    <xf numFmtId="0" fontId="8" fillId="0" borderId="24" xfId="0" applyFont="1" applyBorder="1" applyAlignment="1">
      <alignment horizontal="left" vertical="center"/>
    </xf>
    <xf numFmtId="0" fontId="8" fillId="0" borderId="1" xfId="0" applyFont="1" applyBorder="1" applyAlignment="1">
      <alignment vertical="center" wrapText="1"/>
    </xf>
    <xf numFmtId="0" fontId="8" fillId="0" borderId="1" xfId="0" applyFont="1" applyBorder="1" applyAlignment="1">
      <alignment horizontal="left" vertical="center"/>
    </xf>
    <xf numFmtId="0" fontId="1" fillId="2" borderId="18" xfId="0" applyFont="1" applyFill="1" applyBorder="1" applyAlignment="1">
      <alignment horizontal="center" vertical="center" wrapText="1"/>
    </xf>
    <xf numFmtId="0" fontId="1" fillId="2" borderId="6" xfId="0" applyFont="1" applyFill="1" applyBorder="1" applyAlignment="1">
      <alignment horizontal="center" vertical="center" wrapText="1"/>
    </xf>
    <xf numFmtId="0" fontId="1" fillId="2" borderId="7" xfId="0" applyFont="1" applyFill="1" applyBorder="1" applyAlignment="1">
      <alignment horizontal="center" vertical="center" wrapText="1"/>
    </xf>
    <xf numFmtId="0" fontId="1" fillId="2" borderId="5" xfId="0" applyFont="1" applyFill="1" applyBorder="1" applyAlignment="1">
      <alignment horizontal="center" vertical="center" wrapText="1"/>
    </xf>
    <xf numFmtId="0" fontId="8" fillId="0" borderId="4" xfId="0" applyFont="1" applyBorder="1" applyAlignment="1">
      <alignment horizontal="left" vertical="center" wrapText="1"/>
    </xf>
    <xf numFmtId="0" fontId="8" fillId="0" borderId="23" xfId="0" applyFont="1" applyBorder="1" applyAlignment="1">
      <alignment horizontal="left" vertical="center" wrapText="1"/>
    </xf>
    <xf numFmtId="0" fontId="8" fillId="0" borderId="24" xfId="0" applyFont="1" applyBorder="1" applyAlignment="1">
      <alignment horizontal="left" vertical="center" wrapText="1"/>
    </xf>
    <xf numFmtId="0" fontId="8" fillId="0" borderId="1" xfId="0" applyFont="1" applyBorder="1" applyAlignment="1">
      <alignment horizontal="left" vertical="center" wrapText="1"/>
    </xf>
    <xf numFmtId="0" fontId="1" fillId="2" borderId="21" xfId="0" applyFont="1" applyFill="1" applyBorder="1" applyAlignment="1">
      <alignment horizontal="center" vertical="center" wrapText="1"/>
    </xf>
    <xf numFmtId="0" fontId="1" fillId="2" borderId="20" xfId="0" applyFont="1" applyFill="1" applyBorder="1" applyAlignment="1">
      <alignment horizontal="center" vertical="center" wrapText="1"/>
    </xf>
    <xf numFmtId="0" fontId="8" fillId="0" borderId="4" xfId="0" applyFont="1" applyBorder="1" applyAlignment="1">
      <alignment vertical="top" wrapText="1"/>
    </xf>
    <xf numFmtId="0" fontId="8" fillId="0" borderId="23" xfId="0" applyFont="1" applyBorder="1" applyAlignment="1">
      <alignment vertical="top" wrapText="1"/>
    </xf>
    <xf numFmtId="0" fontId="8" fillId="0" borderId="24" xfId="0" applyFont="1" applyBorder="1" applyAlignment="1">
      <alignment vertical="top" wrapText="1"/>
    </xf>
    <xf numFmtId="0" fontId="8" fillId="0" borderId="4" xfId="0" applyFont="1" applyBorder="1" applyAlignment="1">
      <alignment wrapText="1"/>
    </xf>
    <xf numFmtId="0" fontId="8" fillId="0" borderId="23" xfId="0" applyFont="1" applyBorder="1" applyAlignment="1">
      <alignment wrapText="1"/>
    </xf>
    <xf numFmtId="0" fontId="8" fillId="0" borderId="24" xfId="0" applyFont="1" applyBorder="1" applyAlignment="1">
      <alignment wrapText="1"/>
    </xf>
    <xf numFmtId="0" fontId="1" fillId="2" borderId="4" xfId="0" applyFont="1" applyFill="1" applyBorder="1" applyAlignment="1">
      <alignment horizontal="center" vertical="center" wrapText="1"/>
    </xf>
    <xf numFmtId="0" fontId="1" fillId="2" borderId="23" xfId="0" applyFont="1" applyFill="1" applyBorder="1" applyAlignment="1">
      <alignment horizontal="center" vertical="center" wrapText="1"/>
    </xf>
    <xf numFmtId="0" fontId="43" fillId="3" borderId="1" xfId="4" applyFont="1" applyBorder="1" applyAlignment="1">
      <alignment horizontal="center" vertical="center" wrapText="1"/>
    </xf>
    <xf numFmtId="0" fontId="1" fillId="2" borderId="19" xfId="0"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8" xfId="0" applyFont="1" applyFill="1" applyBorder="1" applyAlignment="1">
      <alignment horizontal="center" vertical="center" wrapText="1"/>
    </xf>
    <xf numFmtId="0" fontId="1" fillId="2" borderId="22" xfId="0" applyFont="1" applyFill="1" applyBorder="1" applyAlignment="1">
      <alignment horizontal="center" vertical="center" wrapText="1"/>
    </xf>
    <xf numFmtId="0" fontId="1" fillId="2" borderId="3" xfId="0" applyFont="1" applyFill="1" applyBorder="1" applyAlignment="1">
      <alignment horizontal="center" vertical="center" wrapText="1"/>
    </xf>
    <xf numFmtId="0" fontId="1" fillId="2" borderId="2" xfId="0" applyFont="1" applyFill="1" applyBorder="1" applyAlignment="1">
      <alignment horizontal="center" vertical="center" wrapText="1"/>
    </xf>
    <xf numFmtId="0" fontId="1" fillId="0" borderId="18" xfId="0" applyFont="1" applyBorder="1" applyAlignment="1">
      <alignment horizontal="center" vertical="center" wrapText="1"/>
    </xf>
    <xf numFmtId="0" fontId="1" fillId="0" borderId="6" xfId="0" applyFont="1" applyBorder="1" applyAlignment="1">
      <alignment horizontal="center" vertical="center" wrapText="1"/>
    </xf>
    <xf numFmtId="0" fontId="1" fillId="0" borderId="7" xfId="0" applyFont="1" applyBorder="1" applyAlignment="1">
      <alignment horizontal="center" vertical="center" wrapText="1"/>
    </xf>
    <xf numFmtId="0" fontId="1" fillId="0" borderId="5" xfId="0" applyFont="1" applyBorder="1" applyAlignment="1">
      <alignment horizontal="center" vertical="center" wrapText="1"/>
    </xf>
    <xf numFmtId="0" fontId="43" fillId="3" borderId="19" xfId="4" applyFont="1" applyBorder="1" applyAlignment="1">
      <alignment horizontal="center" vertical="center" wrapText="1"/>
    </xf>
    <xf numFmtId="0" fontId="43" fillId="3" borderId="6" xfId="4" applyFont="1" applyBorder="1" applyAlignment="1">
      <alignment horizontal="center" vertical="center" wrapText="1"/>
    </xf>
    <xf numFmtId="0" fontId="38" fillId="40" borderId="0" xfId="0" applyFont="1" applyFill="1" applyAlignment="1">
      <alignment horizontal="center" vertical="center"/>
    </xf>
    <xf numFmtId="0" fontId="43" fillId="3" borderId="18" xfId="4" applyFont="1" applyBorder="1" applyAlignment="1">
      <alignment horizontal="center" vertical="center" wrapText="1"/>
    </xf>
    <xf numFmtId="0" fontId="43" fillId="3" borderId="7" xfId="4" applyFont="1" applyBorder="1" applyAlignment="1">
      <alignment horizontal="center" vertical="center" wrapText="1"/>
    </xf>
    <xf numFmtId="0" fontId="46" fillId="39" borderId="0" xfId="0" applyFont="1" applyFill="1" applyAlignment="1">
      <alignment horizontal="left" vertical="center" wrapText="1"/>
    </xf>
    <xf numFmtId="0" fontId="41" fillId="39" borderId="0" xfId="0" applyFont="1" applyFill="1" applyAlignment="1">
      <alignment horizontal="left"/>
    </xf>
    <xf numFmtId="0" fontId="18" fillId="39" borderId="0" xfId="0" applyFont="1" applyFill="1" applyAlignment="1">
      <alignment horizontal="left" wrapText="1"/>
    </xf>
    <xf numFmtId="0" fontId="41" fillId="39" borderId="0" xfId="0" applyFont="1" applyFill="1" applyAlignment="1">
      <alignment horizontal="left" wrapText="1"/>
    </xf>
    <xf numFmtId="0" fontId="57" fillId="39" borderId="0" xfId="0" applyFont="1" applyFill="1" applyAlignment="1">
      <alignment horizontal="center" vertical="center" wrapText="1"/>
    </xf>
    <xf numFmtId="0" fontId="43" fillId="3" borderId="22" xfId="4" applyFont="1" applyBorder="1" applyAlignment="1">
      <alignment horizontal="center" vertical="center" wrapText="1"/>
    </xf>
    <xf numFmtId="0" fontId="43" fillId="3" borderId="2" xfId="4" applyFont="1" applyBorder="1" applyAlignment="1">
      <alignment horizontal="center" vertical="center" wrapText="1"/>
    </xf>
    <xf numFmtId="0" fontId="43" fillId="3" borderId="5" xfId="4" applyFont="1" applyBorder="1" applyAlignment="1">
      <alignment horizontal="center" vertical="center" wrapText="1"/>
    </xf>
    <xf numFmtId="0" fontId="43" fillId="3" borderId="8" xfId="4" applyFont="1" applyBorder="1" applyAlignment="1">
      <alignment horizontal="center" vertical="center" wrapText="1"/>
    </xf>
    <xf numFmtId="0" fontId="4" fillId="4" borderId="0" xfId="0" applyFont="1" applyFill="1" applyAlignment="1">
      <alignment horizontal="left" wrapText="1"/>
    </xf>
    <xf numFmtId="0" fontId="4" fillId="0" borderId="0" xfId="0" applyFont="1" applyAlignment="1">
      <alignment horizontal="left" wrapText="1"/>
    </xf>
    <xf numFmtId="0" fontId="40" fillId="39" borderId="0" xfId="0" applyFont="1" applyFill="1" applyAlignment="1">
      <alignment horizontal="left" vertical="top" wrapText="1"/>
    </xf>
    <xf numFmtId="0" fontId="54" fillId="0" borderId="4" xfId="0" applyFont="1" applyBorder="1" applyAlignment="1">
      <alignment horizontal="left" vertical="center" wrapText="1"/>
    </xf>
    <xf numFmtId="0" fontId="54" fillId="0" borderId="23" xfId="0" applyFont="1" applyBorder="1" applyAlignment="1">
      <alignment horizontal="left" vertical="center" wrapText="1"/>
    </xf>
    <xf numFmtId="0" fontId="54" fillId="0" borderId="24" xfId="0" applyFont="1" applyBorder="1" applyAlignment="1">
      <alignment horizontal="left" vertical="center" wrapText="1"/>
    </xf>
    <xf numFmtId="0" fontId="8" fillId="0" borderId="1" xfId="0" applyFont="1" applyBorder="1" applyAlignment="1">
      <alignment horizontal="left" wrapText="1"/>
    </xf>
    <xf numFmtId="0" fontId="11" fillId="3" borderId="1" xfId="4" applyFont="1" applyBorder="1" applyAlignment="1">
      <alignment horizontal="center" vertical="center" wrapText="1"/>
    </xf>
    <xf numFmtId="0" fontId="18" fillId="39" borderId="0" xfId="0" applyFont="1" applyFill="1" applyAlignment="1">
      <alignment horizontal="left" vertical="top"/>
    </xf>
    <xf numFmtId="0" fontId="42" fillId="39" borderId="25" xfId="0" applyFont="1" applyFill="1" applyBorder="1" applyAlignment="1">
      <alignment horizontal="center"/>
    </xf>
    <xf numFmtId="0" fontId="40" fillId="0" borderId="25" xfId="0" applyFont="1" applyBorder="1" applyAlignment="1">
      <alignment horizontal="center"/>
    </xf>
    <xf numFmtId="0" fontId="41" fillId="0" borderId="25" xfId="0" applyFont="1" applyBorder="1" applyAlignment="1">
      <alignment horizontal="center"/>
    </xf>
    <xf numFmtId="0" fontId="49" fillId="39" borderId="25" xfId="0" applyFont="1" applyFill="1" applyBorder="1" applyAlignment="1">
      <alignment horizontal="center"/>
    </xf>
    <xf numFmtId="0" fontId="40" fillId="0" borderId="30" xfId="0" applyFont="1" applyBorder="1" applyAlignment="1">
      <alignment horizontal="center"/>
    </xf>
    <xf numFmtId="0" fontId="40" fillId="0" borderId="32" xfId="0" applyFont="1" applyBorder="1" applyAlignment="1">
      <alignment horizontal="center"/>
    </xf>
    <xf numFmtId="0" fontId="40" fillId="0" borderId="31" xfId="0" applyFont="1" applyBorder="1" applyAlignment="1">
      <alignment horizontal="center"/>
    </xf>
    <xf numFmtId="0" fontId="8" fillId="0" borderId="1" xfId="0" applyFont="1" applyBorder="1" applyAlignment="1">
      <alignment horizontal="left"/>
    </xf>
    <xf numFmtId="0" fontId="4" fillId="4" borderId="20" xfId="0" applyFont="1" applyFill="1" applyBorder="1" applyAlignment="1">
      <alignment horizontal="left" wrapText="1"/>
    </xf>
  </cellXfs>
  <cellStyles count="170">
    <cellStyle name="20% - Énfasis1" xfId="22" builtinId="30" customBuiltin="1"/>
    <cellStyle name="20% - Énfasis1 2" xfId="83" xr:uid="{00000000-0005-0000-0000-000001000000}"/>
    <cellStyle name="20% - Énfasis2" xfId="26" builtinId="34" customBuiltin="1"/>
    <cellStyle name="20% - Énfasis2 2" xfId="87" xr:uid="{00000000-0005-0000-0000-000003000000}"/>
    <cellStyle name="20% - Énfasis3" xfId="30" builtinId="38" customBuiltin="1"/>
    <cellStyle name="20% - Énfasis3 2" xfId="91" xr:uid="{00000000-0005-0000-0000-000005000000}"/>
    <cellStyle name="20% - Énfasis4" xfId="34" builtinId="42" customBuiltin="1"/>
    <cellStyle name="20% - Énfasis4 2" xfId="95" xr:uid="{00000000-0005-0000-0000-000007000000}"/>
    <cellStyle name="20% - Énfasis5" xfId="38" builtinId="46" customBuiltin="1"/>
    <cellStyle name="20% - Énfasis5 2" xfId="99" xr:uid="{00000000-0005-0000-0000-000009000000}"/>
    <cellStyle name="20% - Énfasis6" xfId="42" builtinId="50" customBuiltin="1"/>
    <cellStyle name="20% - Énfasis6 2" xfId="103" xr:uid="{00000000-0005-0000-0000-00000B000000}"/>
    <cellStyle name="40% - Énfasis1" xfId="23" builtinId="31" customBuiltin="1"/>
    <cellStyle name="40% - Énfasis1 2" xfId="84" xr:uid="{00000000-0005-0000-0000-00000D000000}"/>
    <cellStyle name="40% - Énfasis2" xfId="27" builtinId="35" customBuiltin="1"/>
    <cellStyle name="40% - Énfasis2 2" xfId="88" xr:uid="{00000000-0005-0000-0000-00000F000000}"/>
    <cellStyle name="40% - Énfasis3" xfId="31" builtinId="39" customBuiltin="1"/>
    <cellStyle name="40% - Énfasis3 2" xfId="92" xr:uid="{00000000-0005-0000-0000-000011000000}"/>
    <cellStyle name="40% - Énfasis4" xfId="35" builtinId="43" customBuiltin="1"/>
    <cellStyle name="40% - Énfasis4 2" xfId="96" xr:uid="{00000000-0005-0000-0000-000013000000}"/>
    <cellStyle name="40% - Énfasis5" xfId="39" builtinId="47" customBuiltin="1"/>
    <cellStyle name="40% - Énfasis5 2" xfId="100" xr:uid="{00000000-0005-0000-0000-000015000000}"/>
    <cellStyle name="40% - Énfasis6" xfId="43" builtinId="51" customBuiltin="1"/>
    <cellStyle name="40% - Énfasis6 2" xfId="104" xr:uid="{00000000-0005-0000-0000-000017000000}"/>
    <cellStyle name="60% - Énfasis1" xfId="24" builtinId="32" customBuiltin="1"/>
    <cellStyle name="60% - Énfasis1 2" xfId="85" xr:uid="{00000000-0005-0000-0000-000019000000}"/>
    <cellStyle name="60% - Énfasis1 2 2" xfId="165" xr:uid="{00000000-0005-0000-0000-00001A000000}"/>
    <cellStyle name="60% - Énfasis1 2 3" xfId="166" xr:uid="{00000000-0005-0000-0000-00001B000000}"/>
    <cellStyle name="60% - Énfasis1 3" xfId="121" xr:uid="{00000000-0005-0000-0000-00001C000000}"/>
    <cellStyle name="60% - Énfasis2" xfId="28" builtinId="36" customBuiltin="1"/>
    <cellStyle name="60% - Énfasis2 2" xfId="89" xr:uid="{00000000-0005-0000-0000-00001E000000}"/>
    <cellStyle name="60% - Énfasis2 2 2" xfId="167" xr:uid="{00000000-0005-0000-0000-00001F000000}"/>
    <cellStyle name="60% - Énfasis2 2 3" xfId="155" xr:uid="{00000000-0005-0000-0000-000020000000}"/>
    <cellStyle name="60% - Énfasis2 3" xfId="122" xr:uid="{00000000-0005-0000-0000-000021000000}"/>
    <cellStyle name="60% - Énfasis3" xfId="32" builtinId="40" customBuiltin="1"/>
    <cellStyle name="60% - Énfasis3 2" xfId="93" xr:uid="{00000000-0005-0000-0000-000023000000}"/>
    <cellStyle name="60% - Énfasis3 2 2" xfId="169" xr:uid="{00000000-0005-0000-0000-000024000000}"/>
    <cellStyle name="60% - Énfasis3 2 3" xfId="168" xr:uid="{00000000-0005-0000-0000-000025000000}"/>
    <cellStyle name="60% - Énfasis3 3" xfId="123" xr:uid="{00000000-0005-0000-0000-000026000000}"/>
    <cellStyle name="60% - Énfasis4" xfId="36" builtinId="44" customBuiltin="1"/>
    <cellStyle name="60% - Énfasis4 2" xfId="97" xr:uid="{00000000-0005-0000-0000-000028000000}"/>
    <cellStyle name="60% - Énfasis4 2 2" xfId="162" xr:uid="{00000000-0005-0000-0000-000029000000}"/>
    <cellStyle name="60% - Énfasis4 2 3" xfId="154" xr:uid="{00000000-0005-0000-0000-00002A000000}"/>
    <cellStyle name="60% - Énfasis4 3" xfId="125" xr:uid="{00000000-0005-0000-0000-00002B000000}"/>
    <cellStyle name="60% - Énfasis5" xfId="40" builtinId="48" customBuiltin="1"/>
    <cellStyle name="60% - Énfasis5 2" xfId="101" xr:uid="{00000000-0005-0000-0000-00002D000000}"/>
    <cellStyle name="60% - Énfasis5 2 2" xfId="160" xr:uid="{00000000-0005-0000-0000-00002E000000}"/>
    <cellStyle name="60% - Énfasis5 2 3" xfId="156" xr:uid="{00000000-0005-0000-0000-00002F000000}"/>
    <cellStyle name="60% - Énfasis5 3" xfId="120" xr:uid="{00000000-0005-0000-0000-000030000000}"/>
    <cellStyle name="60% - Énfasis6" xfId="44" builtinId="52" customBuiltin="1"/>
    <cellStyle name="60% - Énfasis6 2" xfId="105" xr:uid="{00000000-0005-0000-0000-000032000000}"/>
    <cellStyle name="60% - Énfasis6 2 2" xfId="161" xr:uid="{00000000-0005-0000-0000-000033000000}"/>
    <cellStyle name="60% - Énfasis6 2 3" xfId="163" xr:uid="{00000000-0005-0000-0000-000034000000}"/>
    <cellStyle name="60% - Énfasis6 3" xfId="128" xr:uid="{00000000-0005-0000-0000-000035000000}"/>
    <cellStyle name="Buena 2" xfId="77" xr:uid="{00000000-0005-0000-0000-000037000000}"/>
    <cellStyle name="Bueno" xfId="10" builtinId="26" customBuiltin="1"/>
    <cellStyle name="Cálculo" xfId="15" builtinId="22" customBuiltin="1"/>
    <cellStyle name="Celda de comprobación" xfId="17" builtinId="23" customBuiltin="1"/>
    <cellStyle name="Celda vinculada" xfId="16" builtinId="24" customBuiltin="1"/>
    <cellStyle name="Encabezado 1" xfId="6" builtinId="16" customBuiltin="1"/>
    <cellStyle name="Encabezado 4" xfId="9" builtinId="19" customBuiltin="1"/>
    <cellStyle name="Encabezado 4 2" xfId="76" xr:uid="{00000000-0005-0000-0000-00003C000000}"/>
    <cellStyle name="Énfasis1" xfId="4" builtinId="29" customBuiltin="1"/>
    <cellStyle name="Énfasis1 2" xfId="60" xr:uid="{00000000-0005-0000-0000-00003E000000}"/>
    <cellStyle name="Énfasis1 3" xfId="116" xr:uid="{00000000-0005-0000-0000-00003F000000}"/>
    <cellStyle name="Énfasis2" xfId="25" builtinId="33" customBuiltin="1"/>
    <cellStyle name="Énfasis2 2" xfId="86" xr:uid="{00000000-0005-0000-0000-000041000000}"/>
    <cellStyle name="Énfasis3" xfId="29" builtinId="37" customBuiltin="1"/>
    <cellStyle name="Énfasis3 2" xfId="90" xr:uid="{00000000-0005-0000-0000-000043000000}"/>
    <cellStyle name="Énfasis4" xfId="33" builtinId="41" customBuiltin="1"/>
    <cellStyle name="Énfasis4 2" xfId="94" xr:uid="{00000000-0005-0000-0000-000045000000}"/>
    <cellStyle name="Énfasis5" xfId="37" builtinId="45" customBuiltin="1"/>
    <cellStyle name="Énfasis5 2" xfId="98" xr:uid="{00000000-0005-0000-0000-000047000000}"/>
    <cellStyle name="Énfasis6" xfId="41" builtinId="49" customBuiltin="1"/>
    <cellStyle name="Énfasis6 2" xfId="102" xr:uid="{00000000-0005-0000-0000-000049000000}"/>
    <cellStyle name="Entrada" xfId="13" builtinId="20" customBuiltin="1"/>
    <cellStyle name="Hipervínculo 2" xfId="73" xr:uid="{00000000-0005-0000-0000-00004B000000}"/>
    <cellStyle name="Hipervínculo 3" xfId="118" xr:uid="{00000000-0005-0000-0000-00004C000000}"/>
    <cellStyle name="Hyperlink" xfId="47" xr:uid="{00000000-0005-0000-0000-00004D000000}"/>
    <cellStyle name="Hyperlink 2" xfId="151" xr:uid="{00000000-0005-0000-0000-00004E000000}"/>
    <cellStyle name="Hyperlink 3" xfId="148" xr:uid="{00000000-0005-0000-0000-00004F000000}"/>
    <cellStyle name="Incorrecto" xfId="11" builtinId="27" customBuiltin="1"/>
    <cellStyle name="Incorrecto 2" xfId="78" xr:uid="{00000000-0005-0000-0000-000051000000}"/>
    <cellStyle name="Millares [0] 2" xfId="130" xr:uid="{00000000-0005-0000-0000-000052000000}"/>
    <cellStyle name="Millares 2" xfId="49" xr:uid="{00000000-0005-0000-0000-000053000000}"/>
    <cellStyle name="Millares 2 2" xfId="58" xr:uid="{00000000-0005-0000-0000-000054000000}"/>
    <cellStyle name="Millares 2 2 2" xfId="144" xr:uid="{00000000-0005-0000-0000-000055000000}"/>
    <cellStyle name="Millares 2 3" xfId="141" xr:uid="{00000000-0005-0000-0000-000056000000}"/>
    <cellStyle name="Neutral" xfId="12" builtinId="28" customBuiltin="1"/>
    <cellStyle name="Neutral 2" xfId="79" xr:uid="{00000000-0005-0000-0000-000058000000}"/>
    <cellStyle name="Neutral 2 2" xfId="164" xr:uid="{00000000-0005-0000-0000-000059000000}"/>
    <cellStyle name="Neutral 2 3" xfId="157" xr:uid="{00000000-0005-0000-0000-00005A000000}"/>
    <cellStyle name="Neutral 3" xfId="124" xr:uid="{00000000-0005-0000-0000-00005B000000}"/>
    <cellStyle name="Normal" xfId="0" builtinId="0"/>
    <cellStyle name="Normal 10" xfId="147" xr:uid="{00000000-0005-0000-0000-00005D000000}"/>
    <cellStyle name="Normal 2" xfId="1" xr:uid="{00000000-0005-0000-0000-00005E000000}"/>
    <cellStyle name="Normal 2 10" xfId="127" xr:uid="{00000000-0005-0000-0000-00005F000000}"/>
    <cellStyle name="Normal 2 10 2" xfId="137" xr:uid="{00000000-0005-0000-0000-000060000000}"/>
    <cellStyle name="Normal 2 10 3" xfId="138" xr:uid="{00000000-0005-0000-0000-000061000000}"/>
    <cellStyle name="Normal 2 11" xfId="135" xr:uid="{00000000-0005-0000-0000-000062000000}"/>
    <cellStyle name="Normal 2 12" xfId="158" xr:uid="{00000000-0005-0000-0000-000063000000}"/>
    <cellStyle name="Normal 2 13" xfId="159" xr:uid="{00000000-0005-0000-0000-000064000000}"/>
    <cellStyle name="Normal 2 2" xfId="45" xr:uid="{00000000-0005-0000-0000-000065000000}"/>
    <cellStyle name="Normal 2 2 2" xfId="71" xr:uid="{00000000-0005-0000-0000-000066000000}"/>
    <cellStyle name="Normal 2 2 2 2" xfId="114" xr:uid="{00000000-0005-0000-0000-000067000000}"/>
    <cellStyle name="Normal 2 2 3" xfId="115" xr:uid="{00000000-0005-0000-0000-000068000000}"/>
    <cellStyle name="Normal 2 2 4" xfId="131" xr:uid="{00000000-0005-0000-0000-000069000000}"/>
    <cellStyle name="Normal 2 3" xfId="48" xr:uid="{00000000-0005-0000-0000-00006A000000}"/>
    <cellStyle name="Normal 2 3 2" xfId="106" xr:uid="{00000000-0005-0000-0000-00006B000000}"/>
    <cellStyle name="Normal 2 3 3" xfId="132" xr:uid="{00000000-0005-0000-0000-00006C000000}"/>
    <cellStyle name="Normal 2 4" xfId="51" xr:uid="{00000000-0005-0000-0000-00006D000000}"/>
    <cellStyle name="Normal 2 4 2" xfId="107" xr:uid="{00000000-0005-0000-0000-00006E000000}"/>
    <cellStyle name="Normal 2 4 3" xfId="134" xr:uid="{00000000-0005-0000-0000-00006F000000}"/>
    <cellStyle name="Normal 2 5" xfId="53" xr:uid="{00000000-0005-0000-0000-000070000000}"/>
    <cellStyle name="Normal 2 6" xfId="55" xr:uid="{00000000-0005-0000-0000-000071000000}"/>
    <cellStyle name="Normal 2 7" xfId="56" xr:uid="{00000000-0005-0000-0000-000072000000}"/>
    <cellStyle name="Normal 2 8" xfId="59" xr:uid="{00000000-0005-0000-0000-000073000000}"/>
    <cellStyle name="Normal 2 9" xfId="74" xr:uid="{00000000-0005-0000-0000-000074000000}"/>
    <cellStyle name="Normal 3" xfId="2" xr:uid="{00000000-0005-0000-0000-000075000000}"/>
    <cellStyle name="Normal 3 2" xfId="139" xr:uid="{00000000-0005-0000-0000-000076000000}"/>
    <cellStyle name="Normal 3 2 2" xfId="146" xr:uid="{00000000-0005-0000-0000-000077000000}"/>
    <cellStyle name="Normal 4" xfId="3" xr:uid="{00000000-0005-0000-0000-000078000000}"/>
    <cellStyle name="Normal 4 2" xfId="50" xr:uid="{00000000-0005-0000-0000-000079000000}"/>
    <cellStyle name="Normal 4 2 2" xfId="109" xr:uid="{00000000-0005-0000-0000-00007A000000}"/>
    <cellStyle name="Normal 4 2 3" xfId="112" xr:uid="{00000000-0005-0000-0000-00007B000000}"/>
    <cellStyle name="Normal 4 2 4" xfId="108" xr:uid="{00000000-0005-0000-0000-00007C000000}"/>
    <cellStyle name="Normal 4 2 5" xfId="133" xr:uid="{00000000-0005-0000-0000-00007D000000}"/>
    <cellStyle name="Normal 4 3" xfId="111" xr:uid="{00000000-0005-0000-0000-00007E000000}"/>
    <cellStyle name="Normal 5" xfId="70" xr:uid="{00000000-0005-0000-0000-00007F000000}"/>
    <cellStyle name="Normal 5 2" xfId="110" xr:uid="{00000000-0005-0000-0000-000080000000}"/>
    <cellStyle name="Normal 5 3" xfId="113" xr:uid="{00000000-0005-0000-0000-000081000000}"/>
    <cellStyle name="Normal 5 4" xfId="143" xr:uid="{00000000-0005-0000-0000-000082000000}"/>
    <cellStyle name="Normal 5 5" xfId="145" xr:uid="{00000000-0005-0000-0000-000083000000}"/>
    <cellStyle name="Normal 5 6" xfId="136" xr:uid="{00000000-0005-0000-0000-000084000000}"/>
    <cellStyle name="Normal 6" xfId="61" xr:uid="{00000000-0005-0000-0000-000085000000}"/>
    <cellStyle name="Normal 7" xfId="62" xr:uid="{00000000-0005-0000-0000-000086000000}"/>
    <cellStyle name="Normal 8" xfId="117" xr:uid="{00000000-0005-0000-0000-000087000000}"/>
    <cellStyle name="Normal 9" xfId="129" xr:uid="{00000000-0005-0000-0000-000088000000}"/>
    <cellStyle name="Normal 9 2" xfId="152" xr:uid="{00000000-0005-0000-0000-000089000000}"/>
    <cellStyle name="Normal 9 3" xfId="149" xr:uid="{00000000-0005-0000-0000-00008A000000}"/>
    <cellStyle name="Notas" xfId="19" builtinId="10" customBuiltin="1"/>
    <cellStyle name="Notas 2" xfId="54" xr:uid="{00000000-0005-0000-0000-00008C000000}"/>
    <cellStyle name="Notas 3" xfId="81" xr:uid="{00000000-0005-0000-0000-00008D000000}"/>
    <cellStyle name="Notas 4" xfId="150" xr:uid="{00000000-0005-0000-0000-00008E000000}"/>
    <cellStyle name="Porcentaje" xfId="153" builtinId="5"/>
    <cellStyle name="Porcentaje 2" xfId="72" xr:uid="{00000000-0005-0000-0000-000090000000}"/>
    <cellStyle name="Porcentaje 2 2" xfId="142" xr:uid="{00000000-0005-0000-0000-000091000000}"/>
    <cellStyle name="Porcentaje 2 3" xfId="140" xr:uid="{00000000-0005-0000-0000-000092000000}"/>
    <cellStyle name="Porcentual 2 2" xfId="57" xr:uid="{00000000-0005-0000-0000-000093000000}"/>
    <cellStyle name="Salida" xfId="14" builtinId="21" customBuiltin="1"/>
    <cellStyle name="style1513956897656" xfId="52" xr:uid="{00000000-0005-0000-0000-000095000000}"/>
    <cellStyle name="style1584733262826" xfId="67" xr:uid="{00000000-0005-0000-0000-000096000000}"/>
    <cellStyle name="style1584733263029" xfId="63" xr:uid="{00000000-0005-0000-0000-000097000000}"/>
    <cellStyle name="style1584735098697" xfId="68" xr:uid="{00000000-0005-0000-0000-000098000000}"/>
    <cellStyle name="style1584735098869" xfId="65" xr:uid="{00000000-0005-0000-0000-000099000000}"/>
    <cellStyle name="style1584735139633" xfId="119" xr:uid="{00000000-0005-0000-0000-00009A000000}"/>
    <cellStyle name="style1584735139773" xfId="66" xr:uid="{00000000-0005-0000-0000-00009B000000}"/>
    <cellStyle name="style1584735188043" xfId="69" xr:uid="{00000000-0005-0000-0000-00009C000000}"/>
    <cellStyle name="style1584735188184" xfId="64" xr:uid="{00000000-0005-0000-0000-00009D000000}"/>
    <cellStyle name="Texto de advertencia" xfId="18" builtinId="11" customBuiltin="1"/>
    <cellStyle name="Texto de advertencia 2" xfId="80" xr:uid="{00000000-0005-0000-0000-00009F000000}"/>
    <cellStyle name="Texto explicativo" xfId="20" builtinId="53" customBuiltin="1"/>
    <cellStyle name="Texto explicativo 2" xfId="82" xr:uid="{00000000-0005-0000-0000-0000A1000000}"/>
    <cellStyle name="Título" xfId="5" builtinId="15" customBuiltin="1"/>
    <cellStyle name="Título 2" xfId="7" builtinId="17" customBuiltin="1"/>
    <cellStyle name="Título 3" xfId="8" builtinId="18" customBuiltin="1"/>
    <cellStyle name="Título 4" xfId="46" xr:uid="{00000000-0005-0000-0000-0000A6000000}"/>
    <cellStyle name="Título 5" xfId="75" xr:uid="{00000000-0005-0000-0000-0000A7000000}"/>
    <cellStyle name="Título 6" xfId="126" xr:uid="{00000000-0005-0000-0000-0000A8000000}"/>
    <cellStyle name="Total" xfId="21" builtinId="25" customBuiltin="1"/>
  </cellStyles>
  <dxfs count="0"/>
  <tableStyles count="0" defaultTableStyle="TableStyleMedium2" defaultPivotStyle="PivotStyleMedium9"/>
  <colors>
    <mruColors>
      <color rgb="FFFFFF66"/>
      <color rgb="FFDDDDDD"/>
      <color rgb="FFFFCC00"/>
      <color rgb="FFCC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LB2018'!A10"/><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3.png"/><Relationship Id="rId4" Type="http://schemas.openxmlformats.org/officeDocument/2006/relationships/hyperlink" Target="#'LB2018'!A155"/></Relationships>
</file>

<file path=xl/drawings/_rels/drawing3.xml.rels><?xml version="1.0" encoding="UTF-8" standalone="yes"?>
<Relationships xmlns="http://schemas.openxmlformats.org/package/2006/relationships"><Relationship Id="rId3" Type="http://schemas.openxmlformats.org/officeDocument/2006/relationships/hyperlink" Target="#'ACT2019'!A10"/><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3.png"/><Relationship Id="rId4" Type="http://schemas.openxmlformats.org/officeDocument/2006/relationships/hyperlink" Target="#'ACT2019'!A155"/></Relationships>
</file>

<file path=xl/drawings/_rels/drawing4.xml.rels><?xml version="1.0" encoding="UTF-8" standalone="yes"?>
<Relationships xmlns="http://schemas.openxmlformats.org/package/2006/relationships"><Relationship Id="rId3" Type="http://schemas.openxmlformats.org/officeDocument/2006/relationships/hyperlink" Target="#'ACT2020'!A10"/><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3.png"/><Relationship Id="rId4" Type="http://schemas.openxmlformats.org/officeDocument/2006/relationships/hyperlink" Target="#'ACT2020'!A155"/></Relationships>
</file>

<file path=xl/drawings/_rels/drawing5.x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3.png"/><Relationship Id="rId5" Type="http://schemas.openxmlformats.org/officeDocument/2006/relationships/hyperlink" Target="#REPORTE!A3"/><Relationship Id="rId4" Type="http://schemas.openxmlformats.org/officeDocument/2006/relationships/hyperlink" Target="#REPORTE!A130"/></Relationships>
</file>

<file path=xl/drawings/drawing1.xml><?xml version="1.0" encoding="utf-8"?>
<xdr:wsDr xmlns:xdr="http://schemas.openxmlformats.org/drawingml/2006/spreadsheetDrawing" xmlns:a="http://schemas.openxmlformats.org/drawingml/2006/main">
  <xdr:twoCellAnchor>
    <xdr:from>
      <xdr:col>2</xdr:col>
      <xdr:colOff>752475</xdr:colOff>
      <xdr:row>0</xdr:row>
      <xdr:rowOff>0</xdr:rowOff>
    </xdr:from>
    <xdr:to>
      <xdr:col>4</xdr:col>
      <xdr:colOff>308475</xdr:colOff>
      <xdr:row>0</xdr:row>
      <xdr:rowOff>648000</xdr:rowOff>
    </xdr:to>
    <xdr:sp macro="[0]!_xludf.INDICE" textlink="">
      <xdr:nvSpPr>
        <xdr:cNvPr id="2" name="1 Recortar rectángulo de esquina sencilla">
          <a:extLst>
            <a:ext uri="{FF2B5EF4-FFF2-40B4-BE49-F238E27FC236}">
              <a16:creationId xmlns:a16="http://schemas.microsoft.com/office/drawing/2014/main" id="{00000000-0008-0000-0000-000002000000}"/>
            </a:ext>
          </a:extLst>
        </xdr:cNvPr>
        <xdr:cNvSpPr/>
      </xdr:nvSpPr>
      <xdr:spPr>
        <a:xfrm rot="5400000">
          <a:off x="3111600" y="-216000"/>
          <a:ext cx="648000" cy="1080000"/>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800" b="1"/>
            <a:t>INDICE</a:t>
          </a:r>
        </a:p>
      </xdr:txBody>
    </xdr:sp>
    <xdr:clientData/>
  </xdr:twoCellAnchor>
  <xdr:twoCellAnchor>
    <xdr:from>
      <xdr:col>6</xdr:col>
      <xdr:colOff>61914</xdr:colOff>
      <xdr:row>0</xdr:row>
      <xdr:rowOff>0</xdr:rowOff>
    </xdr:from>
    <xdr:to>
      <xdr:col>7</xdr:col>
      <xdr:colOff>379914</xdr:colOff>
      <xdr:row>0</xdr:row>
      <xdr:rowOff>432000</xdr:rowOff>
    </xdr:to>
    <xdr:sp macro="[0]!segunda" textlink="">
      <xdr:nvSpPr>
        <xdr:cNvPr id="4" name="3 Recortar rectángulo de esquina sencilla">
          <a:extLst>
            <a:ext uri="{FF2B5EF4-FFF2-40B4-BE49-F238E27FC236}">
              <a16:creationId xmlns:a16="http://schemas.microsoft.com/office/drawing/2014/main" id="{00000000-0008-0000-0000-000004000000}"/>
            </a:ext>
          </a:extLst>
        </xdr:cNvPr>
        <xdr:cNvSpPr/>
      </xdr:nvSpPr>
      <xdr:spPr>
        <a:xfrm rot="5400000">
          <a:off x="5577039" y="-324000"/>
          <a:ext cx="432000" cy="1080000"/>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ACT2019</a:t>
          </a:r>
        </a:p>
      </xdr:txBody>
    </xdr:sp>
    <xdr:clientData/>
  </xdr:twoCellAnchor>
  <xdr:twoCellAnchor>
    <xdr:from>
      <xdr:col>7</xdr:col>
      <xdr:colOff>471488</xdr:colOff>
      <xdr:row>0</xdr:row>
      <xdr:rowOff>0</xdr:rowOff>
    </xdr:from>
    <xdr:to>
      <xdr:col>8</xdr:col>
      <xdr:colOff>560888</xdr:colOff>
      <xdr:row>0</xdr:row>
      <xdr:rowOff>432000</xdr:rowOff>
    </xdr:to>
    <xdr:sp macro="[0]!tercera" textlink="">
      <xdr:nvSpPr>
        <xdr:cNvPr id="5" name="4 Recortar rectángulo de esquina sencilla">
          <a:extLst>
            <a:ext uri="{FF2B5EF4-FFF2-40B4-BE49-F238E27FC236}">
              <a16:creationId xmlns:a16="http://schemas.microsoft.com/office/drawing/2014/main" id="{00000000-0008-0000-0000-000005000000}"/>
            </a:ext>
          </a:extLst>
        </xdr:cNvPr>
        <xdr:cNvSpPr/>
      </xdr:nvSpPr>
      <xdr:spPr>
        <a:xfrm rot="5400000">
          <a:off x="6862913" y="-324000"/>
          <a:ext cx="432000" cy="1080000"/>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ACT2020</a:t>
          </a:r>
        </a:p>
      </xdr:txBody>
    </xdr:sp>
    <xdr:clientData/>
  </xdr:twoCellAnchor>
  <xdr:twoCellAnchor editAs="oneCell">
    <xdr:from>
      <xdr:col>20</xdr:col>
      <xdr:colOff>754096</xdr:colOff>
      <xdr:row>0</xdr:row>
      <xdr:rowOff>114300</xdr:rowOff>
    </xdr:from>
    <xdr:to>
      <xdr:col>21</xdr:col>
      <xdr:colOff>546600</xdr:colOff>
      <xdr:row>0</xdr:row>
      <xdr:rowOff>645374</xdr:rowOff>
    </xdr:to>
    <xdr:pic>
      <xdr:nvPicPr>
        <xdr:cNvPr id="10" name="9 Imagen">
          <a:extLst>
            <a:ext uri="{FF2B5EF4-FFF2-40B4-BE49-F238E27FC236}">
              <a16:creationId xmlns:a16="http://schemas.microsoft.com/office/drawing/2014/main" id="{00000000-0008-0000-0000-000004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0" r="43423"/>
        <a:stretch/>
      </xdr:blipFill>
      <xdr:spPr>
        <a:xfrm>
          <a:off x="16613221" y="114300"/>
          <a:ext cx="554504" cy="531074"/>
        </a:xfrm>
        <a:prstGeom prst="rect">
          <a:avLst/>
        </a:prstGeom>
      </xdr:spPr>
    </xdr:pic>
    <xdr:clientData/>
  </xdr:twoCellAnchor>
  <xdr:twoCellAnchor editAs="oneCell">
    <xdr:from>
      <xdr:col>21</xdr:col>
      <xdr:colOff>588927</xdr:colOff>
      <xdr:row>0</xdr:row>
      <xdr:rowOff>114300</xdr:rowOff>
    </xdr:from>
    <xdr:to>
      <xdr:col>22</xdr:col>
      <xdr:colOff>360327</xdr:colOff>
      <xdr:row>0</xdr:row>
      <xdr:rowOff>647700</xdr:rowOff>
    </xdr:to>
    <xdr:pic>
      <xdr:nvPicPr>
        <xdr:cNvPr id="11" name="10 Imagen">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7210052" y="114300"/>
          <a:ext cx="533400" cy="533400"/>
        </a:xfrm>
        <a:prstGeom prst="rect">
          <a:avLst/>
        </a:prstGeom>
      </xdr:spPr>
    </xdr:pic>
    <xdr:clientData/>
  </xdr:twoCellAnchor>
  <xdr:twoCellAnchor>
    <xdr:from>
      <xdr:col>4</xdr:col>
      <xdr:colOff>433389</xdr:colOff>
      <xdr:row>0</xdr:row>
      <xdr:rowOff>0</xdr:rowOff>
    </xdr:from>
    <xdr:to>
      <xdr:col>5</xdr:col>
      <xdr:colOff>751389</xdr:colOff>
      <xdr:row>0</xdr:row>
      <xdr:rowOff>432000</xdr:rowOff>
    </xdr:to>
    <xdr:sp macro="[0]!primera" textlink="">
      <xdr:nvSpPr>
        <xdr:cNvPr id="12" name="11 Recortar rectángulo de esquina sencilla">
          <a:extLst>
            <a:ext uri="{FF2B5EF4-FFF2-40B4-BE49-F238E27FC236}">
              <a16:creationId xmlns:a16="http://schemas.microsoft.com/office/drawing/2014/main" id="{00000000-0008-0000-0000-00000C000000}"/>
            </a:ext>
          </a:extLst>
        </xdr:cNvPr>
        <xdr:cNvSpPr/>
      </xdr:nvSpPr>
      <xdr:spPr>
        <a:xfrm rot="5400000">
          <a:off x="4424514" y="-324000"/>
          <a:ext cx="432000" cy="1080000"/>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LB2018</a:t>
          </a:r>
        </a:p>
      </xdr:txBody>
    </xdr:sp>
    <xdr:clientData/>
  </xdr:twoCellAnchor>
  <xdr:twoCellAnchor>
    <xdr:from>
      <xdr:col>8</xdr:col>
      <xdr:colOff>695325</xdr:colOff>
      <xdr:row>0</xdr:row>
      <xdr:rowOff>0</xdr:rowOff>
    </xdr:from>
    <xdr:to>
      <xdr:col>10</xdr:col>
      <xdr:colOff>251325</xdr:colOff>
      <xdr:row>0</xdr:row>
      <xdr:rowOff>432000</xdr:rowOff>
    </xdr:to>
    <xdr:sp macro="[0]!reporte" textlink="">
      <xdr:nvSpPr>
        <xdr:cNvPr id="15" name="14 Recortar rectángulo de esquina sencilla">
          <a:extLst>
            <a:ext uri="{FF2B5EF4-FFF2-40B4-BE49-F238E27FC236}">
              <a16:creationId xmlns:a16="http://schemas.microsoft.com/office/drawing/2014/main" id="{00000000-0008-0000-0000-00000F000000}"/>
            </a:ext>
          </a:extLst>
        </xdr:cNvPr>
        <xdr:cNvSpPr/>
      </xdr:nvSpPr>
      <xdr:spPr>
        <a:xfrm rot="5400000">
          <a:off x="8077350" y="-324000"/>
          <a:ext cx="432000" cy="1080000"/>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REPORTE</a:t>
          </a:r>
        </a:p>
      </xdr:txBody>
    </xdr:sp>
    <xdr:clientData/>
  </xdr:twoCellAnchor>
  <xdr:twoCellAnchor editAs="oneCell">
    <xdr:from>
      <xdr:col>20</xdr:col>
      <xdr:colOff>115661</xdr:colOff>
      <xdr:row>0</xdr:row>
      <xdr:rowOff>115661</xdr:rowOff>
    </xdr:from>
    <xdr:to>
      <xdr:col>20</xdr:col>
      <xdr:colOff>707572</xdr:colOff>
      <xdr:row>0</xdr:row>
      <xdr:rowOff>651863</xdr:rowOff>
    </xdr:to>
    <xdr:pic>
      <xdr:nvPicPr>
        <xdr:cNvPr id="3" name="2 Imagen">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6036018" y="115661"/>
          <a:ext cx="591911" cy="53620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444000</xdr:colOff>
      <xdr:row>0</xdr:row>
      <xdr:rowOff>0</xdr:rowOff>
    </xdr:from>
    <xdr:to>
      <xdr:col>2</xdr:col>
      <xdr:colOff>9525</xdr:colOff>
      <xdr:row>0</xdr:row>
      <xdr:rowOff>432000</xdr:rowOff>
    </xdr:to>
    <xdr:sp macro="[0]!_xludf.INDICE" textlink="">
      <xdr:nvSpPr>
        <xdr:cNvPr id="4" name="3 Recortar rectángulo de esquina sencilla">
          <a:extLst>
            <a:ext uri="{FF2B5EF4-FFF2-40B4-BE49-F238E27FC236}">
              <a16:creationId xmlns:a16="http://schemas.microsoft.com/office/drawing/2014/main" id="{00000000-0008-0000-0100-000004000000}"/>
            </a:ext>
          </a:extLst>
        </xdr:cNvPr>
        <xdr:cNvSpPr/>
      </xdr:nvSpPr>
      <xdr:spPr>
        <a:xfrm rot="5400000">
          <a:off x="2015775" y="-324000"/>
          <a:ext cx="432000" cy="1080000"/>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INDICE</a:t>
          </a:r>
        </a:p>
      </xdr:txBody>
    </xdr:sp>
    <xdr:clientData/>
  </xdr:twoCellAnchor>
  <xdr:twoCellAnchor>
    <xdr:from>
      <xdr:col>2</xdr:col>
      <xdr:colOff>96339</xdr:colOff>
      <xdr:row>0</xdr:row>
      <xdr:rowOff>0</xdr:rowOff>
    </xdr:from>
    <xdr:to>
      <xdr:col>2</xdr:col>
      <xdr:colOff>1176339</xdr:colOff>
      <xdr:row>0</xdr:row>
      <xdr:rowOff>648000</xdr:rowOff>
    </xdr:to>
    <xdr:sp macro="[0]!primera" textlink="">
      <xdr:nvSpPr>
        <xdr:cNvPr id="6" name="5 Recortar rectángulo de esquina sencilla">
          <a:extLst>
            <a:ext uri="{FF2B5EF4-FFF2-40B4-BE49-F238E27FC236}">
              <a16:creationId xmlns:a16="http://schemas.microsoft.com/office/drawing/2014/main" id="{00000000-0008-0000-0100-000006000000}"/>
            </a:ext>
          </a:extLst>
        </xdr:cNvPr>
        <xdr:cNvSpPr/>
      </xdr:nvSpPr>
      <xdr:spPr>
        <a:xfrm rot="5400000">
          <a:off x="3074589" y="-216000"/>
          <a:ext cx="648000" cy="1080000"/>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800" b="1" i="0"/>
            <a:t>LB2018</a:t>
          </a:r>
          <a:endParaRPr lang="es-CL" sz="1600" b="1" i="0"/>
        </a:p>
      </xdr:txBody>
    </xdr:sp>
    <xdr:clientData/>
  </xdr:twoCellAnchor>
  <xdr:twoCellAnchor>
    <xdr:from>
      <xdr:col>3</xdr:col>
      <xdr:colOff>10614</xdr:colOff>
      <xdr:row>0</xdr:row>
      <xdr:rowOff>0</xdr:rowOff>
    </xdr:from>
    <xdr:to>
      <xdr:col>3</xdr:col>
      <xdr:colOff>1090614</xdr:colOff>
      <xdr:row>0</xdr:row>
      <xdr:rowOff>432000</xdr:rowOff>
    </xdr:to>
    <xdr:sp macro="[0]!segunda" textlink="">
      <xdr:nvSpPr>
        <xdr:cNvPr id="7" name="6 Recortar rectángulo de esquina sencilla">
          <a:extLst>
            <a:ext uri="{FF2B5EF4-FFF2-40B4-BE49-F238E27FC236}">
              <a16:creationId xmlns:a16="http://schemas.microsoft.com/office/drawing/2014/main" id="{00000000-0008-0000-0100-000007000000}"/>
            </a:ext>
          </a:extLst>
        </xdr:cNvPr>
        <xdr:cNvSpPr/>
      </xdr:nvSpPr>
      <xdr:spPr>
        <a:xfrm rot="5400000">
          <a:off x="4344639" y="-324000"/>
          <a:ext cx="432000" cy="1080000"/>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ACT2019</a:t>
          </a:r>
        </a:p>
      </xdr:txBody>
    </xdr:sp>
    <xdr:clientData/>
  </xdr:twoCellAnchor>
  <xdr:twoCellAnchor>
    <xdr:from>
      <xdr:col>3</xdr:col>
      <xdr:colOff>1191713</xdr:colOff>
      <xdr:row>0</xdr:row>
      <xdr:rowOff>0</xdr:rowOff>
    </xdr:from>
    <xdr:to>
      <xdr:col>3</xdr:col>
      <xdr:colOff>2271713</xdr:colOff>
      <xdr:row>0</xdr:row>
      <xdr:rowOff>432000</xdr:rowOff>
    </xdr:to>
    <xdr:sp macro="[0]!tercera" textlink="">
      <xdr:nvSpPr>
        <xdr:cNvPr id="8" name="7 Recortar rectángulo de esquina sencilla">
          <a:extLst>
            <a:ext uri="{FF2B5EF4-FFF2-40B4-BE49-F238E27FC236}">
              <a16:creationId xmlns:a16="http://schemas.microsoft.com/office/drawing/2014/main" id="{00000000-0008-0000-0100-000008000000}"/>
            </a:ext>
          </a:extLst>
        </xdr:cNvPr>
        <xdr:cNvSpPr/>
      </xdr:nvSpPr>
      <xdr:spPr>
        <a:xfrm rot="5400000">
          <a:off x="5525738" y="-324000"/>
          <a:ext cx="432000" cy="1080000"/>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ACT2020</a:t>
          </a:r>
        </a:p>
      </xdr:txBody>
    </xdr:sp>
    <xdr:clientData/>
  </xdr:twoCellAnchor>
  <xdr:twoCellAnchor editAs="oneCell">
    <xdr:from>
      <xdr:col>11</xdr:col>
      <xdr:colOff>664696</xdr:colOff>
      <xdr:row>0</xdr:row>
      <xdr:rowOff>85725</xdr:rowOff>
    </xdr:from>
    <xdr:to>
      <xdr:col>11</xdr:col>
      <xdr:colOff>1219200</xdr:colOff>
      <xdr:row>0</xdr:row>
      <xdr:rowOff>616799</xdr:rowOff>
    </xdr:to>
    <xdr:pic>
      <xdr:nvPicPr>
        <xdr:cNvPr id="17" name="16 Imagen">
          <a:extLst>
            <a:ext uri="{FF2B5EF4-FFF2-40B4-BE49-F238E27FC236}">
              <a16:creationId xmlns:a16="http://schemas.microsoft.com/office/drawing/2014/main" id="{00000000-0008-0000-0000-000004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0" r="43423"/>
        <a:stretch/>
      </xdr:blipFill>
      <xdr:spPr>
        <a:xfrm>
          <a:off x="16057096" y="85725"/>
          <a:ext cx="554504" cy="531074"/>
        </a:xfrm>
        <a:prstGeom prst="rect">
          <a:avLst/>
        </a:prstGeom>
      </xdr:spPr>
    </xdr:pic>
    <xdr:clientData/>
  </xdr:twoCellAnchor>
  <xdr:twoCellAnchor editAs="oneCell">
    <xdr:from>
      <xdr:col>11</xdr:col>
      <xdr:colOff>1309152</xdr:colOff>
      <xdr:row>0</xdr:row>
      <xdr:rowOff>66675</xdr:rowOff>
    </xdr:from>
    <xdr:to>
      <xdr:col>12</xdr:col>
      <xdr:colOff>528102</xdr:colOff>
      <xdr:row>0</xdr:row>
      <xdr:rowOff>600075</xdr:rowOff>
    </xdr:to>
    <xdr:pic>
      <xdr:nvPicPr>
        <xdr:cNvPr id="18" name="17 Imagen">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6701552" y="66675"/>
          <a:ext cx="533400" cy="533400"/>
        </a:xfrm>
        <a:prstGeom prst="rect">
          <a:avLst/>
        </a:prstGeom>
      </xdr:spPr>
    </xdr:pic>
    <xdr:clientData/>
  </xdr:twoCellAnchor>
  <xdr:twoCellAnchor>
    <xdr:from>
      <xdr:col>3</xdr:col>
      <xdr:colOff>2410914</xdr:colOff>
      <xdr:row>0</xdr:row>
      <xdr:rowOff>0</xdr:rowOff>
    </xdr:from>
    <xdr:to>
      <xdr:col>4</xdr:col>
      <xdr:colOff>909639</xdr:colOff>
      <xdr:row>0</xdr:row>
      <xdr:rowOff>432000</xdr:rowOff>
    </xdr:to>
    <xdr:sp macro="[0]!reporte" textlink="">
      <xdr:nvSpPr>
        <xdr:cNvPr id="23" name="22 Recortar rectángulo de esquina sencilla">
          <a:extLst>
            <a:ext uri="{FF2B5EF4-FFF2-40B4-BE49-F238E27FC236}">
              <a16:creationId xmlns:a16="http://schemas.microsoft.com/office/drawing/2014/main" id="{00000000-0008-0000-0100-000017000000}"/>
            </a:ext>
          </a:extLst>
        </xdr:cNvPr>
        <xdr:cNvSpPr/>
      </xdr:nvSpPr>
      <xdr:spPr>
        <a:xfrm rot="5400000">
          <a:off x="6744939" y="-324000"/>
          <a:ext cx="432000" cy="1080000"/>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REPORTE</a:t>
          </a:r>
        </a:p>
      </xdr:txBody>
    </xdr:sp>
    <xdr:clientData/>
  </xdr:twoCellAnchor>
  <xdr:twoCellAnchor>
    <xdr:from>
      <xdr:col>9</xdr:col>
      <xdr:colOff>752474</xdr:colOff>
      <xdr:row>1</xdr:row>
      <xdr:rowOff>247650</xdr:rowOff>
    </xdr:from>
    <xdr:to>
      <xdr:col>10</xdr:col>
      <xdr:colOff>1238024</xdr:colOff>
      <xdr:row>1</xdr:row>
      <xdr:rowOff>571650</xdr:rowOff>
    </xdr:to>
    <xdr:sp macro="" textlink="">
      <xdr:nvSpPr>
        <xdr:cNvPr id="13" name="12 Rectángulo redondeado">
          <a:hlinkClick xmlns:r="http://schemas.openxmlformats.org/officeDocument/2006/relationships" r:id="rId3"/>
          <a:extLst>
            <a:ext uri="{FF2B5EF4-FFF2-40B4-BE49-F238E27FC236}">
              <a16:creationId xmlns:a16="http://schemas.microsoft.com/office/drawing/2014/main" id="{00000000-0008-0000-0100-00000D000000}"/>
            </a:ext>
          </a:extLst>
        </xdr:cNvPr>
        <xdr:cNvSpPr/>
      </xdr:nvSpPr>
      <xdr:spPr>
        <a:xfrm>
          <a:off x="13515974" y="1009650"/>
          <a:ext cx="1800000" cy="324000"/>
        </a:xfrm>
        <a:prstGeom prst="roundRect">
          <a:avLst/>
        </a:prstGeom>
        <a:solidFill>
          <a:schemeClr val="bg1">
            <a:lumMod val="85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ctr"/>
          <a:r>
            <a:rPr lang="es-CL" sz="1100">
              <a:solidFill>
                <a:schemeClr val="tx1">
                  <a:lumMod val="65000"/>
                  <a:lumOff val="35000"/>
                </a:schemeClr>
              </a:solidFill>
            </a:rPr>
            <a:t>Indicadores por</a:t>
          </a:r>
          <a:r>
            <a:rPr lang="es-CL" sz="1100" baseline="0">
              <a:solidFill>
                <a:schemeClr val="tx1">
                  <a:lumMod val="65000"/>
                  <a:lumOff val="35000"/>
                </a:schemeClr>
              </a:solidFill>
            </a:rPr>
            <a:t> comuna</a:t>
          </a:r>
          <a:endParaRPr lang="es-CL" sz="1100">
            <a:solidFill>
              <a:schemeClr val="tx1">
                <a:lumMod val="65000"/>
                <a:lumOff val="35000"/>
              </a:schemeClr>
            </a:solidFill>
          </a:endParaRPr>
        </a:p>
      </xdr:txBody>
    </xdr:sp>
    <xdr:clientData/>
  </xdr:twoCellAnchor>
  <xdr:twoCellAnchor>
    <xdr:from>
      <xdr:col>11</xdr:col>
      <xdr:colOff>57149</xdr:colOff>
      <xdr:row>1</xdr:row>
      <xdr:rowOff>247650</xdr:rowOff>
    </xdr:from>
    <xdr:to>
      <xdr:col>12</xdr:col>
      <xdr:colOff>542699</xdr:colOff>
      <xdr:row>1</xdr:row>
      <xdr:rowOff>571650</xdr:rowOff>
    </xdr:to>
    <xdr:sp macro="" textlink="">
      <xdr:nvSpPr>
        <xdr:cNvPr id="15" name="14 Rectángulo redondeado">
          <a:hlinkClick xmlns:r="http://schemas.openxmlformats.org/officeDocument/2006/relationships" r:id="rId4"/>
          <a:extLst>
            <a:ext uri="{FF2B5EF4-FFF2-40B4-BE49-F238E27FC236}">
              <a16:creationId xmlns:a16="http://schemas.microsoft.com/office/drawing/2014/main" id="{00000000-0008-0000-0100-00000F000000}"/>
            </a:ext>
          </a:extLst>
        </xdr:cNvPr>
        <xdr:cNvSpPr/>
      </xdr:nvSpPr>
      <xdr:spPr>
        <a:xfrm>
          <a:off x="15449549" y="1009650"/>
          <a:ext cx="1800000" cy="324000"/>
        </a:xfrm>
        <a:prstGeom prst="roundRect">
          <a:avLst/>
        </a:prstGeom>
        <a:solidFill>
          <a:schemeClr val="bg1">
            <a:lumMod val="85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ctr"/>
          <a:r>
            <a:rPr lang="es-CL" sz="1100">
              <a:solidFill>
                <a:schemeClr val="tx1">
                  <a:lumMod val="65000"/>
                  <a:lumOff val="35000"/>
                </a:schemeClr>
              </a:solidFill>
            </a:rPr>
            <a:t>Indicadores por</a:t>
          </a:r>
          <a:r>
            <a:rPr lang="es-CL" sz="1100" baseline="0">
              <a:solidFill>
                <a:schemeClr val="tx1">
                  <a:lumMod val="65000"/>
                  <a:lumOff val="35000"/>
                </a:schemeClr>
              </a:solidFill>
            </a:rPr>
            <a:t> ciudad</a:t>
          </a:r>
          <a:endParaRPr lang="es-CL" sz="1100">
            <a:solidFill>
              <a:schemeClr val="tx1">
                <a:lumMod val="65000"/>
                <a:lumOff val="35000"/>
              </a:schemeClr>
            </a:solidFill>
          </a:endParaRPr>
        </a:p>
      </xdr:txBody>
    </xdr:sp>
    <xdr:clientData/>
  </xdr:twoCellAnchor>
  <xdr:twoCellAnchor>
    <xdr:from>
      <xdr:col>0</xdr:col>
      <xdr:colOff>704850</xdr:colOff>
      <xdr:row>3</xdr:row>
      <xdr:rowOff>0</xdr:rowOff>
    </xdr:from>
    <xdr:to>
      <xdr:col>0</xdr:col>
      <xdr:colOff>1085850</xdr:colOff>
      <xdr:row>4</xdr:row>
      <xdr:rowOff>28575</xdr:rowOff>
    </xdr:to>
    <xdr:sp macro="" textlink="">
      <xdr:nvSpPr>
        <xdr:cNvPr id="19" name="18 Cheurón">
          <a:extLst>
            <a:ext uri="{FF2B5EF4-FFF2-40B4-BE49-F238E27FC236}">
              <a16:creationId xmlns:a16="http://schemas.microsoft.com/office/drawing/2014/main" id="{00000000-0008-0000-0100-000013000000}"/>
            </a:ext>
          </a:extLst>
        </xdr:cNvPr>
        <xdr:cNvSpPr/>
      </xdr:nvSpPr>
      <xdr:spPr>
        <a:xfrm>
          <a:off x="704850" y="952500"/>
          <a:ext cx="381000" cy="219075"/>
        </a:xfrm>
        <a:prstGeom prst="chevron">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solidFill>
              <a:schemeClr val="tx1"/>
            </a:solidFill>
          </a:endParaRPr>
        </a:p>
      </xdr:txBody>
    </xdr:sp>
    <xdr:clientData/>
  </xdr:twoCellAnchor>
  <xdr:twoCellAnchor editAs="oneCell">
    <xdr:from>
      <xdr:col>11</xdr:col>
      <xdr:colOff>28575</xdr:colOff>
      <xdr:row>0</xdr:row>
      <xdr:rowOff>85725</xdr:rowOff>
    </xdr:from>
    <xdr:to>
      <xdr:col>11</xdr:col>
      <xdr:colOff>620486</xdr:colOff>
      <xdr:row>0</xdr:row>
      <xdr:rowOff>621927</xdr:rowOff>
    </xdr:to>
    <xdr:pic>
      <xdr:nvPicPr>
        <xdr:cNvPr id="20" name="19 Imagen">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5420975" y="85725"/>
          <a:ext cx="591911" cy="53620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495300</xdr:colOff>
      <xdr:row>0</xdr:row>
      <xdr:rowOff>0</xdr:rowOff>
    </xdr:from>
    <xdr:to>
      <xdr:col>2</xdr:col>
      <xdr:colOff>60825</xdr:colOff>
      <xdr:row>0</xdr:row>
      <xdr:rowOff>432000</xdr:rowOff>
    </xdr:to>
    <xdr:sp macro="[0]!_xludf.INDICE" textlink="">
      <xdr:nvSpPr>
        <xdr:cNvPr id="16" name="15 Recortar rectángulo de esquina sencilla">
          <a:extLst>
            <a:ext uri="{FF2B5EF4-FFF2-40B4-BE49-F238E27FC236}">
              <a16:creationId xmlns:a16="http://schemas.microsoft.com/office/drawing/2014/main" id="{00000000-0008-0000-0200-000010000000}"/>
            </a:ext>
          </a:extLst>
        </xdr:cNvPr>
        <xdr:cNvSpPr/>
      </xdr:nvSpPr>
      <xdr:spPr>
        <a:xfrm rot="5400000">
          <a:off x="2067075" y="-324000"/>
          <a:ext cx="432000" cy="1080000"/>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INDICE</a:t>
          </a:r>
        </a:p>
      </xdr:txBody>
    </xdr:sp>
    <xdr:clientData/>
  </xdr:twoCellAnchor>
  <xdr:twoCellAnchor>
    <xdr:from>
      <xdr:col>3</xdr:col>
      <xdr:colOff>85725</xdr:colOff>
      <xdr:row>0</xdr:row>
      <xdr:rowOff>0</xdr:rowOff>
    </xdr:from>
    <xdr:to>
      <xdr:col>3</xdr:col>
      <xdr:colOff>1165725</xdr:colOff>
      <xdr:row>0</xdr:row>
      <xdr:rowOff>648000</xdr:rowOff>
    </xdr:to>
    <xdr:sp macro="[0]!segunda" textlink="">
      <xdr:nvSpPr>
        <xdr:cNvPr id="17" name="16 Recortar rectángulo de esquina sencilla">
          <a:extLst>
            <a:ext uri="{FF2B5EF4-FFF2-40B4-BE49-F238E27FC236}">
              <a16:creationId xmlns:a16="http://schemas.microsoft.com/office/drawing/2014/main" id="{00000000-0008-0000-0200-000011000000}"/>
            </a:ext>
          </a:extLst>
        </xdr:cNvPr>
        <xdr:cNvSpPr/>
      </xdr:nvSpPr>
      <xdr:spPr>
        <a:xfrm rot="5400000">
          <a:off x="4311750" y="-216000"/>
          <a:ext cx="648000" cy="1080000"/>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800" b="1" i="0"/>
            <a:t>ACT2019</a:t>
          </a:r>
          <a:endParaRPr lang="es-CL" sz="1600" b="1" i="0"/>
        </a:p>
      </xdr:txBody>
    </xdr:sp>
    <xdr:clientData/>
  </xdr:twoCellAnchor>
  <xdr:twoCellAnchor>
    <xdr:from>
      <xdr:col>2</xdr:col>
      <xdr:colOff>152400</xdr:colOff>
      <xdr:row>0</xdr:row>
      <xdr:rowOff>0</xdr:rowOff>
    </xdr:from>
    <xdr:to>
      <xdr:col>2</xdr:col>
      <xdr:colOff>1232400</xdr:colOff>
      <xdr:row>0</xdr:row>
      <xdr:rowOff>432000</xdr:rowOff>
    </xdr:to>
    <xdr:sp macro="[0]!primera" textlink="">
      <xdr:nvSpPr>
        <xdr:cNvPr id="18" name="17 Recortar rectángulo de esquina sencilla">
          <a:extLst>
            <a:ext uri="{FF2B5EF4-FFF2-40B4-BE49-F238E27FC236}">
              <a16:creationId xmlns:a16="http://schemas.microsoft.com/office/drawing/2014/main" id="{00000000-0008-0000-0200-000012000000}"/>
            </a:ext>
          </a:extLst>
        </xdr:cNvPr>
        <xdr:cNvSpPr/>
      </xdr:nvSpPr>
      <xdr:spPr>
        <a:xfrm rot="5400000">
          <a:off x="3238650" y="-324000"/>
          <a:ext cx="432000" cy="1080000"/>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LB2018</a:t>
          </a:r>
        </a:p>
      </xdr:txBody>
    </xdr:sp>
    <xdr:clientData/>
  </xdr:twoCellAnchor>
  <xdr:twoCellAnchor>
    <xdr:from>
      <xdr:col>3</xdr:col>
      <xdr:colOff>1247775</xdr:colOff>
      <xdr:row>0</xdr:row>
      <xdr:rowOff>0</xdr:rowOff>
    </xdr:from>
    <xdr:to>
      <xdr:col>3</xdr:col>
      <xdr:colOff>2327775</xdr:colOff>
      <xdr:row>0</xdr:row>
      <xdr:rowOff>432000</xdr:rowOff>
    </xdr:to>
    <xdr:sp macro="[0]!tercera" textlink="">
      <xdr:nvSpPr>
        <xdr:cNvPr id="19" name="18 Recortar rectángulo de esquina sencilla">
          <a:extLst>
            <a:ext uri="{FF2B5EF4-FFF2-40B4-BE49-F238E27FC236}">
              <a16:creationId xmlns:a16="http://schemas.microsoft.com/office/drawing/2014/main" id="{00000000-0008-0000-0200-000013000000}"/>
            </a:ext>
          </a:extLst>
        </xdr:cNvPr>
        <xdr:cNvSpPr/>
      </xdr:nvSpPr>
      <xdr:spPr>
        <a:xfrm rot="5400000">
          <a:off x="5581800" y="-324000"/>
          <a:ext cx="432000" cy="1080000"/>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ACT2020</a:t>
          </a:r>
        </a:p>
      </xdr:txBody>
    </xdr:sp>
    <xdr:clientData/>
  </xdr:twoCellAnchor>
  <xdr:twoCellAnchor>
    <xdr:from>
      <xdr:col>3</xdr:col>
      <xdr:colOff>2409825</xdr:colOff>
      <xdr:row>0</xdr:row>
      <xdr:rowOff>0</xdr:rowOff>
    </xdr:from>
    <xdr:to>
      <xdr:col>4</xdr:col>
      <xdr:colOff>908550</xdr:colOff>
      <xdr:row>0</xdr:row>
      <xdr:rowOff>432000</xdr:rowOff>
    </xdr:to>
    <xdr:sp macro="[0]!reporte" textlink="">
      <xdr:nvSpPr>
        <xdr:cNvPr id="22" name="21 Recortar rectángulo de esquina sencilla">
          <a:extLst>
            <a:ext uri="{FF2B5EF4-FFF2-40B4-BE49-F238E27FC236}">
              <a16:creationId xmlns:a16="http://schemas.microsoft.com/office/drawing/2014/main" id="{00000000-0008-0000-0200-000016000000}"/>
            </a:ext>
          </a:extLst>
        </xdr:cNvPr>
        <xdr:cNvSpPr/>
      </xdr:nvSpPr>
      <xdr:spPr>
        <a:xfrm rot="5400000">
          <a:off x="6743850" y="-324000"/>
          <a:ext cx="432000" cy="1080000"/>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REPORTE</a:t>
          </a:r>
        </a:p>
      </xdr:txBody>
    </xdr:sp>
    <xdr:clientData/>
  </xdr:twoCellAnchor>
  <xdr:twoCellAnchor editAs="oneCell">
    <xdr:from>
      <xdr:col>11</xdr:col>
      <xdr:colOff>693272</xdr:colOff>
      <xdr:row>0</xdr:row>
      <xdr:rowOff>95250</xdr:rowOff>
    </xdr:from>
    <xdr:to>
      <xdr:col>11</xdr:col>
      <xdr:colOff>1247776</xdr:colOff>
      <xdr:row>0</xdr:row>
      <xdr:rowOff>626324</xdr:rowOff>
    </xdr:to>
    <xdr:pic>
      <xdr:nvPicPr>
        <xdr:cNvPr id="25" name="24 Imagen">
          <a:extLst>
            <a:ext uri="{FF2B5EF4-FFF2-40B4-BE49-F238E27FC236}">
              <a16:creationId xmlns:a16="http://schemas.microsoft.com/office/drawing/2014/main" id="{00000000-0008-0000-0000-000004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0" r="43423"/>
        <a:stretch/>
      </xdr:blipFill>
      <xdr:spPr>
        <a:xfrm>
          <a:off x="15952322" y="95250"/>
          <a:ext cx="554504" cy="531074"/>
        </a:xfrm>
        <a:prstGeom prst="rect">
          <a:avLst/>
        </a:prstGeom>
      </xdr:spPr>
    </xdr:pic>
    <xdr:clientData/>
  </xdr:twoCellAnchor>
  <xdr:twoCellAnchor editAs="oneCell">
    <xdr:from>
      <xdr:col>12</xdr:col>
      <xdr:colOff>4228</xdr:colOff>
      <xdr:row>0</xdr:row>
      <xdr:rowOff>95250</xdr:rowOff>
    </xdr:from>
    <xdr:to>
      <xdr:col>12</xdr:col>
      <xdr:colOff>537628</xdr:colOff>
      <xdr:row>0</xdr:row>
      <xdr:rowOff>628650</xdr:rowOff>
    </xdr:to>
    <xdr:pic>
      <xdr:nvPicPr>
        <xdr:cNvPr id="26" name="25 Imagen">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6577728" y="95250"/>
          <a:ext cx="533400" cy="533400"/>
        </a:xfrm>
        <a:prstGeom prst="rect">
          <a:avLst/>
        </a:prstGeom>
      </xdr:spPr>
    </xdr:pic>
    <xdr:clientData/>
  </xdr:twoCellAnchor>
  <xdr:twoCellAnchor>
    <xdr:from>
      <xdr:col>9</xdr:col>
      <xdr:colOff>762000</xdr:colOff>
      <xdr:row>1</xdr:row>
      <xdr:rowOff>285750</xdr:rowOff>
    </xdr:from>
    <xdr:to>
      <xdr:col>10</xdr:col>
      <xdr:colOff>1247550</xdr:colOff>
      <xdr:row>1</xdr:row>
      <xdr:rowOff>609750</xdr:rowOff>
    </xdr:to>
    <xdr:sp macro="" textlink="">
      <xdr:nvSpPr>
        <xdr:cNvPr id="13" name="12 Rectángulo redondeado">
          <a:hlinkClick xmlns:r="http://schemas.openxmlformats.org/officeDocument/2006/relationships" r:id="rId3"/>
          <a:extLst>
            <a:ext uri="{FF2B5EF4-FFF2-40B4-BE49-F238E27FC236}">
              <a16:creationId xmlns:a16="http://schemas.microsoft.com/office/drawing/2014/main" id="{00000000-0008-0000-0200-00000D000000}"/>
            </a:ext>
          </a:extLst>
        </xdr:cNvPr>
        <xdr:cNvSpPr/>
      </xdr:nvSpPr>
      <xdr:spPr>
        <a:xfrm>
          <a:off x="13392150" y="1047750"/>
          <a:ext cx="1800000" cy="324000"/>
        </a:xfrm>
        <a:prstGeom prst="roundRect">
          <a:avLst/>
        </a:prstGeom>
        <a:solidFill>
          <a:schemeClr val="bg1">
            <a:lumMod val="85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ctr"/>
          <a:r>
            <a:rPr lang="es-CL" sz="1100">
              <a:solidFill>
                <a:schemeClr val="tx1">
                  <a:lumMod val="65000"/>
                  <a:lumOff val="35000"/>
                </a:schemeClr>
              </a:solidFill>
            </a:rPr>
            <a:t>Indicadores por</a:t>
          </a:r>
          <a:r>
            <a:rPr lang="es-CL" sz="1100" baseline="0">
              <a:solidFill>
                <a:schemeClr val="tx1">
                  <a:lumMod val="65000"/>
                  <a:lumOff val="35000"/>
                </a:schemeClr>
              </a:solidFill>
            </a:rPr>
            <a:t> comuna</a:t>
          </a:r>
          <a:endParaRPr lang="es-CL" sz="1100">
            <a:solidFill>
              <a:schemeClr val="tx1">
                <a:lumMod val="65000"/>
                <a:lumOff val="35000"/>
              </a:schemeClr>
            </a:solidFill>
          </a:endParaRPr>
        </a:p>
      </xdr:txBody>
    </xdr:sp>
    <xdr:clientData/>
  </xdr:twoCellAnchor>
  <xdr:twoCellAnchor>
    <xdr:from>
      <xdr:col>11</xdr:col>
      <xdr:colOff>28575</xdr:colOff>
      <xdr:row>1</xdr:row>
      <xdr:rowOff>276225</xdr:rowOff>
    </xdr:from>
    <xdr:to>
      <xdr:col>12</xdr:col>
      <xdr:colOff>514125</xdr:colOff>
      <xdr:row>1</xdr:row>
      <xdr:rowOff>600225</xdr:rowOff>
    </xdr:to>
    <xdr:sp macro="" textlink="">
      <xdr:nvSpPr>
        <xdr:cNvPr id="14" name="13 Rectángulo redondeado">
          <a:hlinkClick xmlns:r="http://schemas.openxmlformats.org/officeDocument/2006/relationships" r:id="rId4"/>
          <a:extLst>
            <a:ext uri="{FF2B5EF4-FFF2-40B4-BE49-F238E27FC236}">
              <a16:creationId xmlns:a16="http://schemas.microsoft.com/office/drawing/2014/main" id="{00000000-0008-0000-0200-00000E000000}"/>
            </a:ext>
          </a:extLst>
        </xdr:cNvPr>
        <xdr:cNvSpPr/>
      </xdr:nvSpPr>
      <xdr:spPr>
        <a:xfrm>
          <a:off x="15287625" y="1038225"/>
          <a:ext cx="1800000" cy="324000"/>
        </a:xfrm>
        <a:prstGeom prst="roundRect">
          <a:avLst/>
        </a:prstGeom>
        <a:solidFill>
          <a:schemeClr val="bg1">
            <a:lumMod val="85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ctr"/>
          <a:r>
            <a:rPr lang="es-CL" sz="1100">
              <a:solidFill>
                <a:schemeClr val="tx1">
                  <a:lumMod val="65000"/>
                  <a:lumOff val="35000"/>
                </a:schemeClr>
              </a:solidFill>
            </a:rPr>
            <a:t>Indicadores por</a:t>
          </a:r>
          <a:r>
            <a:rPr lang="es-CL" sz="1100" baseline="0">
              <a:solidFill>
                <a:schemeClr val="tx1">
                  <a:lumMod val="65000"/>
                  <a:lumOff val="35000"/>
                </a:schemeClr>
              </a:solidFill>
            </a:rPr>
            <a:t> ciudad</a:t>
          </a:r>
          <a:endParaRPr lang="es-CL" sz="1100">
            <a:solidFill>
              <a:schemeClr val="tx1">
                <a:lumMod val="65000"/>
                <a:lumOff val="35000"/>
              </a:schemeClr>
            </a:solidFill>
          </a:endParaRPr>
        </a:p>
      </xdr:txBody>
    </xdr:sp>
    <xdr:clientData/>
  </xdr:twoCellAnchor>
  <xdr:twoCellAnchor>
    <xdr:from>
      <xdr:col>0</xdr:col>
      <xdr:colOff>647700</xdr:colOff>
      <xdr:row>2</xdr:row>
      <xdr:rowOff>180975</xdr:rowOff>
    </xdr:from>
    <xdr:to>
      <xdr:col>0</xdr:col>
      <xdr:colOff>1028700</xdr:colOff>
      <xdr:row>4</xdr:row>
      <xdr:rowOff>19050</xdr:rowOff>
    </xdr:to>
    <xdr:sp macro="" textlink="">
      <xdr:nvSpPr>
        <xdr:cNvPr id="23" name="22 Cheurón">
          <a:extLst>
            <a:ext uri="{FF2B5EF4-FFF2-40B4-BE49-F238E27FC236}">
              <a16:creationId xmlns:a16="http://schemas.microsoft.com/office/drawing/2014/main" id="{00000000-0008-0000-0200-000017000000}"/>
            </a:ext>
          </a:extLst>
        </xdr:cNvPr>
        <xdr:cNvSpPr/>
      </xdr:nvSpPr>
      <xdr:spPr>
        <a:xfrm>
          <a:off x="647700" y="942975"/>
          <a:ext cx="381000" cy="219075"/>
        </a:xfrm>
        <a:prstGeom prst="chevron">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solidFill>
              <a:schemeClr val="tx1"/>
            </a:solidFill>
          </a:endParaRPr>
        </a:p>
      </xdr:txBody>
    </xdr:sp>
    <xdr:clientData/>
  </xdr:twoCellAnchor>
  <xdr:twoCellAnchor editAs="oneCell">
    <xdr:from>
      <xdr:col>11</xdr:col>
      <xdr:colOff>57150</xdr:colOff>
      <xdr:row>0</xdr:row>
      <xdr:rowOff>95250</xdr:rowOff>
    </xdr:from>
    <xdr:to>
      <xdr:col>11</xdr:col>
      <xdr:colOff>649061</xdr:colOff>
      <xdr:row>0</xdr:row>
      <xdr:rowOff>631452</xdr:rowOff>
    </xdr:to>
    <xdr:pic>
      <xdr:nvPicPr>
        <xdr:cNvPr id="15" name="14 Imagen">
          <a:extLst>
            <a:ext uri="{FF2B5EF4-FFF2-40B4-BE49-F238E27FC236}">
              <a16:creationId xmlns:a16="http://schemas.microsoft.com/office/drawing/2014/main" id="{00000000-0008-0000-0200-00000F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5316200" y="95250"/>
          <a:ext cx="591911" cy="53620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542925</xdr:colOff>
      <xdr:row>0</xdr:row>
      <xdr:rowOff>0</xdr:rowOff>
    </xdr:from>
    <xdr:to>
      <xdr:col>2</xdr:col>
      <xdr:colOff>108450</xdr:colOff>
      <xdr:row>0</xdr:row>
      <xdr:rowOff>432000</xdr:rowOff>
    </xdr:to>
    <xdr:sp macro="[0]!_xludf.INDICE" textlink="">
      <xdr:nvSpPr>
        <xdr:cNvPr id="2" name="1 Recortar rectángulo de esquina sencilla">
          <a:extLst>
            <a:ext uri="{FF2B5EF4-FFF2-40B4-BE49-F238E27FC236}">
              <a16:creationId xmlns:a16="http://schemas.microsoft.com/office/drawing/2014/main" id="{00000000-0008-0000-0300-000002000000}"/>
            </a:ext>
          </a:extLst>
        </xdr:cNvPr>
        <xdr:cNvSpPr/>
      </xdr:nvSpPr>
      <xdr:spPr>
        <a:xfrm rot="5400000">
          <a:off x="2114700" y="-324000"/>
          <a:ext cx="432000" cy="1080000"/>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INDICE</a:t>
          </a:r>
        </a:p>
      </xdr:txBody>
    </xdr:sp>
    <xdr:clientData/>
  </xdr:twoCellAnchor>
  <xdr:twoCellAnchor>
    <xdr:from>
      <xdr:col>2</xdr:col>
      <xdr:colOff>190500</xdr:colOff>
      <xdr:row>0</xdr:row>
      <xdr:rowOff>0</xdr:rowOff>
    </xdr:from>
    <xdr:to>
      <xdr:col>3</xdr:col>
      <xdr:colOff>22725</xdr:colOff>
      <xdr:row>0</xdr:row>
      <xdr:rowOff>432000</xdr:rowOff>
    </xdr:to>
    <xdr:sp macro="[0]!primera" textlink="">
      <xdr:nvSpPr>
        <xdr:cNvPr id="3" name="2 Recortar rectángulo de esquina sencilla">
          <a:extLst>
            <a:ext uri="{FF2B5EF4-FFF2-40B4-BE49-F238E27FC236}">
              <a16:creationId xmlns:a16="http://schemas.microsoft.com/office/drawing/2014/main" id="{00000000-0008-0000-0300-000003000000}"/>
            </a:ext>
          </a:extLst>
        </xdr:cNvPr>
        <xdr:cNvSpPr/>
      </xdr:nvSpPr>
      <xdr:spPr>
        <a:xfrm rot="5400000">
          <a:off x="3276750" y="-324000"/>
          <a:ext cx="432000" cy="1080000"/>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LB2018</a:t>
          </a:r>
        </a:p>
      </xdr:txBody>
    </xdr:sp>
    <xdr:clientData/>
  </xdr:twoCellAnchor>
  <xdr:twoCellAnchor>
    <xdr:from>
      <xdr:col>3</xdr:col>
      <xdr:colOff>104775</xdr:colOff>
      <xdr:row>0</xdr:row>
      <xdr:rowOff>0</xdr:rowOff>
    </xdr:from>
    <xdr:to>
      <xdr:col>3</xdr:col>
      <xdr:colOff>1184775</xdr:colOff>
      <xdr:row>0</xdr:row>
      <xdr:rowOff>432000</xdr:rowOff>
    </xdr:to>
    <xdr:sp macro="[0]!segunda" textlink="">
      <xdr:nvSpPr>
        <xdr:cNvPr id="4" name="3 Recortar rectángulo de esquina sencilla">
          <a:extLst>
            <a:ext uri="{FF2B5EF4-FFF2-40B4-BE49-F238E27FC236}">
              <a16:creationId xmlns:a16="http://schemas.microsoft.com/office/drawing/2014/main" id="{00000000-0008-0000-0300-000004000000}"/>
            </a:ext>
          </a:extLst>
        </xdr:cNvPr>
        <xdr:cNvSpPr/>
      </xdr:nvSpPr>
      <xdr:spPr>
        <a:xfrm rot="5400000">
          <a:off x="4438800" y="-324000"/>
          <a:ext cx="432000" cy="1080000"/>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ACT2019</a:t>
          </a:r>
        </a:p>
      </xdr:txBody>
    </xdr:sp>
    <xdr:clientData/>
  </xdr:twoCellAnchor>
  <xdr:twoCellAnchor>
    <xdr:from>
      <xdr:col>3</xdr:col>
      <xdr:colOff>1266825</xdr:colOff>
      <xdr:row>0</xdr:row>
      <xdr:rowOff>0</xdr:rowOff>
    </xdr:from>
    <xdr:to>
      <xdr:col>3</xdr:col>
      <xdr:colOff>2346825</xdr:colOff>
      <xdr:row>0</xdr:row>
      <xdr:rowOff>648000</xdr:rowOff>
    </xdr:to>
    <xdr:sp macro="[0]!tercera" textlink="">
      <xdr:nvSpPr>
        <xdr:cNvPr id="6" name="5 Recortar rectángulo de esquina sencilla">
          <a:extLst>
            <a:ext uri="{FF2B5EF4-FFF2-40B4-BE49-F238E27FC236}">
              <a16:creationId xmlns:a16="http://schemas.microsoft.com/office/drawing/2014/main" id="{00000000-0008-0000-0300-000006000000}"/>
            </a:ext>
          </a:extLst>
        </xdr:cNvPr>
        <xdr:cNvSpPr/>
      </xdr:nvSpPr>
      <xdr:spPr>
        <a:xfrm rot="5400000">
          <a:off x="5492850" y="-216000"/>
          <a:ext cx="648000" cy="1080000"/>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800" b="1" i="0"/>
            <a:t>ACT2020</a:t>
          </a:r>
          <a:endParaRPr lang="es-CL" sz="1600" b="1" i="0"/>
        </a:p>
      </xdr:txBody>
    </xdr:sp>
    <xdr:clientData/>
  </xdr:twoCellAnchor>
  <xdr:twoCellAnchor>
    <xdr:from>
      <xdr:col>3</xdr:col>
      <xdr:colOff>2447925</xdr:colOff>
      <xdr:row>0</xdr:row>
      <xdr:rowOff>0</xdr:rowOff>
    </xdr:from>
    <xdr:to>
      <xdr:col>4</xdr:col>
      <xdr:colOff>946650</xdr:colOff>
      <xdr:row>0</xdr:row>
      <xdr:rowOff>432000</xdr:rowOff>
    </xdr:to>
    <xdr:sp macro="[0]!reporte" textlink="">
      <xdr:nvSpPr>
        <xdr:cNvPr id="9" name="8 Recortar rectángulo de esquina sencilla">
          <a:extLst>
            <a:ext uri="{FF2B5EF4-FFF2-40B4-BE49-F238E27FC236}">
              <a16:creationId xmlns:a16="http://schemas.microsoft.com/office/drawing/2014/main" id="{00000000-0008-0000-0300-000009000000}"/>
            </a:ext>
          </a:extLst>
        </xdr:cNvPr>
        <xdr:cNvSpPr/>
      </xdr:nvSpPr>
      <xdr:spPr>
        <a:xfrm rot="5400000">
          <a:off x="6781950" y="-324000"/>
          <a:ext cx="432000" cy="1080000"/>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REPORTE</a:t>
          </a:r>
        </a:p>
      </xdr:txBody>
    </xdr:sp>
    <xdr:clientData/>
  </xdr:twoCellAnchor>
  <xdr:twoCellAnchor editAs="oneCell">
    <xdr:from>
      <xdr:col>11</xdr:col>
      <xdr:colOff>702797</xdr:colOff>
      <xdr:row>0</xdr:row>
      <xdr:rowOff>104775</xdr:rowOff>
    </xdr:from>
    <xdr:to>
      <xdr:col>11</xdr:col>
      <xdr:colOff>1257301</xdr:colOff>
      <xdr:row>0</xdr:row>
      <xdr:rowOff>635849</xdr:rowOff>
    </xdr:to>
    <xdr:pic>
      <xdr:nvPicPr>
        <xdr:cNvPr id="12" name="11 Imagen">
          <a:extLst>
            <a:ext uri="{FF2B5EF4-FFF2-40B4-BE49-F238E27FC236}">
              <a16:creationId xmlns:a16="http://schemas.microsoft.com/office/drawing/2014/main" id="{00000000-0008-0000-0000-000004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0" r="43423"/>
        <a:stretch/>
      </xdr:blipFill>
      <xdr:spPr>
        <a:xfrm>
          <a:off x="15961847" y="104775"/>
          <a:ext cx="554504" cy="531074"/>
        </a:xfrm>
        <a:prstGeom prst="rect">
          <a:avLst/>
        </a:prstGeom>
      </xdr:spPr>
    </xdr:pic>
    <xdr:clientData/>
  </xdr:twoCellAnchor>
  <xdr:twoCellAnchor editAs="oneCell">
    <xdr:from>
      <xdr:col>12</xdr:col>
      <xdr:colOff>23278</xdr:colOff>
      <xdr:row>0</xdr:row>
      <xdr:rowOff>95250</xdr:rowOff>
    </xdr:from>
    <xdr:to>
      <xdr:col>12</xdr:col>
      <xdr:colOff>556678</xdr:colOff>
      <xdr:row>0</xdr:row>
      <xdr:rowOff>628650</xdr:rowOff>
    </xdr:to>
    <xdr:pic>
      <xdr:nvPicPr>
        <xdr:cNvPr id="13" name="12 Imagen">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6596778" y="95250"/>
          <a:ext cx="533400" cy="533400"/>
        </a:xfrm>
        <a:prstGeom prst="rect">
          <a:avLst/>
        </a:prstGeom>
      </xdr:spPr>
    </xdr:pic>
    <xdr:clientData/>
  </xdr:twoCellAnchor>
  <xdr:twoCellAnchor>
    <xdr:from>
      <xdr:col>9</xdr:col>
      <xdr:colOff>800100</xdr:colOff>
      <xdr:row>1</xdr:row>
      <xdr:rowOff>238125</xdr:rowOff>
    </xdr:from>
    <xdr:to>
      <xdr:col>10</xdr:col>
      <xdr:colOff>1285650</xdr:colOff>
      <xdr:row>1</xdr:row>
      <xdr:rowOff>562125</xdr:rowOff>
    </xdr:to>
    <xdr:sp macro="" textlink="">
      <xdr:nvSpPr>
        <xdr:cNvPr id="14" name="13 Rectángulo redondeado">
          <a:hlinkClick xmlns:r="http://schemas.openxmlformats.org/officeDocument/2006/relationships" r:id="rId3"/>
          <a:extLst>
            <a:ext uri="{FF2B5EF4-FFF2-40B4-BE49-F238E27FC236}">
              <a16:creationId xmlns:a16="http://schemas.microsoft.com/office/drawing/2014/main" id="{00000000-0008-0000-0300-00000E000000}"/>
            </a:ext>
          </a:extLst>
        </xdr:cNvPr>
        <xdr:cNvSpPr/>
      </xdr:nvSpPr>
      <xdr:spPr>
        <a:xfrm>
          <a:off x="13430250" y="1000125"/>
          <a:ext cx="1800000" cy="324000"/>
        </a:xfrm>
        <a:prstGeom prst="roundRect">
          <a:avLst/>
        </a:prstGeom>
        <a:solidFill>
          <a:schemeClr val="bg1">
            <a:lumMod val="85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ctr"/>
          <a:r>
            <a:rPr lang="es-CL" sz="1100">
              <a:solidFill>
                <a:schemeClr val="tx1">
                  <a:lumMod val="65000"/>
                  <a:lumOff val="35000"/>
                </a:schemeClr>
              </a:solidFill>
            </a:rPr>
            <a:t>Indicadores por</a:t>
          </a:r>
          <a:r>
            <a:rPr lang="es-CL" sz="1100" baseline="0">
              <a:solidFill>
                <a:schemeClr val="tx1">
                  <a:lumMod val="65000"/>
                  <a:lumOff val="35000"/>
                </a:schemeClr>
              </a:solidFill>
            </a:rPr>
            <a:t> comuna</a:t>
          </a:r>
          <a:endParaRPr lang="es-CL" sz="1100">
            <a:solidFill>
              <a:schemeClr val="tx1">
                <a:lumMod val="65000"/>
                <a:lumOff val="35000"/>
              </a:schemeClr>
            </a:solidFill>
          </a:endParaRPr>
        </a:p>
      </xdr:txBody>
    </xdr:sp>
    <xdr:clientData/>
  </xdr:twoCellAnchor>
  <xdr:twoCellAnchor>
    <xdr:from>
      <xdr:col>11</xdr:col>
      <xdr:colOff>66675</xdr:colOff>
      <xdr:row>1</xdr:row>
      <xdr:rowOff>238125</xdr:rowOff>
    </xdr:from>
    <xdr:to>
      <xdr:col>12</xdr:col>
      <xdr:colOff>552225</xdr:colOff>
      <xdr:row>1</xdr:row>
      <xdr:rowOff>562125</xdr:rowOff>
    </xdr:to>
    <xdr:sp macro="" textlink="">
      <xdr:nvSpPr>
        <xdr:cNvPr id="15" name="14 Rectángulo redondeado">
          <a:hlinkClick xmlns:r="http://schemas.openxmlformats.org/officeDocument/2006/relationships" r:id="rId4"/>
          <a:extLst>
            <a:ext uri="{FF2B5EF4-FFF2-40B4-BE49-F238E27FC236}">
              <a16:creationId xmlns:a16="http://schemas.microsoft.com/office/drawing/2014/main" id="{00000000-0008-0000-0300-00000F000000}"/>
            </a:ext>
          </a:extLst>
        </xdr:cNvPr>
        <xdr:cNvSpPr/>
      </xdr:nvSpPr>
      <xdr:spPr>
        <a:xfrm>
          <a:off x="15325725" y="1000125"/>
          <a:ext cx="1800000" cy="324000"/>
        </a:xfrm>
        <a:prstGeom prst="roundRect">
          <a:avLst/>
        </a:prstGeom>
        <a:solidFill>
          <a:schemeClr val="bg1">
            <a:lumMod val="85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ctr"/>
          <a:r>
            <a:rPr lang="es-CL" sz="1100">
              <a:solidFill>
                <a:schemeClr val="tx1">
                  <a:lumMod val="65000"/>
                  <a:lumOff val="35000"/>
                </a:schemeClr>
              </a:solidFill>
            </a:rPr>
            <a:t>Indicadores por</a:t>
          </a:r>
          <a:r>
            <a:rPr lang="es-CL" sz="1100" baseline="0">
              <a:solidFill>
                <a:schemeClr val="tx1">
                  <a:lumMod val="65000"/>
                  <a:lumOff val="35000"/>
                </a:schemeClr>
              </a:solidFill>
            </a:rPr>
            <a:t> ciudad</a:t>
          </a:r>
          <a:endParaRPr lang="es-CL" sz="1100">
            <a:solidFill>
              <a:schemeClr val="tx1">
                <a:lumMod val="65000"/>
                <a:lumOff val="35000"/>
              </a:schemeClr>
            </a:solidFill>
          </a:endParaRPr>
        </a:p>
      </xdr:txBody>
    </xdr:sp>
    <xdr:clientData/>
  </xdr:twoCellAnchor>
  <xdr:twoCellAnchor>
    <xdr:from>
      <xdr:col>0</xdr:col>
      <xdr:colOff>590550</xdr:colOff>
      <xdr:row>3</xdr:row>
      <xdr:rowOff>9525</xdr:rowOff>
    </xdr:from>
    <xdr:to>
      <xdr:col>0</xdr:col>
      <xdr:colOff>971550</xdr:colOff>
      <xdr:row>4</xdr:row>
      <xdr:rowOff>38100</xdr:rowOff>
    </xdr:to>
    <xdr:sp macro="" textlink="">
      <xdr:nvSpPr>
        <xdr:cNvPr id="17" name="16 Cheurón">
          <a:extLst>
            <a:ext uri="{FF2B5EF4-FFF2-40B4-BE49-F238E27FC236}">
              <a16:creationId xmlns:a16="http://schemas.microsoft.com/office/drawing/2014/main" id="{00000000-0008-0000-0300-000011000000}"/>
            </a:ext>
          </a:extLst>
        </xdr:cNvPr>
        <xdr:cNvSpPr/>
      </xdr:nvSpPr>
      <xdr:spPr>
        <a:xfrm>
          <a:off x="590550" y="962025"/>
          <a:ext cx="381000" cy="219075"/>
        </a:xfrm>
        <a:prstGeom prst="chevron">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solidFill>
              <a:schemeClr val="tx1"/>
            </a:solidFill>
          </a:endParaRPr>
        </a:p>
      </xdr:txBody>
    </xdr:sp>
    <xdr:clientData/>
  </xdr:twoCellAnchor>
  <xdr:twoCellAnchor editAs="oneCell">
    <xdr:from>
      <xdr:col>11</xdr:col>
      <xdr:colOff>28575</xdr:colOff>
      <xdr:row>0</xdr:row>
      <xdr:rowOff>104775</xdr:rowOff>
    </xdr:from>
    <xdr:to>
      <xdr:col>11</xdr:col>
      <xdr:colOff>620486</xdr:colOff>
      <xdr:row>0</xdr:row>
      <xdr:rowOff>640977</xdr:rowOff>
    </xdr:to>
    <xdr:pic>
      <xdr:nvPicPr>
        <xdr:cNvPr id="16" name="15 Imagen">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5287625" y="104775"/>
          <a:ext cx="591911" cy="53620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788522</xdr:colOff>
      <xdr:row>2</xdr:row>
      <xdr:rowOff>76200</xdr:rowOff>
    </xdr:from>
    <xdr:to>
      <xdr:col>9</xdr:col>
      <xdr:colOff>295276</xdr:colOff>
      <xdr:row>5</xdr:row>
      <xdr:rowOff>16724</xdr:rowOff>
    </xdr:to>
    <xdr:pic>
      <xdr:nvPicPr>
        <xdr:cNvPr id="4" name="3 Imagen">
          <a:extLst>
            <a:ext uri="{FF2B5EF4-FFF2-40B4-BE49-F238E27FC236}">
              <a16:creationId xmlns:a16="http://schemas.microsoft.com/office/drawing/2014/main" id="{00000000-0008-0000-0000-000004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0" r="43423"/>
        <a:stretch/>
      </xdr:blipFill>
      <xdr:spPr>
        <a:xfrm>
          <a:off x="9837272" y="838200"/>
          <a:ext cx="554504" cy="531074"/>
        </a:xfrm>
        <a:prstGeom prst="rect">
          <a:avLst/>
        </a:prstGeom>
      </xdr:spPr>
    </xdr:pic>
    <xdr:clientData/>
  </xdr:twoCellAnchor>
  <xdr:twoCellAnchor editAs="oneCell">
    <xdr:from>
      <xdr:col>9</xdr:col>
      <xdr:colOff>356653</xdr:colOff>
      <xdr:row>2</xdr:row>
      <xdr:rowOff>85725</xdr:rowOff>
    </xdr:from>
    <xdr:to>
      <xdr:col>9</xdr:col>
      <xdr:colOff>890053</xdr:colOff>
      <xdr:row>5</xdr:row>
      <xdr:rowOff>28575</xdr:rowOff>
    </xdr:to>
    <xdr:pic>
      <xdr:nvPicPr>
        <xdr:cNvPr id="5" name="4 Imagen">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453153" y="847725"/>
          <a:ext cx="533400" cy="533400"/>
        </a:xfrm>
        <a:prstGeom prst="rect">
          <a:avLst/>
        </a:prstGeom>
      </xdr:spPr>
    </xdr:pic>
    <xdr:clientData/>
  </xdr:twoCellAnchor>
  <xdr:twoCellAnchor>
    <xdr:from>
      <xdr:col>1</xdr:col>
      <xdr:colOff>1495425</xdr:colOff>
      <xdr:row>0</xdr:row>
      <xdr:rowOff>0</xdr:rowOff>
    </xdr:from>
    <xdr:to>
      <xdr:col>3</xdr:col>
      <xdr:colOff>13200</xdr:colOff>
      <xdr:row>0</xdr:row>
      <xdr:rowOff>432000</xdr:rowOff>
    </xdr:to>
    <xdr:sp macro="[0]!_xludf.INDICE" textlink="">
      <xdr:nvSpPr>
        <xdr:cNvPr id="7" name="6 Recortar rectángulo de esquina sencilla">
          <a:extLst>
            <a:ext uri="{FF2B5EF4-FFF2-40B4-BE49-F238E27FC236}">
              <a16:creationId xmlns:a16="http://schemas.microsoft.com/office/drawing/2014/main" id="{00000000-0008-0000-0400-000007000000}"/>
            </a:ext>
          </a:extLst>
        </xdr:cNvPr>
        <xdr:cNvSpPr/>
      </xdr:nvSpPr>
      <xdr:spPr>
        <a:xfrm rot="5400000">
          <a:off x="3067200" y="-324000"/>
          <a:ext cx="432000" cy="1080000"/>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INDICE</a:t>
          </a:r>
        </a:p>
      </xdr:txBody>
    </xdr:sp>
    <xdr:clientData/>
  </xdr:twoCellAnchor>
  <xdr:twoCellAnchor>
    <xdr:from>
      <xdr:col>3</xdr:col>
      <xdr:colOff>104775</xdr:colOff>
      <xdr:row>0</xdr:row>
      <xdr:rowOff>0</xdr:rowOff>
    </xdr:from>
    <xdr:to>
      <xdr:col>4</xdr:col>
      <xdr:colOff>137025</xdr:colOff>
      <xdr:row>0</xdr:row>
      <xdr:rowOff>432000</xdr:rowOff>
    </xdr:to>
    <xdr:sp macro="[0]!primera" textlink="">
      <xdr:nvSpPr>
        <xdr:cNvPr id="8" name="7 Recortar rectángulo de esquina sencilla">
          <a:extLst>
            <a:ext uri="{FF2B5EF4-FFF2-40B4-BE49-F238E27FC236}">
              <a16:creationId xmlns:a16="http://schemas.microsoft.com/office/drawing/2014/main" id="{00000000-0008-0000-0400-000008000000}"/>
            </a:ext>
          </a:extLst>
        </xdr:cNvPr>
        <xdr:cNvSpPr/>
      </xdr:nvSpPr>
      <xdr:spPr>
        <a:xfrm rot="5400000">
          <a:off x="4238775" y="-324000"/>
          <a:ext cx="432000" cy="1080000"/>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LB2018</a:t>
          </a:r>
        </a:p>
      </xdr:txBody>
    </xdr:sp>
    <xdr:clientData/>
  </xdr:twoCellAnchor>
  <xdr:twoCellAnchor>
    <xdr:from>
      <xdr:col>4</xdr:col>
      <xdr:colOff>209550</xdr:colOff>
      <xdr:row>0</xdr:row>
      <xdr:rowOff>0</xdr:rowOff>
    </xdr:from>
    <xdr:to>
      <xdr:col>5</xdr:col>
      <xdr:colOff>241800</xdr:colOff>
      <xdr:row>0</xdr:row>
      <xdr:rowOff>432000</xdr:rowOff>
    </xdr:to>
    <xdr:sp macro="[0]!segunda" textlink="">
      <xdr:nvSpPr>
        <xdr:cNvPr id="9" name="8 Recortar rectángulo de esquina sencilla">
          <a:extLst>
            <a:ext uri="{FF2B5EF4-FFF2-40B4-BE49-F238E27FC236}">
              <a16:creationId xmlns:a16="http://schemas.microsoft.com/office/drawing/2014/main" id="{00000000-0008-0000-0400-000009000000}"/>
            </a:ext>
          </a:extLst>
        </xdr:cNvPr>
        <xdr:cNvSpPr/>
      </xdr:nvSpPr>
      <xdr:spPr>
        <a:xfrm rot="5400000">
          <a:off x="5391300" y="-324000"/>
          <a:ext cx="432000" cy="1080000"/>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ACT2019</a:t>
          </a:r>
        </a:p>
      </xdr:txBody>
    </xdr:sp>
    <xdr:clientData/>
  </xdr:twoCellAnchor>
  <xdr:twoCellAnchor>
    <xdr:from>
      <xdr:col>5</xdr:col>
      <xdr:colOff>314325</xdr:colOff>
      <xdr:row>0</xdr:row>
      <xdr:rowOff>0</xdr:rowOff>
    </xdr:from>
    <xdr:to>
      <xdr:col>6</xdr:col>
      <xdr:colOff>346575</xdr:colOff>
      <xdr:row>0</xdr:row>
      <xdr:rowOff>432000</xdr:rowOff>
    </xdr:to>
    <xdr:sp macro="[0]!tercera" textlink="">
      <xdr:nvSpPr>
        <xdr:cNvPr id="10" name="9 Recortar rectángulo de esquina sencilla">
          <a:extLst>
            <a:ext uri="{FF2B5EF4-FFF2-40B4-BE49-F238E27FC236}">
              <a16:creationId xmlns:a16="http://schemas.microsoft.com/office/drawing/2014/main" id="{00000000-0008-0000-0400-00000A000000}"/>
            </a:ext>
          </a:extLst>
        </xdr:cNvPr>
        <xdr:cNvSpPr/>
      </xdr:nvSpPr>
      <xdr:spPr>
        <a:xfrm rot="5400000">
          <a:off x="6543825" y="-324000"/>
          <a:ext cx="432000" cy="1080000"/>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100"/>
            <a:t>ACT2020</a:t>
          </a:r>
        </a:p>
      </xdr:txBody>
    </xdr:sp>
    <xdr:clientData/>
  </xdr:twoCellAnchor>
  <xdr:twoCellAnchor>
    <xdr:from>
      <xdr:col>6</xdr:col>
      <xdr:colOff>476250</xdr:colOff>
      <xdr:row>0</xdr:row>
      <xdr:rowOff>0</xdr:rowOff>
    </xdr:from>
    <xdr:to>
      <xdr:col>7</xdr:col>
      <xdr:colOff>508500</xdr:colOff>
      <xdr:row>0</xdr:row>
      <xdr:rowOff>648000</xdr:rowOff>
    </xdr:to>
    <xdr:sp macro="[0]!reporte" textlink="">
      <xdr:nvSpPr>
        <xdr:cNvPr id="13" name="12 Recortar rectángulo de esquina sencilla">
          <a:extLst>
            <a:ext uri="{FF2B5EF4-FFF2-40B4-BE49-F238E27FC236}">
              <a16:creationId xmlns:a16="http://schemas.microsoft.com/office/drawing/2014/main" id="{00000000-0008-0000-0400-00000D000000}"/>
            </a:ext>
          </a:extLst>
        </xdr:cNvPr>
        <xdr:cNvSpPr/>
      </xdr:nvSpPr>
      <xdr:spPr>
        <a:xfrm rot="5400000">
          <a:off x="7512150" y="-216000"/>
          <a:ext cx="648000" cy="1080000"/>
        </a:xfrm>
        <a:prstGeom prst="snip1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vert="vert270" rtlCol="0" anchor="ctr"/>
        <a:lstStyle/>
        <a:p>
          <a:pPr algn="ctr"/>
          <a:r>
            <a:rPr lang="es-CL" sz="1800" b="1" i="0"/>
            <a:t>REPORTE INDICADORES</a:t>
          </a:r>
          <a:r>
            <a:rPr lang="es-CL" sz="1800" b="1" i="0" baseline="0"/>
            <a:t> COMUNALES</a:t>
          </a:r>
          <a:endParaRPr lang="es-CL" sz="1600" b="1" i="0"/>
        </a:p>
      </xdr:txBody>
    </xdr:sp>
    <xdr:clientData/>
  </xdr:twoCellAnchor>
  <xdr:twoCellAnchor>
    <xdr:from>
      <xdr:col>0</xdr:col>
      <xdr:colOff>114300</xdr:colOff>
      <xdr:row>5</xdr:row>
      <xdr:rowOff>180975</xdr:rowOff>
    </xdr:from>
    <xdr:to>
      <xdr:col>0</xdr:col>
      <xdr:colOff>495300</xdr:colOff>
      <xdr:row>7</xdr:row>
      <xdr:rowOff>19050</xdr:rowOff>
    </xdr:to>
    <xdr:sp macro="" textlink="">
      <xdr:nvSpPr>
        <xdr:cNvPr id="17" name="16 Cheurón">
          <a:extLst>
            <a:ext uri="{FF2B5EF4-FFF2-40B4-BE49-F238E27FC236}">
              <a16:creationId xmlns:a16="http://schemas.microsoft.com/office/drawing/2014/main" id="{00000000-0008-0000-0400-000011000000}"/>
            </a:ext>
          </a:extLst>
        </xdr:cNvPr>
        <xdr:cNvSpPr/>
      </xdr:nvSpPr>
      <xdr:spPr>
        <a:xfrm>
          <a:off x="114300" y="1533525"/>
          <a:ext cx="381000" cy="219075"/>
        </a:xfrm>
        <a:prstGeom prst="chevron">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solidFill>
              <a:schemeClr val="tx1"/>
            </a:solidFill>
          </a:endParaRPr>
        </a:p>
      </xdr:txBody>
    </xdr:sp>
    <xdr:clientData/>
  </xdr:twoCellAnchor>
  <xdr:oneCellAnchor>
    <xdr:from>
      <xdr:col>8</xdr:col>
      <xdr:colOff>139733</xdr:colOff>
      <xdr:row>94</xdr:row>
      <xdr:rowOff>171450</xdr:rowOff>
    </xdr:from>
    <xdr:ext cx="564913" cy="542926"/>
    <xdr:pic>
      <xdr:nvPicPr>
        <xdr:cNvPr id="14" name="13 Imagen">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188483" y="933450"/>
          <a:ext cx="564913" cy="542926"/>
        </a:xfrm>
        <a:prstGeom prst="rect">
          <a:avLst/>
        </a:prstGeom>
      </xdr:spPr>
    </xdr:pic>
    <xdr:clientData/>
  </xdr:oneCellAnchor>
  <xdr:oneCellAnchor>
    <xdr:from>
      <xdr:col>8</xdr:col>
      <xdr:colOff>788522</xdr:colOff>
      <xdr:row>94</xdr:row>
      <xdr:rowOff>171450</xdr:rowOff>
    </xdr:from>
    <xdr:ext cx="554504" cy="531074"/>
    <xdr:pic>
      <xdr:nvPicPr>
        <xdr:cNvPr id="15" name="14 Imagen">
          <a:extLst>
            <a:ext uri="{FF2B5EF4-FFF2-40B4-BE49-F238E27FC236}">
              <a16:creationId xmlns:a16="http://schemas.microsoft.com/office/drawing/2014/main" id="{00000000-0008-0000-0000-000004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0" r="43423"/>
        <a:stretch/>
      </xdr:blipFill>
      <xdr:spPr>
        <a:xfrm>
          <a:off x="9837272" y="933450"/>
          <a:ext cx="554504" cy="531074"/>
        </a:xfrm>
        <a:prstGeom prst="rect">
          <a:avLst/>
        </a:prstGeom>
      </xdr:spPr>
    </xdr:pic>
    <xdr:clientData/>
  </xdr:oneCellAnchor>
  <xdr:oneCellAnchor>
    <xdr:from>
      <xdr:col>9</xdr:col>
      <xdr:colOff>356653</xdr:colOff>
      <xdr:row>94</xdr:row>
      <xdr:rowOff>180975</xdr:rowOff>
    </xdr:from>
    <xdr:ext cx="533400" cy="533400"/>
    <xdr:pic>
      <xdr:nvPicPr>
        <xdr:cNvPr id="16" name="15 Imagen">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453153" y="942975"/>
          <a:ext cx="533400" cy="533400"/>
        </a:xfrm>
        <a:prstGeom prst="rect">
          <a:avLst/>
        </a:prstGeom>
      </xdr:spPr>
    </xdr:pic>
    <xdr:clientData/>
  </xdr:oneCellAnchor>
  <xdr:twoCellAnchor>
    <xdr:from>
      <xdr:col>0</xdr:col>
      <xdr:colOff>819150</xdr:colOff>
      <xdr:row>98</xdr:row>
      <xdr:rowOff>0</xdr:rowOff>
    </xdr:from>
    <xdr:to>
      <xdr:col>0</xdr:col>
      <xdr:colOff>1200150</xdr:colOff>
      <xdr:row>99</xdr:row>
      <xdr:rowOff>28575</xdr:rowOff>
    </xdr:to>
    <xdr:sp macro="" textlink="">
      <xdr:nvSpPr>
        <xdr:cNvPr id="18" name="17 Cheurón">
          <a:extLst>
            <a:ext uri="{FF2B5EF4-FFF2-40B4-BE49-F238E27FC236}">
              <a16:creationId xmlns:a16="http://schemas.microsoft.com/office/drawing/2014/main" id="{00000000-0008-0000-0400-000012000000}"/>
            </a:ext>
          </a:extLst>
        </xdr:cNvPr>
        <xdr:cNvSpPr/>
      </xdr:nvSpPr>
      <xdr:spPr>
        <a:xfrm>
          <a:off x="819150" y="1543050"/>
          <a:ext cx="381000" cy="219075"/>
        </a:xfrm>
        <a:prstGeom prst="chevron">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solidFill>
              <a:schemeClr val="tx1"/>
            </a:solidFill>
          </a:endParaRPr>
        </a:p>
      </xdr:txBody>
    </xdr:sp>
    <xdr:clientData/>
  </xdr:twoCellAnchor>
  <xdr:oneCellAnchor>
    <xdr:from>
      <xdr:col>8</xdr:col>
      <xdr:colOff>139733</xdr:colOff>
      <xdr:row>117</xdr:row>
      <xdr:rowOff>171450</xdr:rowOff>
    </xdr:from>
    <xdr:ext cx="564913" cy="542926"/>
    <xdr:pic>
      <xdr:nvPicPr>
        <xdr:cNvPr id="21" name="20 Imagen">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188483" y="21612225"/>
          <a:ext cx="564913" cy="542926"/>
        </a:xfrm>
        <a:prstGeom prst="rect">
          <a:avLst/>
        </a:prstGeom>
      </xdr:spPr>
    </xdr:pic>
    <xdr:clientData/>
  </xdr:oneCellAnchor>
  <xdr:oneCellAnchor>
    <xdr:from>
      <xdr:col>8</xdr:col>
      <xdr:colOff>788522</xdr:colOff>
      <xdr:row>117</xdr:row>
      <xdr:rowOff>171450</xdr:rowOff>
    </xdr:from>
    <xdr:ext cx="554504" cy="531074"/>
    <xdr:pic>
      <xdr:nvPicPr>
        <xdr:cNvPr id="22" name="21 Imagen">
          <a:extLst>
            <a:ext uri="{FF2B5EF4-FFF2-40B4-BE49-F238E27FC236}">
              <a16:creationId xmlns:a16="http://schemas.microsoft.com/office/drawing/2014/main" id="{00000000-0008-0000-0000-000004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0" r="43423"/>
        <a:stretch/>
      </xdr:blipFill>
      <xdr:spPr>
        <a:xfrm>
          <a:off x="9837272" y="21612225"/>
          <a:ext cx="554504" cy="531074"/>
        </a:xfrm>
        <a:prstGeom prst="rect">
          <a:avLst/>
        </a:prstGeom>
      </xdr:spPr>
    </xdr:pic>
    <xdr:clientData/>
  </xdr:oneCellAnchor>
  <xdr:oneCellAnchor>
    <xdr:from>
      <xdr:col>9</xdr:col>
      <xdr:colOff>356653</xdr:colOff>
      <xdr:row>117</xdr:row>
      <xdr:rowOff>180975</xdr:rowOff>
    </xdr:from>
    <xdr:ext cx="533400" cy="533400"/>
    <xdr:pic>
      <xdr:nvPicPr>
        <xdr:cNvPr id="23" name="22 Imagen">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453153" y="21621750"/>
          <a:ext cx="533400" cy="533400"/>
        </a:xfrm>
        <a:prstGeom prst="rect">
          <a:avLst/>
        </a:prstGeom>
      </xdr:spPr>
    </xdr:pic>
    <xdr:clientData/>
  </xdr:oneCellAnchor>
  <xdr:twoCellAnchor>
    <xdr:from>
      <xdr:col>0</xdr:col>
      <xdr:colOff>819150</xdr:colOff>
      <xdr:row>121</xdr:row>
      <xdr:rowOff>0</xdr:rowOff>
    </xdr:from>
    <xdr:to>
      <xdr:col>0</xdr:col>
      <xdr:colOff>1200150</xdr:colOff>
      <xdr:row>122</xdr:row>
      <xdr:rowOff>28575</xdr:rowOff>
    </xdr:to>
    <xdr:sp macro="" textlink="">
      <xdr:nvSpPr>
        <xdr:cNvPr id="24" name="23 Cheurón">
          <a:extLst>
            <a:ext uri="{FF2B5EF4-FFF2-40B4-BE49-F238E27FC236}">
              <a16:creationId xmlns:a16="http://schemas.microsoft.com/office/drawing/2014/main" id="{00000000-0008-0000-0400-000018000000}"/>
            </a:ext>
          </a:extLst>
        </xdr:cNvPr>
        <xdr:cNvSpPr/>
      </xdr:nvSpPr>
      <xdr:spPr>
        <a:xfrm>
          <a:off x="819150" y="22221825"/>
          <a:ext cx="381000" cy="219075"/>
        </a:xfrm>
        <a:prstGeom prst="chevron">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solidFill>
              <a:schemeClr val="tx1"/>
            </a:solidFill>
          </a:endParaRPr>
        </a:p>
      </xdr:txBody>
    </xdr:sp>
    <xdr:clientData/>
  </xdr:twoCellAnchor>
  <xdr:oneCellAnchor>
    <xdr:from>
      <xdr:col>8</xdr:col>
      <xdr:colOff>139733</xdr:colOff>
      <xdr:row>132</xdr:row>
      <xdr:rowOff>171450</xdr:rowOff>
    </xdr:from>
    <xdr:ext cx="564913" cy="542926"/>
    <xdr:pic>
      <xdr:nvPicPr>
        <xdr:cNvPr id="29" name="28 Imagen">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188483" y="26012775"/>
          <a:ext cx="564913" cy="542926"/>
        </a:xfrm>
        <a:prstGeom prst="rect">
          <a:avLst/>
        </a:prstGeom>
      </xdr:spPr>
    </xdr:pic>
    <xdr:clientData/>
  </xdr:oneCellAnchor>
  <xdr:oneCellAnchor>
    <xdr:from>
      <xdr:col>8</xdr:col>
      <xdr:colOff>788522</xdr:colOff>
      <xdr:row>132</xdr:row>
      <xdr:rowOff>171450</xdr:rowOff>
    </xdr:from>
    <xdr:ext cx="554504" cy="531074"/>
    <xdr:pic>
      <xdr:nvPicPr>
        <xdr:cNvPr id="30" name="29 Imagen">
          <a:extLst>
            <a:ext uri="{FF2B5EF4-FFF2-40B4-BE49-F238E27FC236}">
              <a16:creationId xmlns:a16="http://schemas.microsoft.com/office/drawing/2014/main" id="{00000000-0008-0000-0000-000004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0" r="43423"/>
        <a:stretch/>
      </xdr:blipFill>
      <xdr:spPr>
        <a:xfrm>
          <a:off x="9837272" y="26012775"/>
          <a:ext cx="554504" cy="531074"/>
        </a:xfrm>
        <a:prstGeom prst="rect">
          <a:avLst/>
        </a:prstGeom>
      </xdr:spPr>
    </xdr:pic>
    <xdr:clientData/>
  </xdr:oneCellAnchor>
  <xdr:oneCellAnchor>
    <xdr:from>
      <xdr:col>9</xdr:col>
      <xdr:colOff>356653</xdr:colOff>
      <xdr:row>132</xdr:row>
      <xdr:rowOff>180975</xdr:rowOff>
    </xdr:from>
    <xdr:ext cx="533400" cy="533400"/>
    <xdr:pic>
      <xdr:nvPicPr>
        <xdr:cNvPr id="31" name="30 Imagen">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453153" y="26022300"/>
          <a:ext cx="533400" cy="533400"/>
        </a:xfrm>
        <a:prstGeom prst="rect">
          <a:avLst/>
        </a:prstGeom>
      </xdr:spPr>
    </xdr:pic>
    <xdr:clientData/>
  </xdr:oneCellAnchor>
  <xdr:twoCellAnchor>
    <xdr:from>
      <xdr:col>0</xdr:col>
      <xdr:colOff>819150</xdr:colOff>
      <xdr:row>136</xdr:row>
      <xdr:rowOff>0</xdr:rowOff>
    </xdr:from>
    <xdr:to>
      <xdr:col>0</xdr:col>
      <xdr:colOff>1200150</xdr:colOff>
      <xdr:row>137</xdr:row>
      <xdr:rowOff>28575</xdr:rowOff>
    </xdr:to>
    <xdr:sp macro="" textlink="">
      <xdr:nvSpPr>
        <xdr:cNvPr id="32" name="31 Cheurón">
          <a:extLst>
            <a:ext uri="{FF2B5EF4-FFF2-40B4-BE49-F238E27FC236}">
              <a16:creationId xmlns:a16="http://schemas.microsoft.com/office/drawing/2014/main" id="{00000000-0008-0000-0400-000020000000}"/>
            </a:ext>
          </a:extLst>
        </xdr:cNvPr>
        <xdr:cNvSpPr/>
      </xdr:nvSpPr>
      <xdr:spPr>
        <a:xfrm>
          <a:off x="819150" y="26622375"/>
          <a:ext cx="381000" cy="219075"/>
        </a:xfrm>
        <a:prstGeom prst="chevron">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solidFill>
              <a:schemeClr val="tx1"/>
            </a:solidFill>
          </a:endParaRPr>
        </a:p>
      </xdr:txBody>
    </xdr:sp>
    <xdr:clientData/>
  </xdr:twoCellAnchor>
  <xdr:twoCellAnchor>
    <xdr:from>
      <xdr:col>7</xdr:col>
      <xdr:colOff>990600</xdr:colOff>
      <xdr:row>1</xdr:row>
      <xdr:rowOff>228599</xdr:rowOff>
    </xdr:from>
    <xdr:to>
      <xdr:col>9</xdr:col>
      <xdr:colOff>695100</xdr:colOff>
      <xdr:row>1</xdr:row>
      <xdr:rowOff>552599</xdr:rowOff>
    </xdr:to>
    <xdr:sp macro="" textlink="">
      <xdr:nvSpPr>
        <xdr:cNvPr id="38" name="37 Rectángulo redondeado">
          <a:hlinkClick xmlns:r="http://schemas.openxmlformats.org/officeDocument/2006/relationships" r:id="rId4"/>
          <a:extLst>
            <a:ext uri="{FF2B5EF4-FFF2-40B4-BE49-F238E27FC236}">
              <a16:creationId xmlns:a16="http://schemas.microsoft.com/office/drawing/2014/main" id="{00000000-0008-0000-0400-000026000000}"/>
            </a:ext>
          </a:extLst>
        </xdr:cNvPr>
        <xdr:cNvSpPr/>
      </xdr:nvSpPr>
      <xdr:spPr>
        <a:xfrm>
          <a:off x="8991600" y="990599"/>
          <a:ext cx="1800000" cy="324000"/>
        </a:xfrm>
        <a:prstGeom prst="roundRect">
          <a:avLst/>
        </a:prstGeom>
        <a:solidFill>
          <a:schemeClr val="bg1">
            <a:lumMod val="85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ctr"/>
          <a:r>
            <a:rPr lang="es-CL" sz="1100">
              <a:solidFill>
                <a:schemeClr val="tx1">
                  <a:lumMod val="65000"/>
                  <a:lumOff val="35000"/>
                </a:schemeClr>
              </a:solidFill>
            </a:rPr>
            <a:t>Indicadores por</a:t>
          </a:r>
          <a:r>
            <a:rPr lang="es-CL" sz="1100" baseline="0">
              <a:solidFill>
                <a:schemeClr val="tx1">
                  <a:lumMod val="65000"/>
                  <a:lumOff val="35000"/>
                </a:schemeClr>
              </a:solidFill>
            </a:rPr>
            <a:t> ciudad</a:t>
          </a:r>
          <a:endParaRPr lang="es-CL" sz="1100">
            <a:solidFill>
              <a:schemeClr val="tx1">
                <a:lumMod val="65000"/>
                <a:lumOff val="35000"/>
              </a:schemeClr>
            </a:solidFill>
          </a:endParaRPr>
        </a:p>
      </xdr:txBody>
    </xdr:sp>
    <xdr:clientData/>
  </xdr:twoCellAnchor>
  <xdr:twoCellAnchor>
    <xdr:from>
      <xdr:col>6</xdr:col>
      <xdr:colOff>142873</xdr:colOff>
      <xdr:row>1</xdr:row>
      <xdr:rowOff>228599</xdr:rowOff>
    </xdr:from>
    <xdr:to>
      <xdr:col>7</xdr:col>
      <xdr:colOff>895123</xdr:colOff>
      <xdr:row>1</xdr:row>
      <xdr:rowOff>552599</xdr:rowOff>
    </xdr:to>
    <xdr:sp macro="" textlink="">
      <xdr:nvSpPr>
        <xdr:cNvPr id="39" name="38 Rectángulo redondeado">
          <a:hlinkClick xmlns:r="http://schemas.openxmlformats.org/officeDocument/2006/relationships" r:id="rId5"/>
          <a:extLst>
            <a:ext uri="{FF2B5EF4-FFF2-40B4-BE49-F238E27FC236}">
              <a16:creationId xmlns:a16="http://schemas.microsoft.com/office/drawing/2014/main" id="{00000000-0008-0000-0400-000027000000}"/>
            </a:ext>
          </a:extLst>
        </xdr:cNvPr>
        <xdr:cNvSpPr/>
      </xdr:nvSpPr>
      <xdr:spPr>
        <a:xfrm>
          <a:off x="7096123" y="990599"/>
          <a:ext cx="1800000" cy="324000"/>
        </a:xfrm>
        <a:prstGeom prst="roundRect">
          <a:avLst/>
        </a:prstGeom>
        <a:solidFill>
          <a:schemeClr val="bg1">
            <a:lumMod val="85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ctr"/>
          <a:r>
            <a:rPr lang="es-CL" sz="1100">
              <a:solidFill>
                <a:schemeClr val="tx1">
                  <a:lumMod val="65000"/>
                  <a:lumOff val="35000"/>
                </a:schemeClr>
              </a:solidFill>
            </a:rPr>
            <a:t>Indicadores por</a:t>
          </a:r>
          <a:r>
            <a:rPr lang="es-CL" sz="1100" baseline="0">
              <a:solidFill>
                <a:schemeClr val="tx1">
                  <a:lumMod val="65000"/>
                  <a:lumOff val="35000"/>
                </a:schemeClr>
              </a:solidFill>
            </a:rPr>
            <a:t> comuna</a:t>
          </a:r>
          <a:endParaRPr lang="es-CL" sz="1100">
            <a:solidFill>
              <a:schemeClr val="tx1">
                <a:lumMod val="65000"/>
                <a:lumOff val="35000"/>
              </a:schemeClr>
            </a:solidFill>
          </a:endParaRPr>
        </a:p>
      </xdr:txBody>
    </xdr:sp>
    <xdr:clientData/>
  </xdr:twoCellAnchor>
  <xdr:twoCellAnchor editAs="oneCell">
    <xdr:from>
      <xdr:col>8</xdr:col>
      <xdr:colOff>133350</xdr:colOff>
      <xdr:row>2</xdr:row>
      <xdr:rowOff>76200</xdr:rowOff>
    </xdr:from>
    <xdr:to>
      <xdr:col>8</xdr:col>
      <xdr:colOff>725261</xdr:colOff>
      <xdr:row>5</xdr:row>
      <xdr:rowOff>21852</xdr:rowOff>
    </xdr:to>
    <xdr:pic>
      <xdr:nvPicPr>
        <xdr:cNvPr id="27" name="26 Imagen">
          <a:extLst>
            <a:ext uri="{FF2B5EF4-FFF2-40B4-BE49-F238E27FC236}">
              <a16:creationId xmlns:a16="http://schemas.microsoft.com/office/drawing/2014/main" id="{00000000-0008-0000-0400-00001B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9048750" y="1600200"/>
          <a:ext cx="591911" cy="536202"/>
        </a:xfrm>
        <a:prstGeom prst="rect">
          <a:avLst/>
        </a:prstGeom>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theme="3"/>
  </sheetPr>
  <dimension ref="A1:FR128"/>
  <sheetViews>
    <sheetView showGridLines="0" tabSelected="1" zoomScaleNormal="100" workbookViewId="0">
      <selection activeCell="A7" sqref="A7"/>
    </sheetView>
  </sheetViews>
  <sheetFormatPr defaultColWidth="11.42578125" defaultRowHeight="15"/>
  <cols>
    <col min="1" max="1" width="20.7109375" customWidth="1"/>
    <col min="2" max="2" width="13.140625" customWidth="1"/>
    <col min="8" max="8" width="14.85546875" customWidth="1"/>
    <col min="14" max="14" width="7.140625" customWidth="1"/>
  </cols>
  <sheetData>
    <row r="1" spans="1:174" s="2" customFormat="1" ht="60" customHeight="1">
      <c r="A1" s="312" t="s">
        <v>0</v>
      </c>
      <c r="B1" s="312"/>
      <c r="C1" s="11"/>
      <c r="D1" s="11"/>
      <c r="E1" s="11"/>
      <c r="F1" s="11"/>
      <c r="G1" s="11"/>
      <c r="H1" s="11"/>
      <c r="I1" s="11"/>
      <c r="J1" s="11"/>
      <c r="K1" s="11"/>
      <c r="L1" s="11"/>
      <c r="M1" s="11"/>
      <c r="N1" s="11"/>
      <c r="O1" s="11"/>
      <c r="P1" s="11"/>
      <c r="Q1" s="11"/>
      <c r="R1" s="11"/>
      <c r="S1" s="11"/>
      <c r="T1" s="11"/>
      <c r="U1" s="11"/>
      <c r="V1" s="11"/>
      <c r="W1" s="1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row>
    <row r="3" spans="1:174" ht="15" customHeight="1">
      <c r="B3" s="315" t="s">
        <v>1</v>
      </c>
      <c r="C3" s="315"/>
      <c r="D3" s="315"/>
      <c r="E3" s="315"/>
      <c r="F3" s="315"/>
      <c r="G3" s="315"/>
      <c r="H3" s="315"/>
      <c r="I3" s="315"/>
      <c r="J3" s="315"/>
      <c r="K3" s="315"/>
      <c r="L3" s="315"/>
      <c r="M3" s="315"/>
      <c r="N3" s="315"/>
      <c r="O3" s="315"/>
      <c r="P3" s="315"/>
      <c r="Q3" s="315"/>
      <c r="R3" s="315"/>
      <c r="S3" s="315"/>
      <c r="T3" s="315"/>
      <c r="U3" s="315"/>
      <c r="V3" s="315"/>
    </row>
    <row r="4" spans="1:174">
      <c r="B4" s="315"/>
      <c r="C4" s="315"/>
      <c r="D4" s="315"/>
      <c r="E4" s="315"/>
      <c r="F4" s="315"/>
      <c r="G4" s="315"/>
      <c r="H4" s="315"/>
      <c r="I4" s="315"/>
      <c r="J4" s="315"/>
      <c r="K4" s="315"/>
      <c r="L4" s="315"/>
      <c r="M4" s="315"/>
      <c r="N4" s="315"/>
      <c r="O4" s="315"/>
      <c r="P4" s="315"/>
      <c r="Q4" s="315"/>
      <c r="R4" s="315"/>
      <c r="S4" s="315"/>
      <c r="T4" s="315"/>
      <c r="U4" s="315"/>
      <c r="V4" s="315"/>
    </row>
    <row r="5" spans="1:174">
      <c r="B5" s="315"/>
      <c r="C5" s="315"/>
      <c r="D5" s="315"/>
      <c r="E5" s="315"/>
      <c r="F5" s="315"/>
      <c r="G5" s="315"/>
      <c r="H5" s="315"/>
      <c r="I5" s="315"/>
      <c r="J5" s="315"/>
      <c r="K5" s="315"/>
      <c r="L5" s="315"/>
      <c r="M5" s="315"/>
      <c r="N5" s="315"/>
      <c r="O5" s="315"/>
      <c r="P5" s="315"/>
      <c r="Q5" s="315"/>
      <c r="R5" s="315"/>
      <c r="S5" s="315"/>
      <c r="T5" s="315"/>
      <c r="U5" s="315"/>
      <c r="V5" s="315"/>
    </row>
    <row r="6" spans="1:174">
      <c r="B6" s="315"/>
      <c r="C6" s="315"/>
      <c r="D6" s="315"/>
      <c r="E6" s="315"/>
      <c r="F6" s="315"/>
      <c r="G6" s="315"/>
      <c r="H6" s="315"/>
      <c r="I6" s="315"/>
      <c r="J6" s="315"/>
      <c r="K6" s="315"/>
      <c r="L6" s="315"/>
      <c r="M6" s="315"/>
      <c r="N6" s="315"/>
      <c r="O6" s="315"/>
      <c r="P6" s="315"/>
      <c r="Q6" s="315"/>
      <c r="R6" s="315"/>
      <c r="S6" s="315"/>
      <c r="T6" s="315"/>
      <c r="U6" s="315"/>
      <c r="V6" s="315"/>
    </row>
    <row r="7" spans="1:174">
      <c r="B7" s="315"/>
      <c r="C7" s="315"/>
      <c r="D7" s="315"/>
      <c r="E7" s="315"/>
      <c r="F7" s="315"/>
      <c r="G7" s="315"/>
      <c r="H7" s="315"/>
      <c r="I7" s="315"/>
      <c r="J7" s="315"/>
      <c r="K7" s="315"/>
      <c r="L7" s="315"/>
      <c r="M7" s="315"/>
      <c r="N7" s="315"/>
      <c r="O7" s="315"/>
      <c r="P7" s="315"/>
      <c r="Q7" s="315"/>
      <c r="R7" s="315"/>
      <c r="S7" s="315"/>
      <c r="T7" s="315"/>
      <c r="U7" s="315"/>
      <c r="V7" s="315"/>
    </row>
    <row r="8" spans="1:174">
      <c r="B8" s="20"/>
      <c r="C8" s="20"/>
      <c r="D8" s="20"/>
      <c r="E8" s="20"/>
      <c r="F8" s="20"/>
      <c r="G8" s="20"/>
      <c r="H8" s="20"/>
      <c r="I8" s="20"/>
      <c r="J8" s="20"/>
      <c r="K8" s="20"/>
      <c r="L8" s="20"/>
      <c r="M8" s="20"/>
      <c r="N8" s="20"/>
      <c r="O8" s="20"/>
      <c r="P8" s="20"/>
      <c r="Q8" s="20"/>
      <c r="R8" s="20"/>
      <c r="S8" s="20"/>
      <c r="T8" s="20"/>
      <c r="U8" s="20"/>
      <c r="V8" s="20"/>
    </row>
    <row r="9" spans="1:174" ht="21" customHeight="1">
      <c r="B9" s="319" t="s">
        <v>2</v>
      </c>
      <c r="C9" s="319"/>
      <c r="D9" s="319"/>
      <c r="E9" s="319"/>
      <c r="F9" s="319"/>
      <c r="G9" s="319"/>
      <c r="H9" s="319"/>
      <c r="I9" s="319"/>
      <c r="J9" s="319"/>
      <c r="K9" s="319"/>
      <c r="L9" s="319"/>
      <c r="M9" s="319"/>
      <c r="N9" s="319"/>
      <c r="O9" s="319"/>
      <c r="P9" s="319"/>
      <c r="Q9" s="319"/>
      <c r="R9" s="319"/>
      <c r="S9" s="319"/>
      <c r="T9" s="319"/>
      <c r="U9" s="19"/>
      <c r="V9" s="19"/>
    </row>
    <row r="10" spans="1:174" ht="15" customHeight="1">
      <c r="B10" s="317" t="s">
        <v>3</v>
      </c>
      <c r="C10" s="317"/>
      <c r="D10" s="317"/>
      <c r="E10" s="317"/>
      <c r="F10" s="317"/>
      <c r="G10" s="317"/>
      <c r="H10" s="317"/>
      <c r="I10" s="317"/>
      <c r="J10" s="317"/>
      <c r="K10" s="317"/>
      <c r="L10" s="317"/>
      <c r="M10" s="317"/>
      <c r="N10" s="317"/>
      <c r="O10" s="317"/>
      <c r="P10" s="317"/>
      <c r="Q10" s="317"/>
      <c r="R10" s="317"/>
      <c r="S10" s="317"/>
      <c r="T10" s="317"/>
      <c r="U10" s="19"/>
      <c r="V10" s="19"/>
    </row>
    <row r="11" spans="1:174" ht="15" customHeight="1">
      <c r="B11" s="316" t="s">
        <v>4</v>
      </c>
      <c r="C11" s="316"/>
      <c r="D11" s="316"/>
      <c r="E11" s="316"/>
      <c r="F11" s="316"/>
      <c r="G11" s="316"/>
      <c r="H11" s="316"/>
      <c r="I11" s="316"/>
      <c r="J11" s="316"/>
      <c r="K11" s="316"/>
      <c r="L11" s="316"/>
      <c r="M11" s="316"/>
      <c r="N11" s="316"/>
      <c r="O11" s="316"/>
      <c r="P11" s="316"/>
      <c r="Q11" s="316"/>
      <c r="R11" s="316"/>
      <c r="S11" s="316"/>
      <c r="T11" s="316"/>
      <c r="U11" s="19"/>
      <c r="V11" s="19"/>
    </row>
    <row r="12" spans="1:174" ht="32.25" customHeight="1">
      <c r="B12" s="318" t="s">
        <v>5</v>
      </c>
      <c r="C12" s="318"/>
      <c r="D12" s="318"/>
      <c r="E12" s="318"/>
      <c r="F12" s="318"/>
      <c r="G12" s="318"/>
      <c r="H12" s="318"/>
      <c r="I12" s="318"/>
      <c r="J12" s="318"/>
      <c r="K12" s="318"/>
      <c r="L12" s="318"/>
      <c r="M12" s="318"/>
      <c r="N12" s="318"/>
      <c r="O12" s="318"/>
      <c r="P12" s="318"/>
      <c r="Q12" s="318"/>
      <c r="R12" s="318"/>
      <c r="S12" s="318"/>
      <c r="T12" s="318"/>
    </row>
    <row r="13" spans="1:174" ht="15" customHeight="1">
      <c r="B13" s="318" t="s">
        <v>6</v>
      </c>
      <c r="C13" s="318"/>
      <c r="D13" s="318"/>
      <c r="E13" s="318"/>
      <c r="F13" s="318"/>
      <c r="G13" s="318"/>
      <c r="H13" s="318"/>
      <c r="I13" s="318"/>
      <c r="J13" s="318"/>
      <c r="K13" s="318"/>
      <c r="L13" s="318"/>
      <c r="M13" s="318"/>
      <c r="N13" s="318"/>
      <c r="O13" s="318"/>
      <c r="P13" s="318"/>
      <c r="Q13" s="318"/>
      <c r="R13" s="318"/>
      <c r="S13" s="318"/>
      <c r="T13" s="318"/>
    </row>
    <row r="14" spans="1:174" ht="15" customHeight="1">
      <c r="P14" s="12"/>
      <c r="Q14" s="12"/>
      <c r="R14" s="12"/>
      <c r="S14" s="12"/>
      <c r="T14" s="12"/>
      <c r="U14" s="12"/>
      <c r="V14" s="12"/>
    </row>
    <row r="15" spans="1:174" ht="15" customHeight="1">
      <c r="A15" s="320" t="s">
        <v>7</v>
      </c>
      <c r="B15" s="313" t="s">
        <v>8</v>
      </c>
      <c r="C15" s="311"/>
      <c r="D15" s="299" t="s">
        <v>9</v>
      </c>
      <c r="E15" s="313" t="s">
        <v>10</v>
      </c>
      <c r="F15" s="310"/>
      <c r="G15" s="310"/>
      <c r="H15" s="313" t="s">
        <v>11</v>
      </c>
      <c r="I15" s="299" t="s">
        <v>12</v>
      </c>
      <c r="J15" s="299"/>
      <c r="K15" s="299"/>
      <c r="L15" s="299"/>
      <c r="M15" s="299"/>
      <c r="N15" s="299"/>
      <c r="O15" s="299" t="s">
        <v>13</v>
      </c>
      <c r="P15" s="299" t="s">
        <v>14</v>
      </c>
      <c r="Q15" s="299"/>
      <c r="R15" s="299"/>
      <c r="S15" s="262"/>
      <c r="T15" s="262"/>
      <c r="U15" s="12"/>
      <c r="V15" s="12"/>
    </row>
    <row r="16" spans="1:174" ht="41.25" customHeight="1">
      <c r="A16" s="321"/>
      <c r="B16" s="314"/>
      <c r="C16" s="322"/>
      <c r="D16" s="299"/>
      <c r="E16" s="314"/>
      <c r="F16" s="323"/>
      <c r="G16" s="323"/>
      <c r="H16" s="314"/>
      <c r="I16" s="299"/>
      <c r="J16" s="299"/>
      <c r="K16" s="299"/>
      <c r="L16" s="299"/>
      <c r="M16" s="299"/>
      <c r="N16" s="299"/>
      <c r="O16" s="299"/>
      <c r="P16" s="21" t="s">
        <v>15</v>
      </c>
      <c r="Q16" s="21" t="s">
        <v>16</v>
      </c>
      <c r="R16" s="21" t="s">
        <v>17</v>
      </c>
      <c r="S16" s="21" t="s">
        <v>18</v>
      </c>
      <c r="T16" s="263"/>
      <c r="V16" s="12"/>
    </row>
    <row r="17" spans="1:22" ht="15" customHeight="1">
      <c r="A17" s="303" t="s">
        <v>19</v>
      </c>
      <c r="B17" s="281" t="s">
        <v>20</v>
      </c>
      <c r="C17" s="300"/>
      <c r="D17" s="113" t="s">
        <v>21</v>
      </c>
      <c r="E17" s="273" t="s">
        <v>22</v>
      </c>
      <c r="F17" s="274"/>
      <c r="G17" s="274"/>
      <c r="H17" s="13" t="s">
        <v>23</v>
      </c>
      <c r="I17" s="280" t="s">
        <v>24</v>
      </c>
      <c r="J17" s="280"/>
      <c r="K17" s="280"/>
      <c r="L17" s="280"/>
      <c r="M17" s="280"/>
      <c r="N17" s="280"/>
      <c r="O17" s="15" t="s">
        <v>25</v>
      </c>
      <c r="P17" s="17" t="s">
        <v>26</v>
      </c>
      <c r="Q17" s="17" t="s">
        <v>26</v>
      </c>
      <c r="R17" s="17"/>
      <c r="S17" s="105">
        <f>COUNTIF(P17:R17,"ü")</f>
        <v>2</v>
      </c>
      <c r="T17" s="12"/>
      <c r="V17" s="12"/>
    </row>
    <row r="18" spans="1:22" ht="24.75" customHeight="1">
      <c r="A18" s="304"/>
      <c r="B18" s="289"/>
      <c r="C18" s="301"/>
      <c r="D18" s="15" t="s">
        <v>27</v>
      </c>
      <c r="E18" s="273" t="s">
        <v>28</v>
      </c>
      <c r="F18" s="274"/>
      <c r="G18" s="275"/>
      <c r="H18" s="14" t="s">
        <v>23</v>
      </c>
      <c r="I18" s="285" t="s">
        <v>29</v>
      </c>
      <c r="J18" s="286"/>
      <c r="K18" s="286"/>
      <c r="L18" s="286"/>
      <c r="M18" s="286"/>
      <c r="N18" s="287"/>
      <c r="O18" s="15" t="s">
        <v>25</v>
      </c>
      <c r="P18" s="17" t="s">
        <v>26</v>
      </c>
      <c r="Q18" s="17"/>
      <c r="R18" s="17"/>
      <c r="S18" s="105">
        <f t="shared" ref="S18:S80" si="0">COUNTIF(P18:R18,"ü")</f>
        <v>1</v>
      </c>
      <c r="T18" s="12"/>
      <c r="V18" s="12"/>
    </row>
    <row r="19" spans="1:22">
      <c r="A19" s="304"/>
      <c r="B19" s="289"/>
      <c r="C19" s="301"/>
      <c r="D19" s="15" t="s">
        <v>30</v>
      </c>
      <c r="E19" s="285" t="s">
        <v>31</v>
      </c>
      <c r="F19" s="286"/>
      <c r="G19" s="287"/>
      <c r="H19" s="14" t="s">
        <v>23</v>
      </c>
      <c r="I19" s="276" t="s">
        <v>32</v>
      </c>
      <c r="J19" s="277"/>
      <c r="K19" s="277"/>
      <c r="L19" s="277"/>
      <c r="M19" s="277"/>
      <c r="N19" s="278"/>
      <c r="O19" s="15" t="s">
        <v>25</v>
      </c>
      <c r="P19" s="17" t="s">
        <v>26</v>
      </c>
      <c r="Q19" s="17" t="s">
        <v>26</v>
      </c>
      <c r="R19" s="17"/>
      <c r="S19" s="105">
        <f t="shared" si="0"/>
        <v>2</v>
      </c>
      <c r="T19" s="12"/>
      <c r="V19" s="12"/>
    </row>
    <row r="20" spans="1:22" ht="24.75" customHeight="1">
      <c r="A20" s="304"/>
      <c r="B20" s="289"/>
      <c r="C20" s="301"/>
      <c r="D20" s="15" t="s">
        <v>33</v>
      </c>
      <c r="E20" s="273" t="s">
        <v>28</v>
      </c>
      <c r="F20" s="274"/>
      <c r="G20" s="275"/>
      <c r="H20" s="14" t="s">
        <v>23</v>
      </c>
      <c r="I20" s="285" t="s">
        <v>34</v>
      </c>
      <c r="J20" s="286"/>
      <c r="K20" s="286"/>
      <c r="L20" s="286"/>
      <c r="M20" s="286"/>
      <c r="N20" s="287"/>
      <c r="O20" s="15" t="s">
        <v>25</v>
      </c>
      <c r="P20" s="17" t="s">
        <v>26</v>
      </c>
      <c r="Q20" s="17"/>
      <c r="R20" s="17"/>
      <c r="S20" s="105">
        <f t="shared" si="0"/>
        <v>1</v>
      </c>
      <c r="T20" s="12"/>
      <c r="V20" s="12"/>
    </row>
    <row r="21" spans="1:22">
      <c r="A21" s="304"/>
      <c r="B21" s="289"/>
      <c r="C21" s="301"/>
      <c r="D21" s="15" t="s">
        <v>35</v>
      </c>
      <c r="E21" s="273" t="s">
        <v>28</v>
      </c>
      <c r="F21" s="274"/>
      <c r="G21" s="275"/>
      <c r="H21" s="14" t="s">
        <v>23</v>
      </c>
      <c r="I21" s="276" t="s">
        <v>36</v>
      </c>
      <c r="J21" s="277"/>
      <c r="K21" s="277"/>
      <c r="L21" s="277"/>
      <c r="M21" s="277"/>
      <c r="N21" s="278"/>
      <c r="O21" s="15" t="s">
        <v>25</v>
      </c>
      <c r="P21" s="17" t="s">
        <v>26</v>
      </c>
      <c r="Q21" s="17" t="s">
        <v>26</v>
      </c>
      <c r="R21" s="17"/>
      <c r="S21" s="105">
        <f t="shared" si="0"/>
        <v>2</v>
      </c>
      <c r="T21" s="12"/>
      <c r="V21" s="12"/>
    </row>
    <row r="22" spans="1:22">
      <c r="A22" s="304"/>
      <c r="B22" s="289"/>
      <c r="C22" s="301"/>
      <c r="D22" s="15" t="s">
        <v>37</v>
      </c>
      <c r="E22" s="273" t="s">
        <v>28</v>
      </c>
      <c r="F22" s="274"/>
      <c r="G22" s="275"/>
      <c r="H22" s="14" t="s">
        <v>23</v>
      </c>
      <c r="I22" s="276" t="s">
        <v>38</v>
      </c>
      <c r="J22" s="277"/>
      <c r="K22" s="277"/>
      <c r="L22" s="277"/>
      <c r="M22" s="277"/>
      <c r="N22" s="278"/>
      <c r="O22" s="15" t="s">
        <v>25</v>
      </c>
      <c r="P22" s="17" t="s">
        <v>26</v>
      </c>
      <c r="Q22" s="17" t="s">
        <v>26</v>
      </c>
      <c r="R22" s="17"/>
      <c r="S22" s="105">
        <f t="shared" si="0"/>
        <v>2</v>
      </c>
      <c r="T22" s="12"/>
      <c r="V22" s="12"/>
    </row>
    <row r="23" spans="1:22" ht="15" customHeight="1">
      <c r="A23" s="304"/>
      <c r="B23" s="283"/>
      <c r="C23" s="302"/>
      <c r="D23" s="15" t="s">
        <v>39</v>
      </c>
      <c r="E23" s="273" t="s">
        <v>40</v>
      </c>
      <c r="F23" s="274"/>
      <c r="G23" s="275"/>
      <c r="H23" s="14" t="s">
        <v>23</v>
      </c>
      <c r="I23" s="280" t="s">
        <v>41</v>
      </c>
      <c r="J23" s="280"/>
      <c r="K23" s="280"/>
      <c r="L23" s="280"/>
      <c r="M23" s="280"/>
      <c r="N23" s="280"/>
      <c r="O23" s="15" t="s">
        <v>25</v>
      </c>
      <c r="P23" s="17" t="s">
        <v>26</v>
      </c>
      <c r="Q23" s="18"/>
      <c r="R23" s="17"/>
      <c r="S23" s="105">
        <f t="shared" si="0"/>
        <v>1</v>
      </c>
      <c r="T23" s="12"/>
      <c r="V23" s="12"/>
    </row>
    <row r="24" spans="1:22" ht="15" customHeight="1">
      <c r="A24" s="304"/>
      <c r="B24" s="272" t="s">
        <v>42</v>
      </c>
      <c r="C24" s="272"/>
      <c r="D24" s="15" t="s">
        <v>43</v>
      </c>
      <c r="E24" s="273" t="s">
        <v>44</v>
      </c>
      <c r="F24" s="274"/>
      <c r="G24" s="275"/>
      <c r="H24" s="14" t="s">
        <v>23</v>
      </c>
      <c r="I24" s="280" t="s">
        <v>45</v>
      </c>
      <c r="J24" s="280"/>
      <c r="K24" s="280"/>
      <c r="L24" s="280"/>
      <c r="M24" s="280"/>
      <c r="N24" s="280"/>
      <c r="O24" s="15" t="s">
        <v>25</v>
      </c>
      <c r="P24" s="17" t="s">
        <v>26</v>
      </c>
      <c r="Q24" s="17" t="s">
        <v>26</v>
      </c>
      <c r="R24" s="17" t="s">
        <v>26</v>
      </c>
      <c r="S24" s="105">
        <f t="shared" si="0"/>
        <v>3</v>
      </c>
      <c r="T24" s="12"/>
      <c r="V24" s="12"/>
    </row>
    <row r="25" spans="1:22" ht="25.5" customHeight="1">
      <c r="A25" s="304"/>
      <c r="B25" s="272"/>
      <c r="C25" s="272"/>
      <c r="D25" s="15" t="s">
        <v>46</v>
      </c>
      <c r="E25" s="273" t="s">
        <v>28</v>
      </c>
      <c r="F25" s="274"/>
      <c r="G25" s="275"/>
      <c r="H25" s="14" t="s">
        <v>23</v>
      </c>
      <c r="I25" s="285" t="s">
        <v>47</v>
      </c>
      <c r="J25" s="286"/>
      <c r="K25" s="286"/>
      <c r="L25" s="286"/>
      <c r="M25" s="286"/>
      <c r="N25" s="287"/>
      <c r="O25" s="15" t="s">
        <v>25</v>
      </c>
      <c r="P25" s="17" t="s">
        <v>26</v>
      </c>
      <c r="Q25" s="17"/>
      <c r="R25" s="17"/>
      <c r="S25" s="105">
        <f t="shared" si="0"/>
        <v>1</v>
      </c>
      <c r="T25" s="12"/>
      <c r="V25" s="12"/>
    </row>
    <row r="26" spans="1:22">
      <c r="A26" s="304"/>
      <c r="B26" s="281" t="s">
        <v>48</v>
      </c>
      <c r="C26" s="282"/>
      <c r="D26" s="15" t="s">
        <v>49</v>
      </c>
      <c r="E26" s="285" t="s">
        <v>50</v>
      </c>
      <c r="F26" s="286"/>
      <c r="G26" s="287"/>
      <c r="H26" s="14" t="s">
        <v>23</v>
      </c>
      <c r="I26" s="276" t="s">
        <v>51</v>
      </c>
      <c r="J26" s="277"/>
      <c r="K26" s="277"/>
      <c r="L26" s="277"/>
      <c r="M26" s="277"/>
      <c r="N26" s="278"/>
      <c r="O26" s="15" t="s">
        <v>25</v>
      </c>
      <c r="P26" s="17" t="s">
        <v>26</v>
      </c>
      <c r="Q26" s="17" t="s">
        <v>26</v>
      </c>
      <c r="R26" s="17" t="s">
        <v>26</v>
      </c>
      <c r="S26" s="105">
        <f t="shared" si="0"/>
        <v>3</v>
      </c>
      <c r="T26" s="12"/>
      <c r="V26" s="12"/>
    </row>
    <row r="27" spans="1:22" ht="25.5" customHeight="1">
      <c r="A27" s="304"/>
      <c r="B27" s="283"/>
      <c r="C27" s="284"/>
      <c r="D27" s="15" t="s">
        <v>52</v>
      </c>
      <c r="E27" s="276" t="s">
        <v>53</v>
      </c>
      <c r="F27" s="277"/>
      <c r="G27" s="278"/>
      <c r="H27" s="14" t="s">
        <v>23</v>
      </c>
      <c r="I27" s="285" t="s">
        <v>54</v>
      </c>
      <c r="J27" s="286"/>
      <c r="K27" s="286"/>
      <c r="L27" s="286"/>
      <c r="M27" s="286"/>
      <c r="N27" s="287"/>
      <c r="O27" s="15" t="s">
        <v>25</v>
      </c>
      <c r="P27" s="17" t="s">
        <v>26</v>
      </c>
      <c r="Q27" s="17" t="s">
        <v>26</v>
      </c>
      <c r="R27" s="17" t="s">
        <v>26</v>
      </c>
      <c r="S27" s="105">
        <f t="shared" si="0"/>
        <v>3</v>
      </c>
      <c r="T27" s="12"/>
      <c r="V27" s="12"/>
    </row>
    <row r="28" spans="1:22" ht="21.75" customHeight="1">
      <c r="A28" s="305"/>
      <c r="B28" s="297" t="s">
        <v>55</v>
      </c>
      <c r="C28" s="298"/>
      <c r="D28" s="15" t="s">
        <v>56</v>
      </c>
      <c r="E28" s="276" t="s">
        <v>22</v>
      </c>
      <c r="F28" s="277"/>
      <c r="G28" s="278"/>
      <c r="H28" s="14" t="s">
        <v>23</v>
      </c>
      <c r="I28" s="276" t="s">
        <v>57</v>
      </c>
      <c r="J28" s="277"/>
      <c r="K28" s="277"/>
      <c r="L28" s="277"/>
      <c r="M28" s="277"/>
      <c r="N28" s="278"/>
      <c r="O28" s="15" t="s">
        <v>25</v>
      </c>
      <c r="P28" s="17" t="s">
        <v>26</v>
      </c>
      <c r="Q28" s="17" t="s">
        <v>26</v>
      </c>
      <c r="R28" s="17" t="s">
        <v>26</v>
      </c>
      <c r="S28" s="105">
        <f t="shared" si="0"/>
        <v>3</v>
      </c>
      <c r="T28" s="12"/>
      <c r="V28" s="12"/>
    </row>
    <row r="29" spans="1:22">
      <c r="A29" s="303" t="s">
        <v>58</v>
      </c>
      <c r="B29" s="281" t="s">
        <v>59</v>
      </c>
      <c r="C29" s="282"/>
      <c r="D29" s="15" t="s">
        <v>60</v>
      </c>
      <c r="E29" s="276" t="s">
        <v>61</v>
      </c>
      <c r="F29" s="277"/>
      <c r="G29" s="278"/>
      <c r="H29" s="14" t="s">
        <v>23</v>
      </c>
      <c r="I29" s="276" t="s">
        <v>62</v>
      </c>
      <c r="J29" s="277"/>
      <c r="K29" s="277"/>
      <c r="L29" s="277"/>
      <c r="M29" s="277"/>
      <c r="N29" s="278"/>
      <c r="O29" s="15" t="s">
        <v>25</v>
      </c>
      <c r="P29" s="17" t="s">
        <v>26</v>
      </c>
      <c r="Q29" s="17"/>
      <c r="R29" s="17"/>
      <c r="S29" s="105">
        <f t="shared" si="0"/>
        <v>1</v>
      </c>
      <c r="T29" s="12"/>
      <c r="V29" s="12"/>
    </row>
    <row r="30" spans="1:22" ht="27" customHeight="1">
      <c r="A30" s="304"/>
      <c r="B30" s="289"/>
      <c r="C30" s="290"/>
      <c r="D30" s="15" t="s">
        <v>63</v>
      </c>
      <c r="E30" s="273" t="s">
        <v>28</v>
      </c>
      <c r="F30" s="274"/>
      <c r="G30" s="275"/>
      <c r="H30" s="14" t="s">
        <v>23</v>
      </c>
      <c r="I30" s="285" t="s">
        <v>64</v>
      </c>
      <c r="J30" s="286"/>
      <c r="K30" s="286"/>
      <c r="L30" s="286"/>
      <c r="M30" s="286"/>
      <c r="N30" s="287"/>
      <c r="O30" s="15" t="s">
        <v>25</v>
      </c>
      <c r="P30" s="17" t="s">
        <v>26</v>
      </c>
      <c r="Q30" s="17"/>
      <c r="R30" s="17"/>
      <c r="S30" s="105">
        <f t="shared" si="0"/>
        <v>1</v>
      </c>
      <c r="T30" s="12"/>
      <c r="V30" s="12"/>
    </row>
    <row r="31" spans="1:22" ht="27" customHeight="1">
      <c r="A31" s="304"/>
      <c r="B31" s="289"/>
      <c r="C31" s="290"/>
      <c r="D31" s="15" t="s">
        <v>65</v>
      </c>
      <c r="E31" s="273" t="s">
        <v>28</v>
      </c>
      <c r="F31" s="274"/>
      <c r="G31" s="275"/>
      <c r="H31" s="14" t="s">
        <v>23</v>
      </c>
      <c r="I31" s="285" t="s">
        <v>66</v>
      </c>
      <c r="J31" s="286"/>
      <c r="K31" s="286"/>
      <c r="L31" s="286"/>
      <c r="M31" s="286"/>
      <c r="N31" s="287"/>
      <c r="O31" s="15" t="s">
        <v>25</v>
      </c>
      <c r="P31" s="17" t="s">
        <v>26</v>
      </c>
      <c r="Q31" s="17"/>
      <c r="R31" s="17"/>
      <c r="S31" s="105">
        <f t="shared" si="0"/>
        <v>1</v>
      </c>
      <c r="T31" s="12"/>
      <c r="V31" s="12"/>
    </row>
    <row r="32" spans="1:22" ht="24.75" customHeight="1">
      <c r="A32" s="304"/>
      <c r="B32" s="289"/>
      <c r="C32" s="290"/>
      <c r="D32" s="15" t="s">
        <v>67</v>
      </c>
      <c r="E32" s="273" t="s">
        <v>28</v>
      </c>
      <c r="F32" s="274"/>
      <c r="G32" s="275"/>
      <c r="H32" s="14" t="s">
        <v>23</v>
      </c>
      <c r="I32" s="285" t="s">
        <v>68</v>
      </c>
      <c r="J32" s="286"/>
      <c r="K32" s="286"/>
      <c r="L32" s="286"/>
      <c r="M32" s="286"/>
      <c r="N32" s="287"/>
      <c r="O32" s="15" t="s">
        <v>25</v>
      </c>
      <c r="P32" s="17" t="s">
        <v>26</v>
      </c>
      <c r="Q32" s="17"/>
      <c r="R32" s="17"/>
      <c r="S32" s="105">
        <f t="shared" si="0"/>
        <v>1</v>
      </c>
      <c r="T32" s="12"/>
      <c r="V32" s="12"/>
    </row>
    <row r="33" spans="1:22" ht="30" customHeight="1">
      <c r="A33" s="304"/>
      <c r="B33" s="289"/>
      <c r="C33" s="290"/>
      <c r="D33" s="15" t="s">
        <v>69</v>
      </c>
      <c r="E33" s="285" t="s">
        <v>70</v>
      </c>
      <c r="F33" s="286"/>
      <c r="G33" s="287"/>
      <c r="H33" s="14" t="s">
        <v>23</v>
      </c>
      <c r="I33" s="285" t="s">
        <v>71</v>
      </c>
      <c r="J33" s="286"/>
      <c r="K33" s="286"/>
      <c r="L33" s="286"/>
      <c r="M33" s="286"/>
      <c r="N33" s="287"/>
      <c r="O33" s="15" t="s">
        <v>72</v>
      </c>
      <c r="P33" s="17" t="s">
        <v>26</v>
      </c>
      <c r="Q33" s="17"/>
      <c r="R33" s="17"/>
      <c r="S33" s="105">
        <f t="shared" si="0"/>
        <v>1</v>
      </c>
      <c r="T33" s="12"/>
      <c r="V33" s="12"/>
    </row>
    <row r="34" spans="1:22" ht="15" customHeight="1">
      <c r="A34" s="304"/>
      <c r="B34" s="281" t="s">
        <v>73</v>
      </c>
      <c r="C34" s="282"/>
      <c r="D34" s="15" t="s">
        <v>74</v>
      </c>
      <c r="E34" s="273" t="s">
        <v>28</v>
      </c>
      <c r="F34" s="274"/>
      <c r="G34" s="275"/>
      <c r="H34" s="14" t="s">
        <v>75</v>
      </c>
      <c r="I34" s="276" t="s">
        <v>76</v>
      </c>
      <c r="J34" s="277"/>
      <c r="K34" s="277"/>
      <c r="L34" s="277"/>
      <c r="M34" s="277"/>
      <c r="N34" s="278"/>
      <c r="O34" s="15" t="s">
        <v>25</v>
      </c>
      <c r="P34" s="17" t="s">
        <v>26</v>
      </c>
      <c r="Q34" s="17"/>
      <c r="R34" s="17"/>
      <c r="S34" s="105">
        <f t="shared" si="0"/>
        <v>1</v>
      </c>
      <c r="T34" s="12"/>
      <c r="V34" s="12"/>
    </row>
    <row r="35" spans="1:22">
      <c r="A35" s="304"/>
      <c r="B35" s="283"/>
      <c r="C35" s="284"/>
      <c r="D35" s="15" t="s">
        <v>77</v>
      </c>
      <c r="E35" s="273" t="s">
        <v>28</v>
      </c>
      <c r="F35" s="274"/>
      <c r="G35" s="275"/>
      <c r="H35" s="14" t="s">
        <v>23</v>
      </c>
      <c r="I35" s="276" t="s">
        <v>78</v>
      </c>
      <c r="J35" s="277"/>
      <c r="K35" s="277"/>
      <c r="L35" s="277"/>
      <c r="M35" s="277"/>
      <c r="N35" s="278"/>
      <c r="O35" s="15" t="s">
        <v>25</v>
      </c>
      <c r="P35" s="17" t="s">
        <v>26</v>
      </c>
      <c r="Q35" s="17"/>
      <c r="R35" s="17"/>
      <c r="S35" s="105">
        <f t="shared" si="0"/>
        <v>1</v>
      </c>
      <c r="T35" s="12"/>
    </row>
    <row r="36" spans="1:22">
      <c r="A36" s="304"/>
      <c r="B36" s="297" t="s">
        <v>79</v>
      </c>
      <c r="C36" s="298"/>
      <c r="D36" s="15" t="s">
        <v>80</v>
      </c>
      <c r="E36" s="273" t="s">
        <v>28</v>
      </c>
      <c r="F36" s="274"/>
      <c r="G36" s="275"/>
      <c r="H36" s="14" t="s">
        <v>75</v>
      </c>
      <c r="I36" s="276" t="s">
        <v>81</v>
      </c>
      <c r="J36" s="277"/>
      <c r="K36" s="277"/>
      <c r="L36" s="277"/>
      <c r="M36" s="277"/>
      <c r="N36" s="278"/>
      <c r="O36" s="15" t="s">
        <v>25</v>
      </c>
      <c r="P36" s="17"/>
      <c r="Q36" s="17" t="s">
        <v>26</v>
      </c>
      <c r="R36" s="17"/>
      <c r="S36" s="105">
        <f t="shared" si="0"/>
        <v>1</v>
      </c>
      <c r="T36" s="12"/>
    </row>
    <row r="37" spans="1:22" ht="27" customHeight="1">
      <c r="A37" s="304"/>
      <c r="B37" s="297" t="s">
        <v>82</v>
      </c>
      <c r="C37" s="298"/>
      <c r="D37" s="118" t="s">
        <v>83</v>
      </c>
      <c r="E37" s="273" t="s">
        <v>28</v>
      </c>
      <c r="F37" s="274"/>
      <c r="G37" s="275"/>
      <c r="H37" s="14" t="s">
        <v>23</v>
      </c>
      <c r="I37" s="285" t="s">
        <v>84</v>
      </c>
      <c r="J37" s="286"/>
      <c r="K37" s="286"/>
      <c r="L37" s="286"/>
      <c r="M37" s="286"/>
      <c r="N37" s="287"/>
      <c r="O37" s="15" t="s">
        <v>25</v>
      </c>
      <c r="P37" s="17" t="s">
        <v>26</v>
      </c>
      <c r="Q37" s="17" t="s">
        <v>26</v>
      </c>
      <c r="R37" s="17"/>
      <c r="S37" s="105">
        <f t="shared" si="0"/>
        <v>2</v>
      </c>
      <c r="T37" s="12"/>
    </row>
    <row r="38" spans="1:22" ht="26.25" customHeight="1">
      <c r="A38" s="304"/>
      <c r="B38" s="281" t="s">
        <v>85</v>
      </c>
      <c r="C38" s="282"/>
      <c r="D38" s="118" t="s">
        <v>86</v>
      </c>
      <c r="E38" s="273" t="s">
        <v>28</v>
      </c>
      <c r="F38" s="274"/>
      <c r="G38" s="275"/>
      <c r="H38" s="14" t="s">
        <v>23</v>
      </c>
      <c r="I38" s="285" t="s">
        <v>87</v>
      </c>
      <c r="J38" s="286"/>
      <c r="K38" s="286"/>
      <c r="L38" s="286"/>
      <c r="M38" s="286"/>
      <c r="N38" s="287"/>
      <c r="O38" s="15" t="s">
        <v>25</v>
      </c>
      <c r="P38" s="17" t="s">
        <v>26</v>
      </c>
      <c r="Q38" s="17" t="s">
        <v>26</v>
      </c>
      <c r="R38" s="17"/>
      <c r="S38" s="105">
        <f t="shared" si="0"/>
        <v>2</v>
      </c>
      <c r="T38" s="12"/>
    </row>
    <row r="39" spans="1:22" ht="27.75" customHeight="1">
      <c r="A39" s="304"/>
      <c r="B39" s="283"/>
      <c r="C39" s="284"/>
      <c r="D39" s="118" t="s">
        <v>88</v>
      </c>
      <c r="E39" s="273" t="s">
        <v>28</v>
      </c>
      <c r="F39" s="274"/>
      <c r="G39" s="275"/>
      <c r="H39" s="14" t="s">
        <v>23</v>
      </c>
      <c r="I39" s="285" t="s">
        <v>89</v>
      </c>
      <c r="J39" s="286"/>
      <c r="K39" s="286"/>
      <c r="L39" s="286"/>
      <c r="M39" s="286"/>
      <c r="N39" s="287"/>
      <c r="O39" s="15" t="s">
        <v>25</v>
      </c>
      <c r="P39" s="17" t="s">
        <v>26</v>
      </c>
      <c r="Q39" s="17" t="s">
        <v>26</v>
      </c>
      <c r="R39" s="17"/>
      <c r="S39" s="105">
        <f t="shared" si="0"/>
        <v>2</v>
      </c>
      <c r="T39" s="12"/>
    </row>
    <row r="40" spans="1:22" ht="15" customHeight="1">
      <c r="A40" s="304"/>
      <c r="B40" s="281" t="s">
        <v>90</v>
      </c>
      <c r="C40" s="282"/>
      <c r="D40" s="15" t="s">
        <v>91</v>
      </c>
      <c r="E40" s="273" t="s">
        <v>92</v>
      </c>
      <c r="F40" s="274"/>
      <c r="G40" s="275"/>
      <c r="H40" s="14" t="s">
        <v>23</v>
      </c>
      <c r="I40" s="276" t="s">
        <v>93</v>
      </c>
      <c r="J40" s="277"/>
      <c r="K40" s="277"/>
      <c r="L40" s="277"/>
      <c r="M40" s="277"/>
      <c r="N40" s="278"/>
      <c r="O40" s="15" t="s">
        <v>25</v>
      </c>
      <c r="P40" s="17" t="s">
        <v>26</v>
      </c>
      <c r="Q40" s="17"/>
      <c r="R40" s="17"/>
      <c r="S40" s="105">
        <f t="shared" si="0"/>
        <v>1</v>
      </c>
      <c r="T40" s="12"/>
    </row>
    <row r="41" spans="1:22" ht="15" customHeight="1">
      <c r="A41" s="304"/>
      <c r="B41" s="289"/>
      <c r="C41" s="290"/>
      <c r="D41" s="15" t="s">
        <v>94</v>
      </c>
      <c r="E41" s="273" t="s">
        <v>92</v>
      </c>
      <c r="F41" s="274"/>
      <c r="G41" s="275"/>
      <c r="H41" s="14" t="s">
        <v>23</v>
      </c>
      <c r="I41" s="276" t="s">
        <v>95</v>
      </c>
      <c r="J41" s="277"/>
      <c r="K41" s="277"/>
      <c r="L41" s="277"/>
      <c r="M41" s="277"/>
      <c r="N41" s="278"/>
      <c r="O41" s="15" t="s">
        <v>25</v>
      </c>
      <c r="P41" s="17" t="s">
        <v>26</v>
      </c>
      <c r="Q41" s="17"/>
      <c r="R41" s="17"/>
      <c r="S41" s="105">
        <f t="shared" si="0"/>
        <v>1</v>
      </c>
      <c r="T41" s="12"/>
    </row>
    <row r="42" spans="1:22" ht="15" customHeight="1">
      <c r="A42" s="304"/>
      <c r="B42" s="289"/>
      <c r="C42" s="290"/>
      <c r="D42" s="15" t="s">
        <v>96</v>
      </c>
      <c r="E42" s="273" t="s">
        <v>28</v>
      </c>
      <c r="F42" s="274"/>
      <c r="G42" s="275"/>
      <c r="H42" s="14" t="s">
        <v>23</v>
      </c>
      <c r="I42" s="276" t="s">
        <v>97</v>
      </c>
      <c r="J42" s="277"/>
      <c r="K42" s="277"/>
      <c r="L42" s="277"/>
      <c r="M42" s="277"/>
      <c r="N42" s="278"/>
      <c r="O42" s="15" t="s">
        <v>25</v>
      </c>
      <c r="P42" s="17"/>
      <c r="Q42" s="17" t="s">
        <v>26</v>
      </c>
      <c r="R42" s="17"/>
      <c r="S42" s="105">
        <f t="shared" si="0"/>
        <v>1</v>
      </c>
      <c r="T42" s="12"/>
    </row>
    <row r="43" spans="1:22" ht="24.75" customHeight="1">
      <c r="A43" s="304"/>
      <c r="B43" s="289"/>
      <c r="C43" s="290"/>
      <c r="D43" s="15" t="s">
        <v>98</v>
      </c>
      <c r="E43" s="273" t="s">
        <v>28</v>
      </c>
      <c r="F43" s="274"/>
      <c r="G43" s="275"/>
      <c r="H43" s="14" t="s">
        <v>23</v>
      </c>
      <c r="I43" s="285" t="s">
        <v>99</v>
      </c>
      <c r="J43" s="286"/>
      <c r="K43" s="286"/>
      <c r="L43" s="286"/>
      <c r="M43" s="286"/>
      <c r="N43" s="287"/>
      <c r="O43" s="15" t="s">
        <v>25</v>
      </c>
      <c r="P43" s="17"/>
      <c r="Q43" s="17" t="s">
        <v>26</v>
      </c>
      <c r="R43" s="17"/>
      <c r="S43" s="105">
        <f t="shared" si="0"/>
        <v>1</v>
      </c>
      <c r="T43" s="12"/>
    </row>
    <row r="44" spans="1:22" ht="24.75" customHeight="1">
      <c r="A44" s="304"/>
      <c r="B44" s="289"/>
      <c r="C44" s="290"/>
      <c r="D44" s="15" t="s">
        <v>100</v>
      </c>
      <c r="E44" s="273" t="s">
        <v>28</v>
      </c>
      <c r="F44" s="274"/>
      <c r="G44" s="275"/>
      <c r="H44" s="14" t="s">
        <v>23</v>
      </c>
      <c r="I44" s="285" t="s">
        <v>101</v>
      </c>
      <c r="J44" s="286"/>
      <c r="K44" s="286"/>
      <c r="L44" s="286"/>
      <c r="M44" s="286"/>
      <c r="N44" s="287"/>
      <c r="O44" s="15" t="s">
        <v>25</v>
      </c>
      <c r="P44" s="17"/>
      <c r="Q44" s="17" t="s">
        <v>26</v>
      </c>
      <c r="R44" s="17"/>
      <c r="S44" s="105">
        <f t="shared" si="0"/>
        <v>1</v>
      </c>
      <c r="T44" s="12"/>
    </row>
    <row r="45" spans="1:22" ht="24.75" customHeight="1">
      <c r="A45" s="304"/>
      <c r="B45" s="283"/>
      <c r="C45" s="284"/>
      <c r="D45" s="15" t="s">
        <v>102</v>
      </c>
      <c r="E45" s="273" t="s">
        <v>28</v>
      </c>
      <c r="F45" s="274"/>
      <c r="G45" s="275"/>
      <c r="H45" s="14" t="s">
        <v>23</v>
      </c>
      <c r="I45" s="285" t="s">
        <v>103</v>
      </c>
      <c r="J45" s="286"/>
      <c r="K45" s="286"/>
      <c r="L45" s="286"/>
      <c r="M45" s="286"/>
      <c r="N45" s="287"/>
      <c r="O45" s="15" t="s">
        <v>25</v>
      </c>
      <c r="P45" s="17"/>
      <c r="Q45" s="17" t="s">
        <v>26</v>
      </c>
      <c r="R45" s="17"/>
      <c r="S45" s="105">
        <f t="shared" si="0"/>
        <v>1</v>
      </c>
      <c r="T45" s="12"/>
    </row>
    <row r="46" spans="1:22" ht="29.25" customHeight="1">
      <c r="A46" s="304"/>
      <c r="B46" s="306" t="s">
        <v>104</v>
      </c>
      <c r="C46" s="307"/>
      <c r="D46" s="15" t="s">
        <v>105</v>
      </c>
      <c r="E46" s="273" t="s">
        <v>28</v>
      </c>
      <c r="F46" s="274"/>
      <c r="G46" s="275"/>
      <c r="H46" s="14" t="s">
        <v>23</v>
      </c>
      <c r="I46" s="285" t="s">
        <v>106</v>
      </c>
      <c r="J46" s="286"/>
      <c r="K46" s="286"/>
      <c r="L46" s="286"/>
      <c r="M46" s="286"/>
      <c r="N46" s="287"/>
      <c r="O46" s="15" t="s">
        <v>25</v>
      </c>
      <c r="P46" s="17" t="s">
        <v>26</v>
      </c>
      <c r="Q46" s="17" t="s">
        <v>26</v>
      </c>
      <c r="R46" s="17" t="s">
        <v>26</v>
      </c>
      <c r="S46" s="105">
        <f t="shared" si="0"/>
        <v>3</v>
      </c>
      <c r="T46" s="12"/>
    </row>
    <row r="47" spans="1:22" ht="27" customHeight="1">
      <c r="A47" s="305"/>
      <c r="B47" s="308"/>
      <c r="C47" s="309"/>
      <c r="D47" s="15" t="s">
        <v>107</v>
      </c>
      <c r="E47" s="273" t="s">
        <v>28</v>
      </c>
      <c r="F47" s="274"/>
      <c r="G47" s="275"/>
      <c r="H47" s="14" t="s">
        <v>23</v>
      </c>
      <c r="I47" s="285" t="s">
        <v>108</v>
      </c>
      <c r="J47" s="286"/>
      <c r="K47" s="286"/>
      <c r="L47" s="286"/>
      <c r="M47" s="286"/>
      <c r="N47" s="287"/>
      <c r="O47" s="15" t="s">
        <v>25</v>
      </c>
      <c r="P47" s="17" t="s">
        <v>26</v>
      </c>
      <c r="Q47" s="17" t="s">
        <v>26</v>
      </c>
      <c r="R47" s="17" t="s">
        <v>26</v>
      </c>
      <c r="S47" s="105">
        <f t="shared" si="0"/>
        <v>3</v>
      </c>
      <c r="T47" s="12"/>
    </row>
    <row r="48" spans="1:22">
      <c r="A48" s="303" t="s">
        <v>109</v>
      </c>
      <c r="B48" s="281" t="s">
        <v>110</v>
      </c>
      <c r="C48" s="300"/>
      <c r="D48" s="15" t="s">
        <v>111</v>
      </c>
      <c r="E48" s="291" t="s">
        <v>112</v>
      </c>
      <c r="F48" s="292"/>
      <c r="G48" s="293"/>
      <c r="H48" s="14" t="s">
        <v>23</v>
      </c>
      <c r="I48" s="276" t="s">
        <v>113</v>
      </c>
      <c r="J48" s="277"/>
      <c r="K48" s="277"/>
      <c r="L48" s="277"/>
      <c r="M48" s="277"/>
      <c r="N48" s="278"/>
      <c r="O48" s="15" t="s">
        <v>72</v>
      </c>
      <c r="P48" s="17" t="s">
        <v>26</v>
      </c>
      <c r="Q48" s="17" t="s">
        <v>26</v>
      </c>
      <c r="R48" s="17"/>
      <c r="S48" s="105">
        <f t="shared" si="0"/>
        <v>2</v>
      </c>
      <c r="T48" s="12"/>
    </row>
    <row r="49" spans="1:20" ht="27.75" customHeight="1">
      <c r="A49" s="304"/>
      <c r="B49" s="289"/>
      <c r="C49" s="301"/>
      <c r="D49" s="15" t="s">
        <v>114</v>
      </c>
      <c r="E49" s="285" t="s">
        <v>115</v>
      </c>
      <c r="F49" s="286"/>
      <c r="G49" s="287"/>
      <c r="H49" s="14" t="s">
        <v>23</v>
      </c>
      <c r="I49" s="285" t="s">
        <v>116</v>
      </c>
      <c r="J49" s="286"/>
      <c r="K49" s="286"/>
      <c r="L49" s="286"/>
      <c r="M49" s="286"/>
      <c r="N49" s="287"/>
      <c r="O49" s="15" t="s">
        <v>72</v>
      </c>
      <c r="P49" s="17" t="s">
        <v>26</v>
      </c>
      <c r="Q49" s="17" t="s">
        <v>26</v>
      </c>
      <c r="R49" s="17"/>
      <c r="S49" s="105">
        <f t="shared" si="0"/>
        <v>2</v>
      </c>
      <c r="T49" s="12"/>
    </row>
    <row r="50" spans="1:20" ht="24" customHeight="1">
      <c r="A50" s="304"/>
      <c r="B50" s="283"/>
      <c r="C50" s="302"/>
      <c r="D50" s="15" t="s">
        <v>117</v>
      </c>
      <c r="E50" s="273" t="s">
        <v>28</v>
      </c>
      <c r="F50" s="274"/>
      <c r="G50" s="275"/>
      <c r="H50" s="14" t="s">
        <v>23</v>
      </c>
      <c r="I50" s="285" t="s">
        <v>118</v>
      </c>
      <c r="J50" s="286"/>
      <c r="K50" s="286"/>
      <c r="L50" s="286"/>
      <c r="M50" s="286"/>
      <c r="N50" s="287"/>
      <c r="O50" s="15" t="s">
        <v>72</v>
      </c>
      <c r="P50" s="17" t="s">
        <v>26</v>
      </c>
      <c r="Q50" s="17" t="s">
        <v>26</v>
      </c>
      <c r="R50" s="17"/>
      <c r="S50" s="105">
        <f t="shared" si="0"/>
        <v>2</v>
      </c>
      <c r="T50" s="12"/>
    </row>
    <row r="51" spans="1:20" ht="27" customHeight="1">
      <c r="A51" s="304"/>
      <c r="B51" s="281" t="s">
        <v>119</v>
      </c>
      <c r="C51" s="300"/>
      <c r="D51" s="15" t="s">
        <v>120</v>
      </c>
      <c r="E51" s="285" t="s">
        <v>121</v>
      </c>
      <c r="F51" s="286"/>
      <c r="G51" s="287"/>
      <c r="H51" s="14" t="s">
        <v>23</v>
      </c>
      <c r="I51" s="285" t="s">
        <v>122</v>
      </c>
      <c r="J51" s="286"/>
      <c r="K51" s="286"/>
      <c r="L51" s="286"/>
      <c r="M51" s="286"/>
      <c r="N51" s="287"/>
      <c r="O51" s="15" t="s">
        <v>25</v>
      </c>
      <c r="P51" s="17" t="s">
        <v>26</v>
      </c>
      <c r="Q51" s="17" t="s">
        <v>26</v>
      </c>
      <c r="R51" s="17"/>
      <c r="S51" s="105">
        <f t="shared" si="0"/>
        <v>2</v>
      </c>
      <c r="T51" s="12"/>
    </row>
    <row r="52" spans="1:20" ht="27" customHeight="1">
      <c r="A52" s="304"/>
      <c r="B52" s="283"/>
      <c r="C52" s="302"/>
      <c r="D52" s="15" t="s">
        <v>123</v>
      </c>
      <c r="E52" s="285" t="s">
        <v>124</v>
      </c>
      <c r="F52" s="286"/>
      <c r="G52" s="287"/>
      <c r="H52" s="14" t="s">
        <v>23</v>
      </c>
      <c r="I52" s="285" t="s">
        <v>125</v>
      </c>
      <c r="J52" s="286"/>
      <c r="K52" s="286"/>
      <c r="L52" s="286"/>
      <c r="M52" s="286"/>
      <c r="N52" s="287"/>
      <c r="O52" s="15" t="s">
        <v>25</v>
      </c>
      <c r="P52" s="17" t="s">
        <v>26</v>
      </c>
      <c r="Q52" s="17" t="s">
        <v>26</v>
      </c>
      <c r="R52" s="17"/>
      <c r="S52" s="105">
        <f t="shared" si="0"/>
        <v>2</v>
      </c>
      <c r="T52" s="12"/>
    </row>
    <row r="53" spans="1:20" ht="15" customHeight="1">
      <c r="A53" s="304"/>
      <c r="B53" s="281" t="s">
        <v>126</v>
      </c>
      <c r="C53" s="300"/>
      <c r="D53" s="15" t="s">
        <v>127</v>
      </c>
      <c r="E53" s="273" t="s">
        <v>28</v>
      </c>
      <c r="F53" s="274"/>
      <c r="G53" s="275"/>
      <c r="H53" s="14" t="s">
        <v>23</v>
      </c>
      <c r="I53" s="276" t="s">
        <v>128</v>
      </c>
      <c r="J53" s="277"/>
      <c r="K53" s="277"/>
      <c r="L53" s="277"/>
      <c r="M53" s="277"/>
      <c r="N53" s="278"/>
      <c r="O53" s="15" t="s">
        <v>72</v>
      </c>
      <c r="P53" s="17" t="s">
        <v>26</v>
      </c>
      <c r="Q53" s="17" t="s">
        <v>26</v>
      </c>
      <c r="R53" s="17" t="s">
        <v>26</v>
      </c>
      <c r="S53" s="105">
        <f t="shared" si="0"/>
        <v>3</v>
      </c>
      <c r="T53" s="12"/>
    </row>
    <row r="54" spans="1:20">
      <c r="A54" s="304"/>
      <c r="B54" s="283"/>
      <c r="C54" s="302"/>
      <c r="D54" s="15" t="s">
        <v>129</v>
      </c>
      <c r="E54" s="273" t="s">
        <v>28</v>
      </c>
      <c r="F54" s="274"/>
      <c r="G54" s="275"/>
      <c r="H54" s="14" t="s">
        <v>23</v>
      </c>
      <c r="I54" s="276" t="s">
        <v>130</v>
      </c>
      <c r="J54" s="277"/>
      <c r="K54" s="277"/>
      <c r="L54" s="277"/>
      <c r="M54" s="277"/>
      <c r="N54" s="278"/>
      <c r="O54" s="15" t="s">
        <v>72</v>
      </c>
      <c r="P54" s="17" t="s">
        <v>26</v>
      </c>
      <c r="Q54" s="17" t="s">
        <v>26</v>
      </c>
      <c r="R54" s="17" t="s">
        <v>26</v>
      </c>
      <c r="S54" s="105">
        <f t="shared" si="0"/>
        <v>3</v>
      </c>
      <c r="T54" s="12"/>
    </row>
    <row r="55" spans="1:20" ht="15" customHeight="1">
      <c r="A55" s="304"/>
      <c r="B55" s="281" t="s">
        <v>131</v>
      </c>
      <c r="C55" s="300"/>
      <c r="D55" s="15" t="s">
        <v>132</v>
      </c>
      <c r="E55" s="294" t="s">
        <v>133</v>
      </c>
      <c r="F55" s="295"/>
      <c r="G55" s="296"/>
      <c r="H55" s="14" t="s">
        <v>23</v>
      </c>
      <c r="I55" s="276" t="s">
        <v>134</v>
      </c>
      <c r="J55" s="277"/>
      <c r="K55" s="277"/>
      <c r="L55" s="277"/>
      <c r="M55" s="277"/>
      <c r="N55" s="278"/>
      <c r="O55" s="15" t="s">
        <v>25</v>
      </c>
      <c r="P55" s="17" t="s">
        <v>26</v>
      </c>
      <c r="Q55" s="17" t="s">
        <v>26</v>
      </c>
      <c r="R55" s="17"/>
      <c r="S55" s="105">
        <f t="shared" si="0"/>
        <v>2</v>
      </c>
      <c r="T55" s="264"/>
    </row>
    <row r="56" spans="1:20">
      <c r="A56" s="304"/>
      <c r="B56" s="289"/>
      <c r="C56" s="301"/>
      <c r="D56" s="15" t="s">
        <v>135</v>
      </c>
      <c r="E56" s="273" t="s">
        <v>28</v>
      </c>
      <c r="F56" s="274"/>
      <c r="G56" s="275"/>
      <c r="H56" s="14" t="s">
        <v>23</v>
      </c>
      <c r="I56" s="276" t="s">
        <v>136</v>
      </c>
      <c r="J56" s="277"/>
      <c r="K56" s="277"/>
      <c r="L56" s="277"/>
      <c r="M56" s="277"/>
      <c r="N56" s="278"/>
      <c r="O56" s="15" t="s">
        <v>25</v>
      </c>
      <c r="P56" s="17"/>
      <c r="Q56" s="17" t="s">
        <v>26</v>
      </c>
      <c r="R56" s="17"/>
      <c r="S56" s="105">
        <f t="shared" si="0"/>
        <v>1</v>
      </c>
      <c r="T56" s="264"/>
    </row>
    <row r="57" spans="1:20">
      <c r="A57" s="304"/>
      <c r="B57" s="283"/>
      <c r="C57" s="302"/>
      <c r="D57" s="15" t="s">
        <v>137</v>
      </c>
      <c r="E57" s="273" t="s">
        <v>28</v>
      </c>
      <c r="F57" s="274"/>
      <c r="G57" s="275"/>
      <c r="H57" s="14" t="s">
        <v>23</v>
      </c>
      <c r="I57" s="276" t="s">
        <v>138</v>
      </c>
      <c r="J57" s="277"/>
      <c r="K57" s="277"/>
      <c r="L57" s="277"/>
      <c r="M57" s="277"/>
      <c r="N57" s="278"/>
      <c r="O57" s="15" t="s">
        <v>25</v>
      </c>
      <c r="P57" s="17" t="s">
        <v>26</v>
      </c>
      <c r="Q57" s="17" t="s">
        <v>26</v>
      </c>
      <c r="R57" s="17"/>
      <c r="S57" s="105">
        <f t="shared" si="0"/>
        <v>2</v>
      </c>
      <c r="T57" s="12"/>
    </row>
    <row r="58" spans="1:20" ht="15" customHeight="1">
      <c r="A58" s="304"/>
      <c r="B58" s="281" t="s">
        <v>139</v>
      </c>
      <c r="C58" s="300"/>
      <c r="D58" s="15" t="s">
        <v>140</v>
      </c>
      <c r="E58" s="273" t="s">
        <v>28</v>
      </c>
      <c r="F58" s="274"/>
      <c r="G58" s="275"/>
      <c r="H58" s="14" t="s">
        <v>23</v>
      </c>
      <c r="I58" s="276" t="s">
        <v>141</v>
      </c>
      <c r="J58" s="277"/>
      <c r="K58" s="277"/>
      <c r="L58" s="277"/>
      <c r="M58" s="277"/>
      <c r="N58" s="278"/>
      <c r="O58" s="15" t="s">
        <v>25</v>
      </c>
      <c r="P58" s="17" t="s">
        <v>26</v>
      </c>
      <c r="Q58" s="17" t="s">
        <v>26</v>
      </c>
      <c r="R58" s="17" t="s">
        <v>26</v>
      </c>
      <c r="S58" s="105">
        <f t="shared" si="0"/>
        <v>3</v>
      </c>
      <c r="T58" s="12"/>
    </row>
    <row r="59" spans="1:20">
      <c r="A59" s="304"/>
      <c r="B59" s="289"/>
      <c r="C59" s="301"/>
      <c r="D59" s="15" t="s">
        <v>142</v>
      </c>
      <c r="E59" s="273" t="s">
        <v>28</v>
      </c>
      <c r="F59" s="274"/>
      <c r="G59" s="275"/>
      <c r="H59" s="14" t="s">
        <v>23</v>
      </c>
      <c r="I59" s="276" t="s">
        <v>143</v>
      </c>
      <c r="J59" s="277"/>
      <c r="K59" s="277"/>
      <c r="L59" s="277"/>
      <c r="M59" s="277"/>
      <c r="N59" s="278"/>
      <c r="O59" s="15" t="s">
        <v>25</v>
      </c>
      <c r="P59" s="17" t="s">
        <v>26</v>
      </c>
      <c r="Q59" s="17" t="s">
        <v>26</v>
      </c>
      <c r="R59" s="17" t="s">
        <v>26</v>
      </c>
      <c r="S59" s="105">
        <f t="shared" si="0"/>
        <v>3</v>
      </c>
      <c r="T59" s="12"/>
    </row>
    <row r="60" spans="1:20" ht="24" customHeight="1">
      <c r="A60" s="304"/>
      <c r="B60" s="283"/>
      <c r="C60" s="302"/>
      <c r="D60" s="15" t="s">
        <v>144</v>
      </c>
      <c r="E60" s="273" t="s">
        <v>28</v>
      </c>
      <c r="F60" s="274"/>
      <c r="G60" s="275"/>
      <c r="H60" s="14" t="s">
        <v>23</v>
      </c>
      <c r="I60" s="285" t="s">
        <v>145</v>
      </c>
      <c r="J60" s="286"/>
      <c r="K60" s="286"/>
      <c r="L60" s="286"/>
      <c r="M60" s="286"/>
      <c r="N60" s="287"/>
      <c r="O60" s="15" t="s">
        <v>25</v>
      </c>
      <c r="P60" s="17" t="s">
        <v>26</v>
      </c>
      <c r="Q60" s="17" t="s">
        <v>26</v>
      </c>
      <c r="R60" s="17"/>
      <c r="S60" s="105">
        <f t="shared" si="0"/>
        <v>2</v>
      </c>
      <c r="T60" s="264"/>
    </row>
    <row r="61" spans="1:20" ht="15" customHeight="1">
      <c r="A61" s="304"/>
      <c r="B61" s="281" t="s">
        <v>146</v>
      </c>
      <c r="C61" s="300"/>
      <c r="D61" s="15" t="s">
        <v>147</v>
      </c>
      <c r="E61" s="273" t="s">
        <v>28</v>
      </c>
      <c r="F61" s="274"/>
      <c r="G61" s="275"/>
      <c r="H61" s="14" t="s">
        <v>75</v>
      </c>
      <c r="I61" s="276" t="s">
        <v>148</v>
      </c>
      <c r="J61" s="277"/>
      <c r="K61" s="277"/>
      <c r="L61" s="277"/>
      <c r="M61" s="277"/>
      <c r="N61" s="278"/>
      <c r="O61" s="15" t="s">
        <v>72</v>
      </c>
      <c r="P61" s="17" t="s">
        <v>26</v>
      </c>
      <c r="Q61" s="17"/>
      <c r="R61" s="17"/>
      <c r="S61" s="105">
        <f t="shared" si="0"/>
        <v>1</v>
      </c>
      <c r="T61" s="12"/>
    </row>
    <row r="62" spans="1:20" ht="27" customHeight="1">
      <c r="A62" s="304"/>
      <c r="B62" s="289"/>
      <c r="C62" s="301"/>
      <c r="D62" s="15" t="s">
        <v>149</v>
      </c>
      <c r="E62" s="273" t="s">
        <v>28</v>
      </c>
      <c r="F62" s="274"/>
      <c r="G62" s="275"/>
      <c r="H62" s="14" t="s">
        <v>75</v>
      </c>
      <c r="I62" s="285" t="s">
        <v>150</v>
      </c>
      <c r="J62" s="286"/>
      <c r="K62" s="286"/>
      <c r="L62" s="286"/>
      <c r="M62" s="286"/>
      <c r="N62" s="287"/>
      <c r="O62" s="15" t="s">
        <v>72</v>
      </c>
      <c r="P62" s="17" t="s">
        <v>26</v>
      </c>
      <c r="Q62" s="17"/>
      <c r="R62" s="17"/>
      <c r="S62" s="105">
        <f t="shared" si="0"/>
        <v>1</v>
      </c>
      <c r="T62" s="12"/>
    </row>
    <row r="63" spans="1:20">
      <c r="A63" s="304"/>
      <c r="B63" s="289"/>
      <c r="C63" s="301"/>
      <c r="D63" s="15" t="s">
        <v>151</v>
      </c>
      <c r="E63" s="273" t="s">
        <v>28</v>
      </c>
      <c r="F63" s="274"/>
      <c r="G63" s="275"/>
      <c r="H63" s="14" t="s">
        <v>75</v>
      </c>
      <c r="I63" s="276" t="s">
        <v>152</v>
      </c>
      <c r="J63" s="277"/>
      <c r="K63" s="277"/>
      <c r="L63" s="277"/>
      <c r="M63" s="277"/>
      <c r="N63" s="278"/>
      <c r="O63" s="15" t="s">
        <v>72</v>
      </c>
      <c r="P63" s="17" t="s">
        <v>26</v>
      </c>
      <c r="Q63" s="17"/>
      <c r="R63" s="17"/>
      <c r="S63" s="105">
        <f t="shared" si="0"/>
        <v>1</v>
      </c>
      <c r="T63" s="12"/>
    </row>
    <row r="64" spans="1:20">
      <c r="A64" s="304"/>
      <c r="B64" s="289"/>
      <c r="C64" s="301"/>
      <c r="D64" s="15" t="s">
        <v>153</v>
      </c>
      <c r="E64" s="273" t="s">
        <v>28</v>
      </c>
      <c r="F64" s="274"/>
      <c r="G64" s="275"/>
      <c r="H64" s="14" t="s">
        <v>23</v>
      </c>
      <c r="I64" s="276" t="s">
        <v>154</v>
      </c>
      <c r="J64" s="277"/>
      <c r="K64" s="277"/>
      <c r="L64" s="277"/>
      <c r="M64" s="277"/>
      <c r="N64" s="278"/>
      <c r="O64" s="15" t="s">
        <v>25</v>
      </c>
      <c r="P64" s="17"/>
      <c r="Q64" s="17"/>
      <c r="R64" s="17" t="s">
        <v>26</v>
      </c>
      <c r="S64" s="105">
        <f t="shared" si="0"/>
        <v>1</v>
      </c>
      <c r="T64" s="12"/>
    </row>
    <row r="65" spans="1:20">
      <c r="A65" s="305"/>
      <c r="B65" s="283"/>
      <c r="C65" s="302"/>
      <c r="D65" s="15" t="s">
        <v>155</v>
      </c>
      <c r="E65" s="273" t="s">
        <v>28</v>
      </c>
      <c r="F65" s="274"/>
      <c r="G65" s="275"/>
      <c r="H65" s="14" t="s">
        <v>23</v>
      </c>
      <c r="I65" s="276" t="s">
        <v>156</v>
      </c>
      <c r="J65" s="277"/>
      <c r="K65" s="277"/>
      <c r="L65" s="277"/>
      <c r="M65" s="277"/>
      <c r="N65" s="278"/>
      <c r="O65" s="15" t="s">
        <v>25</v>
      </c>
      <c r="P65" s="17"/>
      <c r="Q65" s="17"/>
      <c r="R65" s="17" t="s">
        <v>26</v>
      </c>
      <c r="S65" s="105">
        <f t="shared" si="0"/>
        <v>1</v>
      </c>
      <c r="T65" s="12"/>
    </row>
    <row r="66" spans="1:20" ht="24" customHeight="1">
      <c r="A66" s="272" t="s">
        <v>157</v>
      </c>
      <c r="B66" s="281" t="s">
        <v>158</v>
      </c>
      <c r="C66" s="300"/>
      <c r="D66" s="15" t="s">
        <v>159</v>
      </c>
      <c r="E66" s="273" t="s">
        <v>28</v>
      </c>
      <c r="F66" s="274"/>
      <c r="G66" s="275"/>
      <c r="H66" s="14" t="s">
        <v>23</v>
      </c>
      <c r="I66" s="285" t="s">
        <v>160</v>
      </c>
      <c r="J66" s="286"/>
      <c r="K66" s="286"/>
      <c r="L66" s="286"/>
      <c r="M66" s="286"/>
      <c r="N66" s="287"/>
      <c r="O66" s="15" t="s">
        <v>25</v>
      </c>
      <c r="P66" s="17" t="s">
        <v>26</v>
      </c>
      <c r="Q66" s="17" t="s">
        <v>26</v>
      </c>
      <c r="R66" s="17" t="s">
        <v>26</v>
      </c>
      <c r="S66" s="105">
        <f t="shared" si="0"/>
        <v>3</v>
      </c>
      <c r="T66" s="12"/>
    </row>
    <row r="67" spans="1:20">
      <c r="A67" s="272"/>
      <c r="B67" s="283"/>
      <c r="C67" s="302"/>
      <c r="D67" s="15" t="s">
        <v>161</v>
      </c>
      <c r="E67" s="273" t="s">
        <v>28</v>
      </c>
      <c r="F67" s="274"/>
      <c r="G67" s="275"/>
      <c r="H67" s="14" t="s">
        <v>23</v>
      </c>
      <c r="I67" s="276" t="s">
        <v>162</v>
      </c>
      <c r="J67" s="277"/>
      <c r="K67" s="277"/>
      <c r="L67" s="277"/>
      <c r="M67" s="277"/>
      <c r="N67" s="278"/>
      <c r="O67" s="15" t="s">
        <v>25</v>
      </c>
      <c r="P67" s="17" t="s">
        <v>26</v>
      </c>
      <c r="Q67" s="17" t="s">
        <v>26</v>
      </c>
      <c r="R67" s="17" t="s">
        <v>26</v>
      </c>
      <c r="S67" s="105">
        <f t="shared" si="0"/>
        <v>3</v>
      </c>
      <c r="T67" s="12"/>
    </row>
    <row r="68" spans="1:20" ht="26.25" customHeight="1">
      <c r="A68" s="272"/>
      <c r="B68" s="297" t="s">
        <v>163</v>
      </c>
      <c r="C68" s="298"/>
      <c r="D68" s="15" t="s">
        <v>164</v>
      </c>
      <c r="E68" s="273" t="s">
        <v>28</v>
      </c>
      <c r="F68" s="274"/>
      <c r="G68" s="275"/>
      <c r="H68" s="14" t="s">
        <v>23</v>
      </c>
      <c r="I68" s="276" t="s">
        <v>165</v>
      </c>
      <c r="J68" s="277"/>
      <c r="K68" s="277"/>
      <c r="L68" s="277"/>
      <c r="M68" s="277"/>
      <c r="N68" s="278"/>
      <c r="O68" s="15" t="s">
        <v>25</v>
      </c>
      <c r="P68" s="17" t="s">
        <v>26</v>
      </c>
      <c r="Q68" s="17" t="s">
        <v>26</v>
      </c>
      <c r="R68" s="17" t="s">
        <v>26</v>
      </c>
      <c r="S68" s="105">
        <f t="shared" si="0"/>
        <v>3</v>
      </c>
      <c r="T68" s="264"/>
    </row>
    <row r="69" spans="1:20" ht="15" customHeight="1">
      <c r="A69" s="272"/>
      <c r="B69" s="281" t="s">
        <v>166</v>
      </c>
      <c r="C69" s="300"/>
      <c r="D69" s="15" t="s">
        <v>167</v>
      </c>
      <c r="E69" s="273" t="s">
        <v>168</v>
      </c>
      <c r="F69" s="274"/>
      <c r="G69" s="275"/>
      <c r="H69" s="14" t="s">
        <v>23</v>
      </c>
      <c r="I69" s="276" t="s">
        <v>169</v>
      </c>
      <c r="J69" s="277"/>
      <c r="K69" s="277"/>
      <c r="L69" s="277"/>
      <c r="M69" s="277"/>
      <c r="N69" s="278"/>
      <c r="O69" s="15" t="s">
        <v>25</v>
      </c>
      <c r="P69" s="17" t="s">
        <v>26</v>
      </c>
      <c r="Q69" s="17"/>
      <c r="R69" s="17"/>
      <c r="S69" s="105">
        <f t="shared" si="0"/>
        <v>1</v>
      </c>
      <c r="T69" s="12"/>
    </row>
    <row r="70" spans="1:20">
      <c r="A70" s="272"/>
      <c r="B70" s="283"/>
      <c r="C70" s="302"/>
      <c r="D70" s="15" t="s">
        <v>170</v>
      </c>
      <c r="E70" s="273" t="s">
        <v>28</v>
      </c>
      <c r="F70" s="274"/>
      <c r="G70" s="275"/>
      <c r="H70" s="14" t="s">
        <v>23</v>
      </c>
      <c r="I70" s="276" t="s">
        <v>171</v>
      </c>
      <c r="J70" s="277"/>
      <c r="K70" s="277"/>
      <c r="L70" s="277"/>
      <c r="M70" s="277"/>
      <c r="N70" s="278"/>
      <c r="O70" s="15" t="s">
        <v>25</v>
      </c>
      <c r="P70" s="17"/>
      <c r="Q70" s="17" t="s">
        <v>26</v>
      </c>
      <c r="R70" s="17"/>
      <c r="S70" s="105">
        <f t="shared" si="0"/>
        <v>1</v>
      </c>
      <c r="T70" s="12"/>
    </row>
    <row r="71" spans="1:20" ht="26.25" customHeight="1">
      <c r="A71" s="272"/>
      <c r="B71" s="297" t="s">
        <v>172</v>
      </c>
      <c r="C71" s="298"/>
      <c r="D71" s="15" t="s">
        <v>173</v>
      </c>
      <c r="E71" s="273" t="s">
        <v>174</v>
      </c>
      <c r="F71" s="274"/>
      <c r="G71" s="275"/>
      <c r="H71" s="14" t="s">
        <v>23</v>
      </c>
      <c r="I71" s="285" t="s">
        <v>175</v>
      </c>
      <c r="J71" s="286"/>
      <c r="K71" s="286"/>
      <c r="L71" s="286"/>
      <c r="M71" s="286"/>
      <c r="N71" s="287"/>
      <c r="O71" s="15" t="s">
        <v>25</v>
      </c>
      <c r="P71" s="17" t="s">
        <v>26</v>
      </c>
      <c r="Q71" s="17"/>
      <c r="R71" s="17"/>
      <c r="S71" s="105">
        <f t="shared" si="0"/>
        <v>1</v>
      </c>
      <c r="T71" s="12"/>
    </row>
    <row r="72" spans="1:20" ht="15" customHeight="1">
      <c r="A72" s="272"/>
      <c r="B72" s="281" t="s">
        <v>176</v>
      </c>
      <c r="C72" s="300"/>
      <c r="D72" s="15" t="s">
        <v>177</v>
      </c>
      <c r="E72" s="273" t="s">
        <v>28</v>
      </c>
      <c r="F72" s="274"/>
      <c r="G72" s="275"/>
      <c r="H72" s="14" t="s">
        <v>23</v>
      </c>
      <c r="I72" s="276" t="s">
        <v>178</v>
      </c>
      <c r="J72" s="277"/>
      <c r="K72" s="277"/>
      <c r="L72" s="277"/>
      <c r="M72" s="277"/>
      <c r="N72" s="278"/>
      <c r="O72" s="15" t="s">
        <v>25</v>
      </c>
      <c r="P72" s="17" t="s">
        <v>26</v>
      </c>
      <c r="Q72" s="17"/>
      <c r="R72" s="17"/>
      <c r="S72" s="105">
        <f t="shared" si="0"/>
        <v>1</v>
      </c>
      <c r="T72" s="12"/>
    </row>
    <row r="73" spans="1:20">
      <c r="A73" s="272"/>
      <c r="B73" s="289"/>
      <c r="C73" s="301"/>
      <c r="D73" s="15" t="s">
        <v>179</v>
      </c>
      <c r="E73" s="273" t="s">
        <v>28</v>
      </c>
      <c r="F73" s="274"/>
      <c r="G73" s="275"/>
      <c r="H73" s="14" t="s">
        <v>23</v>
      </c>
      <c r="I73" s="276" t="s">
        <v>180</v>
      </c>
      <c r="J73" s="277"/>
      <c r="K73" s="277"/>
      <c r="L73" s="277"/>
      <c r="M73" s="277"/>
      <c r="N73" s="278"/>
      <c r="O73" s="15" t="s">
        <v>25</v>
      </c>
      <c r="P73" s="17" t="s">
        <v>26</v>
      </c>
      <c r="Q73" s="17"/>
      <c r="R73" s="17"/>
      <c r="S73" s="105">
        <f t="shared" si="0"/>
        <v>1</v>
      </c>
      <c r="T73" s="12"/>
    </row>
    <row r="74" spans="1:20">
      <c r="A74" s="272"/>
      <c r="B74" s="289"/>
      <c r="C74" s="301"/>
      <c r="D74" s="15" t="s">
        <v>181</v>
      </c>
      <c r="E74" s="273" t="s">
        <v>28</v>
      </c>
      <c r="F74" s="274"/>
      <c r="G74" s="275"/>
      <c r="H74" s="14" t="s">
        <v>23</v>
      </c>
      <c r="I74" s="276" t="s">
        <v>182</v>
      </c>
      <c r="J74" s="277"/>
      <c r="K74" s="277"/>
      <c r="L74" s="277"/>
      <c r="M74" s="277"/>
      <c r="N74" s="278"/>
      <c r="O74" s="15" t="s">
        <v>25</v>
      </c>
      <c r="P74" s="17" t="s">
        <v>26</v>
      </c>
      <c r="Q74" s="17"/>
      <c r="R74" s="17"/>
      <c r="S74" s="105">
        <f t="shared" si="0"/>
        <v>1</v>
      </c>
      <c r="T74" s="12"/>
    </row>
    <row r="75" spans="1:20">
      <c r="A75" s="272"/>
      <c r="B75" s="289"/>
      <c r="C75" s="301"/>
      <c r="D75" s="15" t="s">
        <v>183</v>
      </c>
      <c r="E75" s="273" t="s">
        <v>28</v>
      </c>
      <c r="F75" s="274"/>
      <c r="G75" s="275"/>
      <c r="H75" s="14" t="s">
        <v>23</v>
      </c>
      <c r="I75" s="276" t="s">
        <v>184</v>
      </c>
      <c r="J75" s="277"/>
      <c r="K75" s="277"/>
      <c r="L75" s="277"/>
      <c r="M75" s="277"/>
      <c r="N75" s="278"/>
      <c r="O75" s="15" t="s">
        <v>25</v>
      </c>
      <c r="P75" s="63"/>
      <c r="Q75" s="17" t="s">
        <v>26</v>
      </c>
      <c r="R75" s="17"/>
      <c r="S75" s="105">
        <f t="shared" si="0"/>
        <v>1</v>
      </c>
      <c r="T75" s="264"/>
    </row>
    <row r="76" spans="1:20">
      <c r="A76" s="272"/>
      <c r="B76" s="283"/>
      <c r="C76" s="302"/>
      <c r="D76" s="15" t="s">
        <v>185</v>
      </c>
      <c r="E76" s="273" t="s">
        <v>28</v>
      </c>
      <c r="F76" s="274"/>
      <c r="G76" s="275"/>
      <c r="H76" s="14" t="s">
        <v>23</v>
      </c>
      <c r="I76" s="276" t="s">
        <v>186</v>
      </c>
      <c r="J76" s="277"/>
      <c r="K76" s="277"/>
      <c r="L76" s="277"/>
      <c r="M76" s="277"/>
      <c r="N76" s="278"/>
      <c r="O76" s="15" t="s">
        <v>25</v>
      </c>
      <c r="P76" s="17"/>
      <c r="Q76" s="17" t="s">
        <v>26</v>
      </c>
      <c r="R76" s="17"/>
      <c r="S76" s="105">
        <f t="shared" si="0"/>
        <v>1</v>
      </c>
      <c r="T76" s="264"/>
    </row>
    <row r="77" spans="1:20" ht="15" customHeight="1">
      <c r="A77" s="272"/>
      <c r="B77" s="281" t="s">
        <v>187</v>
      </c>
      <c r="C77" s="300"/>
      <c r="D77" s="15" t="s">
        <v>188</v>
      </c>
      <c r="E77" s="273" t="s">
        <v>28</v>
      </c>
      <c r="F77" s="274"/>
      <c r="G77" s="275"/>
      <c r="H77" s="14" t="s">
        <v>23</v>
      </c>
      <c r="I77" s="276" t="s">
        <v>189</v>
      </c>
      <c r="J77" s="277"/>
      <c r="K77" s="277"/>
      <c r="L77" s="277"/>
      <c r="M77" s="277"/>
      <c r="N77" s="278"/>
      <c r="O77" s="15" t="s">
        <v>25</v>
      </c>
      <c r="P77" s="17" t="s">
        <v>26</v>
      </c>
      <c r="Q77" s="17" t="s">
        <v>26</v>
      </c>
      <c r="R77" s="17"/>
      <c r="S77" s="105">
        <f t="shared" si="0"/>
        <v>2</v>
      </c>
      <c r="T77" s="12"/>
    </row>
    <row r="78" spans="1:20">
      <c r="A78" s="272"/>
      <c r="B78" s="283"/>
      <c r="C78" s="302"/>
      <c r="D78" s="15" t="s">
        <v>190</v>
      </c>
      <c r="E78" s="273" t="s">
        <v>28</v>
      </c>
      <c r="F78" s="274"/>
      <c r="G78" s="275"/>
      <c r="H78" s="14" t="s">
        <v>23</v>
      </c>
      <c r="I78" s="276" t="s">
        <v>191</v>
      </c>
      <c r="J78" s="277"/>
      <c r="K78" s="277"/>
      <c r="L78" s="277"/>
      <c r="M78" s="277"/>
      <c r="N78" s="278"/>
      <c r="O78" s="15" t="s">
        <v>25</v>
      </c>
      <c r="P78" s="17" t="s">
        <v>26</v>
      </c>
      <c r="Q78" s="17" t="s">
        <v>26</v>
      </c>
      <c r="R78" s="17"/>
      <c r="S78" s="105">
        <f t="shared" si="0"/>
        <v>2</v>
      </c>
      <c r="T78" s="12"/>
    </row>
    <row r="79" spans="1:20">
      <c r="A79" s="272"/>
      <c r="B79" s="272" t="s">
        <v>192</v>
      </c>
      <c r="C79" s="272"/>
      <c r="D79" s="15" t="s">
        <v>193</v>
      </c>
      <c r="E79" s="273" t="s">
        <v>28</v>
      </c>
      <c r="F79" s="274"/>
      <c r="G79" s="275"/>
      <c r="H79" s="14" t="s">
        <v>75</v>
      </c>
      <c r="I79" s="276" t="s">
        <v>194</v>
      </c>
      <c r="J79" s="277"/>
      <c r="K79" s="277"/>
      <c r="L79" s="277"/>
      <c r="M79" s="277"/>
      <c r="N79" s="278"/>
      <c r="O79" s="15" t="s">
        <v>25</v>
      </c>
      <c r="P79" s="17"/>
      <c r="Q79" s="17"/>
      <c r="R79" s="17" t="s">
        <v>26</v>
      </c>
      <c r="S79" s="105">
        <f t="shared" si="0"/>
        <v>1</v>
      </c>
      <c r="T79" s="12"/>
    </row>
    <row r="80" spans="1:20" ht="39.75" customHeight="1">
      <c r="A80" s="272"/>
      <c r="B80" s="281" t="s">
        <v>195</v>
      </c>
      <c r="C80" s="300"/>
      <c r="D80" s="15" t="s">
        <v>196</v>
      </c>
      <c r="E80" s="273" t="s">
        <v>197</v>
      </c>
      <c r="F80" s="274"/>
      <c r="G80" s="275"/>
      <c r="H80" s="14" t="s">
        <v>23</v>
      </c>
      <c r="I80" s="285" t="s">
        <v>198</v>
      </c>
      <c r="J80" s="286"/>
      <c r="K80" s="286"/>
      <c r="L80" s="286"/>
      <c r="M80" s="286"/>
      <c r="N80" s="287"/>
      <c r="O80" s="15" t="s">
        <v>25</v>
      </c>
      <c r="P80" s="17" t="s">
        <v>26</v>
      </c>
      <c r="Q80" s="17"/>
      <c r="R80" s="17"/>
      <c r="S80" s="105">
        <f t="shared" si="0"/>
        <v>1</v>
      </c>
      <c r="T80" s="12"/>
    </row>
    <row r="81" spans="1:20" ht="20.25" customHeight="1">
      <c r="A81" s="272"/>
      <c r="B81" s="283"/>
      <c r="C81" s="302"/>
      <c r="D81" s="15" t="s">
        <v>199</v>
      </c>
      <c r="E81" s="273" t="s">
        <v>28</v>
      </c>
      <c r="F81" s="274"/>
      <c r="G81" s="275"/>
      <c r="H81" s="14" t="s">
        <v>23</v>
      </c>
      <c r="I81" s="276" t="s">
        <v>200</v>
      </c>
      <c r="J81" s="277"/>
      <c r="K81" s="277"/>
      <c r="L81" s="277"/>
      <c r="M81" s="277"/>
      <c r="N81" s="278"/>
      <c r="O81" s="15" t="s">
        <v>25</v>
      </c>
      <c r="P81" s="17" t="s">
        <v>26</v>
      </c>
      <c r="Q81" s="17"/>
      <c r="R81" s="17"/>
      <c r="S81" s="105">
        <f t="shared" ref="S81:S110" si="1">COUNTIF(P81:R81,"ü")</f>
        <v>1</v>
      </c>
      <c r="T81" s="12"/>
    </row>
    <row r="82" spans="1:20">
      <c r="A82" s="272"/>
      <c r="B82" s="281" t="s">
        <v>201</v>
      </c>
      <c r="C82" s="282"/>
      <c r="D82" s="15" t="s">
        <v>202</v>
      </c>
      <c r="E82" s="273" t="s">
        <v>28</v>
      </c>
      <c r="F82" s="274"/>
      <c r="G82" s="275"/>
      <c r="H82" s="14" t="s">
        <v>23</v>
      </c>
      <c r="I82" s="285" t="s">
        <v>203</v>
      </c>
      <c r="J82" s="286"/>
      <c r="K82" s="286"/>
      <c r="L82" s="286"/>
      <c r="M82" s="286"/>
      <c r="N82" s="287"/>
      <c r="O82" s="15" t="s">
        <v>25</v>
      </c>
      <c r="P82" s="17" t="s">
        <v>26</v>
      </c>
      <c r="Q82" s="17" t="s">
        <v>26</v>
      </c>
      <c r="R82" s="17"/>
      <c r="S82" s="105">
        <f t="shared" si="1"/>
        <v>2</v>
      </c>
      <c r="T82" s="264"/>
    </row>
    <row r="83" spans="1:20" ht="23.25" customHeight="1">
      <c r="A83" s="272"/>
      <c r="B83" s="289"/>
      <c r="C83" s="290"/>
      <c r="D83" s="15" t="s">
        <v>204</v>
      </c>
      <c r="E83" s="273" t="s">
        <v>28</v>
      </c>
      <c r="F83" s="274"/>
      <c r="G83" s="275"/>
      <c r="H83" s="14" t="s">
        <v>23</v>
      </c>
      <c r="I83" s="285" t="s">
        <v>205</v>
      </c>
      <c r="J83" s="286"/>
      <c r="K83" s="286"/>
      <c r="L83" s="286"/>
      <c r="M83" s="286"/>
      <c r="N83" s="287"/>
      <c r="O83" s="15" t="s">
        <v>25</v>
      </c>
      <c r="P83" s="17" t="s">
        <v>26</v>
      </c>
      <c r="Q83" s="17" t="s">
        <v>26</v>
      </c>
      <c r="R83" s="17"/>
      <c r="S83" s="105">
        <f t="shared" si="1"/>
        <v>2</v>
      </c>
      <c r="T83" s="264"/>
    </row>
    <row r="84" spans="1:20" ht="24" customHeight="1">
      <c r="A84" s="272"/>
      <c r="B84" s="289"/>
      <c r="C84" s="290"/>
      <c r="D84" s="15" t="s">
        <v>206</v>
      </c>
      <c r="E84" s="273" t="s">
        <v>28</v>
      </c>
      <c r="F84" s="274"/>
      <c r="G84" s="275"/>
      <c r="H84" s="14" t="s">
        <v>23</v>
      </c>
      <c r="I84" s="285" t="s">
        <v>207</v>
      </c>
      <c r="J84" s="286"/>
      <c r="K84" s="286"/>
      <c r="L84" s="286"/>
      <c r="M84" s="286"/>
      <c r="N84" s="287"/>
      <c r="O84" s="15" t="s">
        <v>25</v>
      </c>
      <c r="P84" s="17" t="s">
        <v>26</v>
      </c>
      <c r="Q84" s="17" t="s">
        <v>26</v>
      </c>
      <c r="R84" s="17"/>
      <c r="S84" s="105">
        <f t="shared" si="1"/>
        <v>2</v>
      </c>
      <c r="T84" s="264"/>
    </row>
    <row r="85" spans="1:20" ht="24.75" customHeight="1">
      <c r="A85" s="272"/>
      <c r="B85" s="283"/>
      <c r="C85" s="284"/>
      <c r="D85" s="15" t="s">
        <v>208</v>
      </c>
      <c r="E85" s="273" t="s">
        <v>28</v>
      </c>
      <c r="F85" s="274"/>
      <c r="G85" s="275"/>
      <c r="H85" s="14" t="s">
        <v>23</v>
      </c>
      <c r="I85" s="285" t="s">
        <v>209</v>
      </c>
      <c r="J85" s="286"/>
      <c r="K85" s="286"/>
      <c r="L85" s="286"/>
      <c r="M85" s="286"/>
      <c r="N85" s="287"/>
      <c r="O85" s="15" t="s">
        <v>25</v>
      </c>
      <c r="P85" s="17" t="s">
        <v>26</v>
      </c>
      <c r="Q85" s="17"/>
      <c r="R85" s="17"/>
      <c r="S85" s="105">
        <f t="shared" si="1"/>
        <v>1</v>
      </c>
      <c r="T85" s="12"/>
    </row>
    <row r="86" spans="1:20" ht="24.75" customHeight="1">
      <c r="A86" s="303" t="s">
        <v>210</v>
      </c>
      <c r="B86" s="297" t="s">
        <v>211</v>
      </c>
      <c r="C86" s="298"/>
      <c r="D86" s="15" t="s">
        <v>212</v>
      </c>
      <c r="E86" s="273" t="s">
        <v>28</v>
      </c>
      <c r="F86" s="274"/>
      <c r="G86" s="275"/>
      <c r="H86" s="14" t="s">
        <v>23</v>
      </c>
      <c r="I86" s="285" t="s">
        <v>213</v>
      </c>
      <c r="J86" s="286"/>
      <c r="K86" s="286"/>
      <c r="L86" s="286"/>
      <c r="M86" s="286"/>
      <c r="N86" s="287"/>
      <c r="O86" s="15" t="s">
        <v>72</v>
      </c>
      <c r="P86" s="17" t="s">
        <v>26</v>
      </c>
      <c r="Q86" s="17"/>
      <c r="R86" s="17"/>
      <c r="S86" s="105">
        <f t="shared" si="1"/>
        <v>1</v>
      </c>
      <c r="T86" s="12"/>
    </row>
    <row r="87" spans="1:20" ht="26.25" customHeight="1">
      <c r="A87" s="304"/>
      <c r="B87" s="281" t="s">
        <v>214</v>
      </c>
      <c r="C87" s="300"/>
      <c r="D87" s="15" t="s">
        <v>215</v>
      </c>
      <c r="E87" s="273" t="s">
        <v>28</v>
      </c>
      <c r="F87" s="274"/>
      <c r="G87" s="275"/>
      <c r="H87" s="14" t="s">
        <v>23</v>
      </c>
      <c r="I87" s="276" t="s">
        <v>216</v>
      </c>
      <c r="J87" s="277"/>
      <c r="K87" s="277"/>
      <c r="L87" s="277"/>
      <c r="M87" s="277"/>
      <c r="N87" s="278"/>
      <c r="O87" s="15" t="s">
        <v>72</v>
      </c>
      <c r="P87" s="17" t="s">
        <v>26</v>
      </c>
      <c r="Q87" s="17"/>
      <c r="R87" s="17"/>
      <c r="S87" s="105">
        <f t="shared" si="1"/>
        <v>1</v>
      </c>
      <c r="T87" s="12"/>
    </row>
    <row r="88" spans="1:20" ht="30" customHeight="1">
      <c r="A88" s="304"/>
      <c r="B88" s="283"/>
      <c r="C88" s="302"/>
      <c r="D88" s="15" t="s">
        <v>217</v>
      </c>
      <c r="E88" s="273" t="s">
        <v>28</v>
      </c>
      <c r="F88" s="274"/>
      <c r="G88" s="275"/>
      <c r="H88" s="14" t="s">
        <v>23</v>
      </c>
      <c r="I88" s="285" t="s">
        <v>218</v>
      </c>
      <c r="J88" s="286"/>
      <c r="K88" s="286"/>
      <c r="L88" s="286"/>
      <c r="M88" s="286"/>
      <c r="N88" s="287"/>
      <c r="O88" s="15" t="s">
        <v>25</v>
      </c>
      <c r="P88" s="17" t="s">
        <v>26</v>
      </c>
      <c r="Q88" s="17"/>
      <c r="R88" s="17"/>
      <c r="S88" s="105">
        <f t="shared" si="1"/>
        <v>1</v>
      </c>
      <c r="T88" s="12"/>
    </row>
    <row r="89" spans="1:20" ht="30" customHeight="1">
      <c r="A89" s="304"/>
      <c r="B89" s="281" t="s">
        <v>219</v>
      </c>
      <c r="C89" s="300"/>
      <c r="D89" s="15" t="s">
        <v>220</v>
      </c>
      <c r="E89" s="273" t="s">
        <v>28</v>
      </c>
      <c r="F89" s="274"/>
      <c r="G89" s="275"/>
      <c r="H89" s="14" t="s">
        <v>23</v>
      </c>
      <c r="I89" s="276" t="s">
        <v>221</v>
      </c>
      <c r="J89" s="277"/>
      <c r="K89" s="277"/>
      <c r="L89" s="277"/>
      <c r="M89" s="277"/>
      <c r="N89" s="278"/>
      <c r="O89" s="15" t="s">
        <v>25</v>
      </c>
      <c r="P89" s="17" t="s">
        <v>26</v>
      </c>
      <c r="Q89" s="17"/>
      <c r="R89" s="17"/>
      <c r="S89" s="105">
        <f t="shared" si="1"/>
        <v>1</v>
      </c>
      <c r="T89" s="12"/>
    </row>
    <row r="90" spans="1:20" ht="28.5" customHeight="1">
      <c r="A90" s="304"/>
      <c r="B90" s="297" t="s">
        <v>222</v>
      </c>
      <c r="C90" s="298"/>
      <c r="D90" s="15" t="s">
        <v>223</v>
      </c>
      <c r="E90" s="273" t="s">
        <v>28</v>
      </c>
      <c r="F90" s="274"/>
      <c r="G90" s="275"/>
      <c r="H90" s="14" t="s">
        <v>23</v>
      </c>
      <c r="I90" s="276" t="s">
        <v>224</v>
      </c>
      <c r="J90" s="277"/>
      <c r="K90" s="277"/>
      <c r="L90" s="277"/>
      <c r="M90" s="277"/>
      <c r="N90" s="278"/>
      <c r="O90" s="15" t="s">
        <v>25</v>
      </c>
      <c r="P90" s="17"/>
      <c r="Q90" s="17" t="s">
        <v>26</v>
      </c>
      <c r="R90" s="17"/>
      <c r="S90" s="105">
        <f t="shared" si="1"/>
        <v>1</v>
      </c>
      <c r="T90" s="12"/>
    </row>
    <row r="91" spans="1:20" ht="27" customHeight="1">
      <c r="A91" s="304"/>
      <c r="B91" s="297" t="s">
        <v>225</v>
      </c>
      <c r="C91" s="298"/>
      <c r="D91" s="15" t="s">
        <v>226</v>
      </c>
      <c r="E91" s="273" t="s">
        <v>28</v>
      </c>
      <c r="F91" s="274"/>
      <c r="G91" s="275"/>
      <c r="H91" s="14" t="s">
        <v>23</v>
      </c>
      <c r="I91" s="285" t="s">
        <v>227</v>
      </c>
      <c r="J91" s="286"/>
      <c r="K91" s="286"/>
      <c r="L91" s="286"/>
      <c r="M91" s="286"/>
      <c r="N91" s="287"/>
      <c r="O91" s="15" t="s">
        <v>25</v>
      </c>
      <c r="P91" s="17" t="s">
        <v>26</v>
      </c>
      <c r="Q91" s="17" t="s">
        <v>26</v>
      </c>
      <c r="R91" s="17"/>
      <c r="S91" s="105">
        <f t="shared" si="1"/>
        <v>2</v>
      </c>
      <c r="T91" s="12"/>
    </row>
    <row r="92" spans="1:20" ht="24" customHeight="1">
      <c r="A92" s="305"/>
      <c r="B92" s="297" t="s">
        <v>228</v>
      </c>
      <c r="C92" s="298"/>
      <c r="D92" s="15" t="s">
        <v>229</v>
      </c>
      <c r="E92" s="273" t="s">
        <v>230</v>
      </c>
      <c r="F92" s="274"/>
      <c r="G92" s="275"/>
      <c r="H92" s="14" t="s">
        <v>23</v>
      </c>
      <c r="I92" s="276" t="s">
        <v>231</v>
      </c>
      <c r="J92" s="277"/>
      <c r="K92" s="277"/>
      <c r="L92" s="277"/>
      <c r="M92" s="277"/>
      <c r="N92" s="278"/>
      <c r="O92" s="15" t="s">
        <v>25</v>
      </c>
      <c r="P92" s="17" t="s">
        <v>26</v>
      </c>
      <c r="Q92" s="17" t="s">
        <v>26</v>
      </c>
      <c r="R92" s="17" t="s">
        <v>26</v>
      </c>
      <c r="S92" s="105">
        <f t="shared" si="1"/>
        <v>3</v>
      </c>
      <c r="T92" s="12"/>
    </row>
    <row r="93" spans="1:20" ht="36" customHeight="1">
      <c r="A93" s="303" t="s">
        <v>232</v>
      </c>
      <c r="B93" s="297" t="s">
        <v>233</v>
      </c>
      <c r="C93" s="298"/>
      <c r="D93" s="15" t="s">
        <v>234</v>
      </c>
      <c r="E93" s="273" t="s">
        <v>235</v>
      </c>
      <c r="F93" s="274"/>
      <c r="G93" s="275"/>
      <c r="H93" s="14" t="s">
        <v>23</v>
      </c>
      <c r="I93" s="285" t="s">
        <v>236</v>
      </c>
      <c r="J93" s="286"/>
      <c r="K93" s="286"/>
      <c r="L93" s="286"/>
      <c r="M93" s="286"/>
      <c r="N93" s="287"/>
      <c r="O93" s="15" t="s">
        <v>25</v>
      </c>
      <c r="P93" s="17" t="s">
        <v>26</v>
      </c>
      <c r="Q93" s="17" t="s">
        <v>26</v>
      </c>
      <c r="R93" s="17" t="s">
        <v>26</v>
      </c>
      <c r="S93" s="105">
        <f t="shared" si="1"/>
        <v>3</v>
      </c>
      <c r="T93" s="264"/>
    </row>
    <row r="94" spans="1:20" ht="15" customHeight="1">
      <c r="A94" s="304"/>
      <c r="B94" s="281" t="s">
        <v>237</v>
      </c>
      <c r="C94" s="300"/>
      <c r="D94" s="15" t="s">
        <v>238</v>
      </c>
      <c r="E94" s="273" t="s">
        <v>28</v>
      </c>
      <c r="F94" s="274"/>
      <c r="G94" s="275"/>
      <c r="H94" s="14" t="s">
        <v>75</v>
      </c>
      <c r="I94" s="276" t="s">
        <v>239</v>
      </c>
      <c r="J94" s="277"/>
      <c r="K94" s="277"/>
      <c r="L94" s="277"/>
      <c r="M94" s="277"/>
      <c r="N94" s="278"/>
      <c r="O94" s="15" t="s">
        <v>72</v>
      </c>
      <c r="P94" s="17" t="s">
        <v>26</v>
      </c>
      <c r="Q94" s="17" t="s">
        <v>26</v>
      </c>
      <c r="R94" s="17"/>
      <c r="S94" s="105">
        <f t="shared" si="1"/>
        <v>2</v>
      </c>
      <c r="T94" s="12"/>
    </row>
    <row r="95" spans="1:20">
      <c r="A95" s="304"/>
      <c r="B95" s="289"/>
      <c r="C95" s="301"/>
      <c r="D95" s="15" t="s">
        <v>240</v>
      </c>
      <c r="E95" s="273" t="s">
        <v>28</v>
      </c>
      <c r="F95" s="274"/>
      <c r="G95" s="275"/>
      <c r="H95" s="14" t="s">
        <v>75</v>
      </c>
      <c r="I95" s="276" t="s">
        <v>241</v>
      </c>
      <c r="J95" s="277"/>
      <c r="K95" s="277"/>
      <c r="L95" s="277"/>
      <c r="M95" s="277"/>
      <c r="N95" s="278"/>
      <c r="O95" s="15" t="s">
        <v>72</v>
      </c>
      <c r="P95" s="17" t="s">
        <v>26</v>
      </c>
      <c r="Q95" s="17" t="s">
        <v>26</v>
      </c>
      <c r="R95" s="17"/>
      <c r="S95" s="105">
        <f t="shared" si="1"/>
        <v>2</v>
      </c>
      <c r="T95" s="12"/>
    </row>
    <row r="96" spans="1:20">
      <c r="A96" s="304"/>
      <c r="B96" s="289"/>
      <c r="C96" s="301"/>
      <c r="D96" s="15" t="s">
        <v>242</v>
      </c>
      <c r="E96" s="273" t="s">
        <v>28</v>
      </c>
      <c r="F96" s="274"/>
      <c r="G96" s="275"/>
      <c r="H96" s="14" t="s">
        <v>75</v>
      </c>
      <c r="I96" s="276" t="s">
        <v>243</v>
      </c>
      <c r="J96" s="277"/>
      <c r="K96" s="277"/>
      <c r="L96" s="277"/>
      <c r="M96" s="277"/>
      <c r="N96" s="278"/>
      <c r="O96" s="15" t="s">
        <v>72</v>
      </c>
      <c r="P96" s="17" t="s">
        <v>26</v>
      </c>
      <c r="Q96" s="17" t="s">
        <v>26</v>
      </c>
      <c r="R96" s="17"/>
      <c r="S96" s="105">
        <f t="shared" si="1"/>
        <v>2</v>
      </c>
      <c r="T96" s="12"/>
    </row>
    <row r="97" spans="1:20">
      <c r="A97" s="304"/>
      <c r="B97" s="289"/>
      <c r="C97" s="301"/>
      <c r="D97" s="15" t="s">
        <v>244</v>
      </c>
      <c r="E97" s="273" t="s">
        <v>245</v>
      </c>
      <c r="F97" s="274"/>
      <c r="G97" s="275"/>
      <c r="H97" s="14" t="s">
        <v>23</v>
      </c>
      <c r="I97" s="276" t="s">
        <v>246</v>
      </c>
      <c r="J97" s="277"/>
      <c r="K97" s="277"/>
      <c r="L97" s="277"/>
      <c r="M97" s="277"/>
      <c r="N97" s="278"/>
      <c r="O97" s="15" t="s">
        <v>72</v>
      </c>
      <c r="P97" s="17" t="s">
        <v>26</v>
      </c>
      <c r="Q97" s="17" t="s">
        <v>26</v>
      </c>
      <c r="R97" s="17"/>
      <c r="S97" s="105">
        <f t="shared" si="1"/>
        <v>2</v>
      </c>
      <c r="T97" s="12"/>
    </row>
    <row r="98" spans="1:20" ht="28.5" customHeight="1">
      <c r="A98" s="305"/>
      <c r="B98" s="283"/>
      <c r="C98" s="302"/>
      <c r="D98" s="15" t="s">
        <v>247</v>
      </c>
      <c r="E98" s="273" t="s">
        <v>28</v>
      </c>
      <c r="F98" s="274"/>
      <c r="G98" s="275"/>
      <c r="H98" s="14" t="s">
        <v>75</v>
      </c>
      <c r="I98" s="285" t="s">
        <v>248</v>
      </c>
      <c r="J98" s="286"/>
      <c r="K98" s="286"/>
      <c r="L98" s="286"/>
      <c r="M98" s="286"/>
      <c r="N98" s="287"/>
      <c r="O98" s="15" t="s">
        <v>72</v>
      </c>
      <c r="P98" s="17" t="s">
        <v>26</v>
      </c>
      <c r="Q98" s="17" t="s">
        <v>26</v>
      </c>
      <c r="R98" s="17"/>
      <c r="S98" s="105">
        <f t="shared" si="1"/>
        <v>2</v>
      </c>
      <c r="T98" s="12"/>
    </row>
    <row r="99" spans="1:20" ht="36" customHeight="1">
      <c r="A99" s="272" t="s">
        <v>249</v>
      </c>
      <c r="B99" s="297" t="s">
        <v>250</v>
      </c>
      <c r="C99" s="298"/>
      <c r="D99" s="15" t="s">
        <v>251</v>
      </c>
      <c r="E99" s="273" t="s">
        <v>28</v>
      </c>
      <c r="F99" s="274"/>
      <c r="G99" s="275"/>
      <c r="H99" s="14" t="s">
        <v>23</v>
      </c>
      <c r="I99" s="285" t="s">
        <v>252</v>
      </c>
      <c r="J99" s="286"/>
      <c r="K99" s="286"/>
      <c r="L99" s="286"/>
      <c r="M99" s="286"/>
      <c r="N99" s="287"/>
      <c r="O99" s="15" t="s">
        <v>25</v>
      </c>
      <c r="P99" s="17" t="s">
        <v>26</v>
      </c>
      <c r="Q99" s="17"/>
      <c r="R99" s="17"/>
      <c r="S99" s="105">
        <f t="shared" si="1"/>
        <v>1</v>
      </c>
      <c r="T99" s="12"/>
    </row>
    <row r="100" spans="1:20" ht="30" customHeight="1">
      <c r="A100" s="272"/>
      <c r="B100" s="281" t="s">
        <v>253</v>
      </c>
      <c r="C100" s="282"/>
      <c r="D100" s="15" t="s">
        <v>254</v>
      </c>
      <c r="E100" s="273" t="s">
        <v>28</v>
      </c>
      <c r="F100" s="274"/>
      <c r="G100" s="275"/>
      <c r="H100" s="14" t="s">
        <v>23</v>
      </c>
      <c r="I100" s="285" t="s">
        <v>255</v>
      </c>
      <c r="J100" s="286"/>
      <c r="K100" s="286"/>
      <c r="L100" s="286"/>
      <c r="M100" s="286"/>
      <c r="N100" s="287"/>
      <c r="O100" s="15" t="s">
        <v>25</v>
      </c>
      <c r="P100" s="17" t="s">
        <v>26</v>
      </c>
      <c r="Q100" s="17"/>
      <c r="R100" s="17"/>
      <c r="S100" s="105">
        <f t="shared" si="1"/>
        <v>1</v>
      </c>
      <c r="T100" s="12"/>
    </row>
    <row r="101" spans="1:20" ht="42.75" customHeight="1">
      <c r="A101" s="272"/>
      <c r="B101" s="289"/>
      <c r="C101" s="290"/>
      <c r="D101" s="15" t="s">
        <v>256</v>
      </c>
      <c r="E101" s="273" t="s">
        <v>28</v>
      </c>
      <c r="F101" s="274"/>
      <c r="G101" s="275"/>
      <c r="H101" s="14" t="s">
        <v>23</v>
      </c>
      <c r="I101" s="285" t="s">
        <v>257</v>
      </c>
      <c r="J101" s="286"/>
      <c r="K101" s="286"/>
      <c r="L101" s="286"/>
      <c r="M101" s="286"/>
      <c r="N101" s="287"/>
      <c r="O101" s="15" t="s">
        <v>25</v>
      </c>
      <c r="P101" s="17" t="s">
        <v>26</v>
      </c>
      <c r="Q101" s="17"/>
      <c r="R101" s="17"/>
      <c r="S101" s="105">
        <f t="shared" si="1"/>
        <v>1</v>
      </c>
      <c r="T101" s="12"/>
    </row>
    <row r="102" spans="1:20" ht="36" customHeight="1">
      <c r="A102" s="272"/>
      <c r="B102" s="283"/>
      <c r="C102" s="284"/>
      <c r="D102" s="15" t="s">
        <v>258</v>
      </c>
      <c r="E102" s="273" t="s">
        <v>259</v>
      </c>
      <c r="F102" s="274"/>
      <c r="G102" s="275"/>
      <c r="H102" s="14" t="s">
        <v>23</v>
      </c>
      <c r="I102" s="285" t="s">
        <v>260</v>
      </c>
      <c r="J102" s="286"/>
      <c r="K102" s="286"/>
      <c r="L102" s="286"/>
      <c r="M102" s="286"/>
      <c r="N102" s="287"/>
      <c r="O102" s="15" t="s">
        <v>25</v>
      </c>
      <c r="P102" s="17" t="s">
        <v>26</v>
      </c>
      <c r="Q102" s="17"/>
      <c r="R102" s="17"/>
      <c r="S102" s="105">
        <f t="shared" si="1"/>
        <v>1</v>
      </c>
      <c r="T102" s="12"/>
    </row>
    <row r="103" spans="1:20" ht="15" customHeight="1">
      <c r="A103" s="272"/>
      <c r="B103" s="281" t="s">
        <v>261</v>
      </c>
      <c r="C103" s="282"/>
      <c r="D103" s="15" t="s">
        <v>262</v>
      </c>
      <c r="E103" s="273" t="s">
        <v>28</v>
      </c>
      <c r="F103" s="274"/>
      <c r="G103" s="275"/>
      <c r="H103" s="14" t="s">
        <v>23</v>
      </c>
      <c r="I103" s="276" t="s">
        <v>263</v>
      </c>
      <c r="J103" s="277"/>
      <c r="K103" s="277"/>
      <c r="L103" s="277"/>
      <c r="M103" s="277"/>
      <c r="N103" s="278"/>
      <c r="O103" s="15" t="s">
        <v>25</v>
      </c>
      <c r="P103" s="17" t="s">
        <v>26</v>
      </c>
      <c r="Q103" s="17" t="s">
        <v>26</v>
      </c>
      <c r="R103" s="17"/>
      <c r="S103" s="105">
        <f t="shared" si="1"/>
        <v>2</v>
      </c>
      <c r="T103" s="12"/>
    </row>
    <row r="104" spans="1:20" ht="28.5" customHeight="1">
      <c r="A104" s="272"/>
      <c r="B104" s="283"/>
      <c r="C104" s="284"/>
      <c r="D104" s="15" t="s">
        <v>264</v>
      </c>
      <c r="E104" s="273" t="s">
        <v>28</v>
      </c>
      <c r="F104" s="274"/>
      <c r="G104" s="275"/>
      <c r="H104" s="14" t="s">
        <v>23</v>
      </c>
      <c r="I104" s="276" t="s">
        <v>265</v>
      </c>
      <c r="J104" s="277"/>
      <c r="K104" s="277"/>
      <c r="L104" s="277"/>
      <c r="M104" s="277"/>
      <c r="N104" s="278"/>
      <c r="O104" s="15" t="s">
        <v>25</v>
      </c>
      <c r="P104" s="17" t="s">
        <v>26</v>
      </c>
      <c r="Q104" s="17" t="s">
        <v>26</v>
      </c>
      <c r="R104" s="17"/>
      <c r="S104" s="105">
        <f t="shared" si="1"/>
        <v>2</v>
      </c>
      <c r="T104" s="12"/>
    </row>
    <row r="105" spans="1:20" ht="15" customHeight="1">
      <c r="A105" s="272" t="s">
        <v>266</v>
      </c>
      <c r="B105" s="272" t="s">
        <v>267</v>
      </c>
      <c r="C105" s="272"/>
      <c r="D105" s="15" t="s">
        <v>268</v>
      </c>
      <c r="E105" s="279" t="s">
        <v>28</v>
      </c>
      <c r="F105" s="279"/>
      <c r="G105" s="279"/>
      <c r="H105" s="14" t="s">
        <v>75</v>
      </c>
      <c r="I105" s="280" t="s">
        <v>269</v>
      </c>
      <c r="J105" s="280"/>
      <c r="K105" s="280"/>
      <c r="L105" s="280"/>
      <c r="M105" s="280"/>
      <c r="N105" s="280"/>
      <c r="O105" s="15" t="s">
        <v>72</v>
      </c>
      <c r="P105" s="17" t="s">
        <v>26</v>
      </c>
      <c r="Q105" s="17" t="s">
        <v>26</v>
      </c>
      <c r="R105" s="17"/>
      <c r="S105" s="105">
        <f t="shared" si="1"/>
        <v>2</v>
      </c>
      <c r="T105" s="12"/>
    </row>
    <row r="106" spans="1:20">
      <c r="A106" s="272"/>
      <c r="B106" s="272"/>
      <c r="C106" s="272"/>
      <c r="D106" s="15" t="s">
        <v>270</v>
      </c>
      <c r="E106" s="279" t="s">
        <v>28</v>
      </c>
      <c r="F106" s="279"/>
      <c r="G106" s="279"/>
      <c r="H106" s="14" t="s">
        <v>75</v>
      </c>
      <c r="I106" s="280" t="s">
        <v>271</v>
      </c>
      <c r="J106" s="280"/>
      <c r="K106" s="280"/>
      <c r="L106" s="280"/>
      <c r="M106" s="280"/>
      <c r="N106" s="280"/>
      <c r="O106" s="15" t="s">
        <v>72</v>
      </c>
      <c r="P106" s="17" t="s">
        <v>26</v>
      </c>
      <c r="Q106" s="17" t="s">
        <v>26</v>
      </c>
      <c r="R106" s="17"/>
      <c r="S106" s="105">
        <f t="shared" si="1"/>
        <v>2</v>
      </c>
      <c r="T106" s="12"/>
    </row>
    <row r="107" spans="1:20" ht="64.5" customHeight="1">
      <c r="A107" s="272"/>
      <c r="B107" s="272" t="s">
        <v>272</v>
      </c>
      <c r="C107" s="272"/>
      <c r="D107" s="15" t="s">
        <v>273</v>
      </c>
      <c r="E107" s="279" t="s">
        <v>274</v>
      </c>
      <c r="F107" s="279"/>
      <c r="G107" s="279"/>
      <c r="H107" s="14" t="s">
        <v>23</v>
      </c>
      <c r="I107" s="288" t="s">
        <v>275</v>
      </c>
      <c r="J107" s="288"/>
      <c r="K107" s="288"/>
      <c r="L107" s="288"/>
      <c r="M107" s="288"/>
      <c r="N107" s="288"/>
      <c r="O107" s="15" t="s">
        <v>72</v>
      </c>
      <c r="P107" s="17" t="s">
        <v>26</v>
      </c>
      <c r="Q107" s="17" t="s">
        <v>26</v>
      </c>
      <c r="R107" s="17"/>
      <c r="S107" s="105">
        <f t="shared" si="1"/>
        <v>2</v>
      </c>
      <c r="T107" s="12"/>
    </row>
    <row r="108" spans="1:20" ht="15" customHeight="1">
      <c r="A108" s="272"/>
      <c r="B108" s="272" t="s">
        <v>276</v>
      </c>
      <c r="C108" s="272"/>
      <c r="D108" s="15" t="s">
        <v>277</v>
      </c>
      <c r="E108" s="279" t="s">
        <v>28</v>
      </c>
      <c r="F108" s="279"/>
      <c r="G108" s="279"/>
      <c r="H108" s="14" t="s">
        <v>23</v>
      </c>
      <c r="I108" s="280" t="s">
        <v>278</v>
      </c>
      <c r="J108" s="280"/>
      <c r="K108" s="280"/>
      <c r="L108" s="280"/>
      <c r="M108" s="280"/>
      <c r="N108" s="280"/>
      <c r="O108" s="15" t="s">
        <v>25</v>
      </c>
      <c r="P108" s="17" t="s">
        <v>26</v>
      </c>
      <c r="Q108" s="17" t="s">
        <v>26</v>
      </c>
      <c r="R108" s="17"/>
      <c r="S108" s="105">
        <f t="shared" si="1"/>
        <v>2</v>
      </c>
      <c r="T108" s="12"/>
    </row>
    <row r="109" spans="1:20" ht="25.5" customHeight="1">
      <c r="A109" s="272"/>
      <c r="B109" s="272"/>
      <c r="C109" s="272"/>
      <c r="D109" s="15" t="s">
        <v>279</v>
      </c>
      <c r="E109" s="279" t="s">
        <v>28</v>
      </c>
      <c r="F109" s="279"/>
      <c r="G109" s="279"/>
      <c r="H109" s="14" t="s">
        <v>23</v>
      </c>
      <c r="I109" s="288" t="s">
        <v>280</v>
      </c>
      <c r="J109" s="288"/>
      <c r="K109" s="288"/>
      <c r="L109" s="288"/>
      <c r="M109" s="288"/>
      <c r="N109" s="288"/>
      <c r="O109" s="15" t="s">
        <v>25</v>
      </c>
      <c r="P109" s="17" t="s">
        <v>26</v>
      </c>
      <c r="Q109" s="17" t="s">
        <v>26</v>
      </c>
      <c r="R109" s="17"/>
      <c r="S109" s="105">
        <f t="shared" si="1"/>
        <v>2</v>
      </c>
      <c r="T109" s="12"/>
    </row>
    <row r="110" spans="1:20" ht="24" customHeight="1">
      <c r="A110" s="272"/>
      <c r="B110" s="272" t="s">
        <v>281</v>
      </c>
      <c r="C110" s="272"/>
      <c r="D110" s="15" t="s">
        <v>282</v>
      </c>
      <c r="E110" s="279" t="s">
        <v>28</v>
      </c>
      <c r="F110" s="279"/>
      <c r="G110" s="279"/>
      <c r="H110" s="14" t="s">
        <v>23</v>
      </c>
      <c r="I110" s="280" t="s">
        <v>283</v>
      </c>
      <c r="J110" s="280"/>
      <c r="K110" s="280"/>
      <c r="L110" s="280"/>
      <c r="M110" s="280"/>
      <c r="N110" s="280"/>
      <c r="O110" s="15" t="s">
        <v>25</v>
      </c>
      <c r="P110" s="17" t="s">
        <v>26</v>
      </c>
      <c r="Q110" s="17"/>
      <c r="R110" s="17"/>
      <c r="S110" s="105">
        <f t="shared" si="1"/>
        <v>1</v>
      </c>
      <c r="T110" s="264"/>
    </row>
    <row r="111" spans="1:20">
      <c r="I111" s="310" t="s">
        <v>284</v>
      </c>
      <c r="J111" s="310"/>
      <c r="K111" s="310"/>
      <c r="L111" s="310"/>
      <c r="M111" s="310"/>
      <c r="N111" s="310"/>
      <c r="O111" s="311"/>
      <c r="P111" s="15">
        <f>COUNTIF(P17:P110,"ü")</f>
        <v>81</v>
      </c>
      <c r="Q111" s="15">
        <f>COUNTIF(Q17:Q110,"ü")</f>
        <v>58</v>
      </c>
      <c r="R111" s="15">
        <f>COUNTIF(R17:R110,"ü")</f>
        <v>18</v>
      </c>
      <c r="S111" s="265"/>
      <c r="T111" s="265"/>
    </row>
    <row r="128" spans="17:17">
      <c r="Q128" t="s">
        <v>285</v>
      </c>
    </row>
  </sheetData>
  <sheetProtection password="DE6E" sheet="1" objects="1" scenarios="1"/>
  <mergeCells count="253">
    <mergeCell ref="E65:G65"/>
    <mergeCell ref="B66:C67"/>
    <mergeCell ref="E66:G66"/>
    <mergeCell ref="E67:G67"/>
    <mergeCell ref="I111:O111"/>
    <mergeCell ref="A1:B1"/>
    <mergeCell ref="H15:H16"/>
    <mergeCell ref="E25:G25"/>
    <mergeCell ref="E19:G19"/>
    <mergeCell ref="I18:N18"/>
    <mergeCell ref="I24:N24"/>
    <mergeCell ref="B3:V7"/>
    <mergeCell ref="B11:T11"/>
    <mergeCell ref="B10:T10"/>
    <mergeCell ref="B12:T12"/>
    <mergeCell ref="B13:T13"/>
    <mergeCell ref="B9:T9"/>
    <mergeCell ref="B24:C25"/>
    <mergeCell ref="A15:A16"/>
    <mergeCell ref="B15:C16"/>
    <mergeCell ref="D15:D16"/>
    <mergeCell ref="E15:G16"/>
    <mergeCell ref="E17:G17"/>
    <mergeCell ref="E18:G18"/>
    <mergeCell ref="A86:A92"/>
    <mergeCell ref="A93:A98"/>
    <mergeCell ref="A99:A104"/>
    <mergeCell ref="B90:C90"/>
    <mergeCell ref="B91:C91"/>
    <mergeCell ref="B92:C92"/>
    <mergeCell ref="A66:A85"/>
    <mergeCell ref="A48:A65"/>
    <mergeCell ref="B86:C86"/>
    <mergeCell ref="B93:C93"/>
    <mergeCell ref="B94:C98"/>
    <mergeCell ref="B99:C99"/>
    <mergeCell ref="B100:C102"/>
    <mergeCell ref="B87:C88"/>
    <mergeCell ref="B89:C89"/>
    <mergeCell ref="B68:C68"/>
    <mergeCell ref="B69:C70"/>
    <mergeCell ref="B71:C71"/>
    <mergeCell ref="B72:C76"/>
    <mergeCell ref="B77:C78"/>
    <mergeCell ref="B79:C79"/>
    <mergeCell ref="B80:C81"/>
    <mergeCell ref="B58:C60"/>
    <mergeCell ref="B61:C65"/>
    <mergeCell ref="A29:A47"/>
    <mergeCell ref="B29:C33"/>
    <mergeCell ref="B34:C35"/>
    <mergeCell ref="B40:C45"/>
    <mergeCell ref="B48:C50"/>
    <mergeCell ref="B51:C52"/>
    <mergeCell ref="B53:C54"/>
    <mergeCell ref="B55:C57"/>
    <mergeCell ref="B36:C36"/>
    <mergeCell ref="B46:C47"/>
    <mergeCell ref="I17:N17"/>
    <mergeCell ref="E24:G24"/>
    <mergeCell ref="E28:G28"/>
    <mergeCell ref="E20:G20"/>
    <mergeCell ref="E21:G21"/>
    <mergeCell ref="E22:G22"/>
    <mergeCell ref="E23:G23"/>
    <mergeCell ref="B17:C23"/>
    <mergeCell ref="A17:A28"/>
    <mergeCell ref="B26:C27"/>
    <mergeCell ref="B28:C28"/>
    <mergeCell ref="P15:R15"/>
    <mergeCell ref="I29:N29"/>
    <mergeCell ref="I30:N30"/>
    <mergeCell ref="I31:N31"/>
    <mergeCell ref="I32:N32"/>
    <mergeCell ref="I33:N33"/>
    <mergeCell ref="E29:G29"/>
    <mergeCell ref="E30:G30"/>
    <mergeCell ref="E31:G31"/>
    <mergeCell ref="E32:G32"/>
    <mergeCell ref="E33:G33"/>
    <mergeCell ref="I28:N28"/>
    <mergeCell ref="O15:O16"/>
    <mergeCell ref="I25:N25"/>
    <mergeCell ref="E26:G26"/>
    <mergeCell ref="E27:G27"/>
    <mergeCell ref="I26:N26"/>
    <mergeCell ref="I27:N27"/>
    <mergeCell ref="I19:N19"/>
    <mergeCell ref="I20:N20"/>
    <mergeCell ref="I21:N21"/>
    <mergeCell ref="I22:N22"/>
    <mergeCell ref="I23:N23"/>
    <mergeCell ref="I15:N16"/>
    <mergeCell ref="I37:N37"/>
    <mergeCell ref="B38:C39"/>
    <mergeCell ref="E38:G38"/>
    <mergeCell ref="E39:G39"/>
    <mergeCell ref="I38:N38"/>
    <mergeCell ref="I39:N39"/>
    <mergeCell ref="E34:G34"/>
    <mergeCell ref="E35:G35"/>
    <mergeCell ref="I34:N34"/>
    <mergeCell ref="I35:N35"/>
    <mergeCell ref="E36:G36"/>
    <mergeCell ref="I36:N36"/>
    <mergeCell ref="B37:C37"/>
    <mergeCell ref="E37:G37"/>
    <mergeCell ref="E63:G63"/>
    <mergeCell ref="E64:G64"/>
    <mergeCell ref="I40:N40"/>
    <mergeCell ref="I41:N41"/>
    <mergeCell ref="I42:N42"/>
    <mergeCell ref="I43:N43"/>
    <mergeCell ref="I44:N44"/>
    <mergeCell ref="E42:G42"/>
    <mergeCell ref="E43:G43"/>
    <mergeCell ref="E44:G44"/>
    <mergeCell ref="E45:G45"/>
    <mergeCell ref="E40:G40"/>
    <mergeCell ref="E41:G41"/>
    <mergeCell ref="I45:N45"/>
    <mergeCell ref="I46:N46"/>
    <mergeCell ref="I47:N47"/>
    <mergeCell ref="E58:G58"/>
    <mergeCell ref="E59:G59"/>
    <mergeCell ref="E60:G60"/>
    <mergeCell ref="E61:G61"/>
    <mergeCell ref="E62:G62"/>
    <mergeCell ref="E53:G53"/>
    <mergeCell ref="E54:G54"/>
    <mergeCell ref="E55:G55"/>
    <mergeCell ref="E56:G56"/>
    <mergeCell ref="E57:G57"/>
    <mergeCell ref="E48:G48"/>
    <mergeCell ref="E49:G49"/>
    <mergeCell ref="E50:G50"/>
    <mergeCell ref="E51:G51"/>
    <mergeCell ref="E52:G52"/>
    <mergeCell ref="E46:G46"/>
    <mergeCell ref="E47:G47"/>
    <mergeCell ref="I68:N68"/>
    <mergeCell ref="I48:N48"/>
    <mergeCell ref="I49:N49"/>
    <mergeCell ref="I50:N50"/>
    <mergeCell ref="I51:N51"/>
    <mergeCell ref="I52:N52"/>
    <mergeCell ref="I53:N53"/>
    <mergeCell ref="I54:N54"/>
    <mergeCell ref="I55:N55"/>
    <mergeCell ref="I56:N56"/>
    <mergeCell ref="I57:N57"/>
    <mergeCell ref="I58:N58"/>
    <mergeCell ref="I59:N59"/>
    <mergeCell ref="I60:N60"/>
    <mergeCell ref="I61:N61"/>
    <mergeCell ref="I62:N62"/>
    <mergeCell ref="I63:N63"/>
    <mergeCell ref="I64:N64"/>
    <mergeCell ref="I65:N65"/>
    <mergeCell ref="I66:N66"/>
    <mergeCell ref="I67:N67"/>
    <mergeCell ref="E68:G68"/>
    <mergeCell ref="B82:C85"/>
    <mergeCell ref="E82:G82"/>
    <mergeCell ref="E83:G83"/>
    <mergeCell ref="E84:G84"/>
    <mergeCell ref="I72:N72"/>
    <mergeCell ref="E73:G73"/>
    <mergeCell ref="I73:N73"/>
    <mergeCell ref="E74:G74"/>
    <mergeCell ref="I74:N74"/>
    <mergeCell ref="I69:N69"/>
    <mergeCell ref="E70:G70"/>
    <mergeCell ref="I70:N70"/>
    <mergeCell ref="E71:G71"/>
    <mergeCell ref="I71:N71"/>
    <mergeCell ref="E69:G69"/>
    <mergeCell ref="E72:G72"/>
    <mergeCell ref="I78:N78"/>
    <mergeCell ref="E79:G79"/>
    <mergeCell ref="I79:N79"/>
    <mergeCell ref="E80:G80"/>
    <mergeCell ref="I80:N80"/>
    <mergeCell ref="I75:N75"/>
    <mergeCell ref="E76:G76"/>
    <mergeCell ref="I76:N76"/>
    <mergeCell ref="E77:G77"/>
    <mergeCell ref="I77:N77"/>
    <mergeCell ref="E75:G75"/>
    <mergeCell ref="E78:G78"/>
    <mergeCell ref="I86:N86"/>
    <mergeCell ref="E87:G87"/>
    <mergeCell ref="I87:N87"/>
    <mergeCell ref="E88:G88"/>
    <mergeCell ref="I88:N88"/>
    <mergeCell ref="I81:N81"/>
    <mergeCell ref="E85:G85"/>
    <mergeCell ref="I85:N85"/>
    <mergeCell ref="I82:N82"/>
    <mergeCell ref="I83:N83"/>
    <mergeCell ref="I84:N84"/>
    <mergeCell ref="E81:G81"/>
    <mergeCell ref="E86:G86"/>
    <mergeCell ref="I91:N91"/>
    <mergeCell ref="E92:G92"/>
    <mergeCell ref="I92:N92"/>
    <mergeCell ref="E93:G93"/>
    <mergeCell ref="I93:N93"/>
    <mergeCell ref="I89:N89"/>
    <mergeCell ref="E90:G90"/>
    <mergeCell ref="I90:N90"/>
    <mergeCell ref="E89:G89"/>
    <mergeCell ref="E91:G91"/>
    <mergeCell ref="I97:N97"/>
    <mergeCell ref="E98:G98"/>
    <mergeCell ref="I98:N98"/>
    <mergeCell ref="E99:G99"/>
    <mergeCell ref="I99:N99"/>
    <mergeCell ref="I94:N94"/>
    <mergeCell ref="E95:G95"/>
    <mergeCell ref="I95:N95"/>
    <mergeCell ref="E96:G96"/>
    <mergeCell ref="I96:N96"/>
    <mergeCell ref="E94:G94"/>
    <mergeCell ref="E97:G97"/>
    <mergeCell ref="I100:N100"/>
    <mergeCell ref="E101:G101"/>
    <mergeCell ref="I101:N101"/>
    <mergeCell ref="E102:G102"/>
    <mergeCell ref="I102:N102"/>
    <mergeCell ref="E109:G109"/>
    <mergeCell ref="I109:N109"/>
    <mergeCell ref="E110:G110"/>
    <mergeCell ref="I110:N110"/>
    <mergeCell ref="E106:G106"/>
    <mergeCell ref="I106:N106"/>
    <mergeCell ref="E107:G107"/>
    <mergeCell ref="I107:N107"/>
    <mergeCell ref="E108:G108"/>
    <mergeCell ref="I108:N108"/>
    <mergeCell ref="E100:G100"/>
    <mergeCell ref="A105:A110"/>
    <mergeCell ref="B110:C110"/>
    <mergeCell ref="E103:G103"/>
    <mergeCell ref="I103:N103"/>
    <mergeCell ref="E104:G104"/>
    <mergeCell ref="I104:N104"/>
    <mergeCell ref="E105:G105"/>
    <mergeCell ref="I105:N105"/>
    <mergeCell ref="B103:C104"/>
    <mergeCell ref="B105:C106"/>
    <mergeCell ref="B107:C107"/>
    <mergeCell ref="B108:C109"/>
  </mergeCells>
  <pageMargins left="0.70866141732283472" right="0.70866141732283472" top="0.74803149606299213" bottom="0.74803149606299213" header="0.31496062992125984" footer="0.31496062992125984"/>
  <pageSetup scale="70"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tabColor theme="3"/>
  </sheetPr>
  <dimension ref="A1:CD278"/>
  <sheetViews>
    <sheetView showGridLines="0" zoomScaleNormal="100" workbookViewId="0">
      <pane ySplit="8" topLeftCell="A9" activePane="bottomLeft" state="frozen"/>
      <selection pane="bottomLeft" activeCell="B4" sqref="B4"/>
    </sheetView>
  </sheetViews>
  <sheetFormatPr defaultColWidth="11.42578125" defaultRowHeight="15"/>
  <cols>
    <col min="1" max="1" width="18.7109375" customWidth="1"/>
    <col min="2" max="2" width="22.7109375" customWidth="1"/>
    <col min="3" max="3" width="18.7109375" customWidth="1"/>
    <col min="4" max="4" width="38.7109375" customWidth="1"/>
    <col min="5" max="5" width="15.7109375" customWidth="1"/>
    <col min="6" max="6" width="19.7109375" customWidth="1"/>
    <col min="7" max="7" width="17.7109375" customWidth="1"/>
    <col min="8" max="82" width="19.7109375" customWidth="1"/>
    <col min="83" max="100" width="15.7109375" customWidth="1"/>
  </cols>
  <sheetData>
    <row r="1" spans="1:82" ht="60" customHeight="1">
      <c r="A1" s="22" t="s">
        <v>0</v>
      </c>
      <c r="B1" s="32"/>
      <c r="C1" s="11"/>
      <c r="D1" s="11"/>
      <c r="E1" s="11"/>
      <c r="F1" s="11"/>
      <c r="G1" s="11"/>
      <c r="H1" s="11"/>
      <c r="I1" s="11"/>
      <c r="J1" s="11"/>
      <c r="K1" s="11"/>
      <c r="L1" s="11"/>
      <c r="M1" s="11"/>
    </row>
    <row r="2" spans="1:82" ht="60" customHeight="1">
      <c r="A2" s="22"/>
      <c r="B2" s="32"/>
      <c r="C2" s="11"/>
      <c r="D2" s="11"/>
      <c r="E2" s="11"/>
      <c r="F2" s="11"/>
      <c r="G2" s="11"/>
      <c r="H2" s="11"/>
      <c r="I2" s="11"/>
      <c r="J2" s="11"/>
      <c r="K2" s="11"/>
      <c r="L2" s="11"/>
      <c r="M2" s="11"/>
    </row>
    <row r="3" spans="1:82">
      <c r="A3" s="1"/>
      <c r="B3" s="1"/>
      <c r="C3" s="1"/>
      <c r="D3" s="1"/>
      <c r="E3" s="1"/>
      <c r="F3" s="1"/>
      <c r="G3" s="1"/>
      <c r="H3" s="1"/>
      <c r="I3" s="1"/>
      <c r="J3" s="1"/>
      <c r="K3" s="1"/>
      <c r="L3" s="1"/>
      <c r="M3" s="1"/>
    </row>
    <row r="4" spans="1:82" ht="15.75">
      <c r="A4" s="1"/>
      <c r="B4" s="269" t="s">
        <v>286</v>
      </c>
      <c r="C4" s="266"/>
      <c r="D4" s="266"/>
      <c r="E4" s="266"/>
      <c r="F4" s="1"/>
      <c r="G4" s="1"/>
      <c r="H4" s="1"/>
      <c r="I4" s="1"/>
      <c r="J4" s="1"/>
      <c r="K4" s="23"/>
      <c r="L4" s="23"/>
      <c r="M4" s="23"/>
      <c r="N4" s="24"/>
      <c r="O4" s="24"/>
      <c r="P4" s="24"/>
      <c r="Q4" s="24"/>
      <c r="R4" s="24"/>
      <c r="S4" s="24"/>
      <c r="T4" s="24"/>
      <c r="U4" s="24"/>
      <c r="V4" s="24"/>
    </row>
    <row r="5" spans="1:82">
      <c r="A5" s="1"/>
      <c r="B5" s="203"/>
      <c r="C5" s="203"/>
      <c r="D5" s="203"/>
      <c r="E5" s="203"/>
      <c r="F5" s="204"/>
      <c r="G5" s="204"/>
      <c r="H5" s="1"/>
      <c r="I5" s="1"/>
      <c r="J5" s="1"/>
      <c r="K5" s="23"/>
      <c r="L5" s="23"/>
      <c r="M5" s="23"/>
      <c r="N5" s="24"/>
      <c r="O5" s="24"/>
      <c r="P5" s="24"/>
      <c r="Q5" s="24"/>
      <c r="R5" s="24"/>
      <c r="S5" s="24"/>
      <c r="T5" s="24"/>
      <c r="U5" s="24"/>
      <c r="V5" s="24"/>
    </row>
    <row r="6" spans="1:82">
      <c r="A6" s="267" t="s">
        <v>287</v>
      </c>
      <c r="B6" s="268"/>
      <c r="C6" s="268"/>
      <c r="D6" s="268"/>
      <c r="E6" s="268"/>
      <c r="F6" s="204"/>
      <c r="G6" s="204"/>
      <c r="H6" s="1"/>
      <c r="I6" s="1"/>
      <c r="J6" s="1"/>
      <c r="K6" s="23"/>
      <c r="L6" s="23"/>
      <c r="M6" s="23"/>
      <c r="N6" s="24"/>
      <c r="O6" s="24"/>
      <c r="P6" s="24"/>
      <c r="Q6" s="24"/>
      <c r="R6" s="24"/>
      <c r="S6" s="24"/>
      <c r="T6" s="24"/>
      <c r="U6" s="24"/>
      <c r="V6" s="24"/>
    </row>
    <row r="7" spans="1:82">
      <c r="A7" s="267" t="s">
        <v>288</v>
      </c>
      <c r="B7" s="268"/>
      <c r="C7" s="268"/>
      <c r="D7" s="268"/>
      <c r="E7" s="268"/>
      <c r="F7" s="204"/>
      <c r="G7" s="204"/>
      <c r="H7" s="1"/>
      <c r="I7" s="1"/>
      <c r="J7" s="1"/>
      <c r="K7" s="23"/>
      <c r="L7" s="23"/>
      <c r="M7" s="23"/>
      <c r="N7" s="24"/>
      <c r="O7" s="24"/>
      <c r="P7" s="24"/>
      <c r="Q7" s="24"/>
      <c r="R7" s="24"/>
      <c r="S7" s="24"/>
      <c r="T7" s="24"/>
      <c r="U7" s="24"/>
      <c r="V7" s="24"/>
    </row>
    <row r="8" spans="1:82">
      <c r="A8" s="1"/>
      <c r="B8" s="1"/>
      <c r="C8" s="1"/>
      <c r="D8" s="1"/>
      <c r="E8" s="1"/>
      <c r="F8" s="1"/>
      <c r="G8" s="1"/>
      <c r="H8" s="1"/>
      <c r="I8" s="1"/>
      <c r="J8" s="1"/>
      <c r="K8" s="1"/>
      <c r="L8" s="1"/>
      <c r="M8" s="1"/>
    </row>
    <row r="10" spans="1:82">
      <c r="H10" s="51"/>
      <c r="I10" s="51"/>
      <c r="J10" s="51"/>
      <c r="K10" s="51"/>
      <c r="L10" s="51"/>
      <c r="M10" s="51"/>
      <c r="N10" s="51"/>
      <c r="O10" s="51"/>
      <c r="P10" s="51"/>
      <c r="Q10" s="51"/>
      <c r="R10" s="51"/>
      <c r="S10" s="51"/>
      <c r="T10" s="51"/>
      <c r="U10" s="51"/>
      <c r="V10" s="51"/>
      <c r="W10" s="51"/>
      <c r="X10" s="51"/>
      <c r="Y10" s="51"/>
      <c r="Z10" s="51"/>
      <c r="AA10" s="51"/>
      <c r="AB10" s="51"/>
      <c r="AC10" s="51"/>
      <c r="AD10" s="51"/>
      <c r="AE10" s="51"/>
      <c r="AF10" s="51"/>
      <c r="AG10" s="51"/>
      <c r="AH10" s="51"/>
      <c r="AI10" s="51"/>
      <c r="AJ10" s="51"/>
      <c r="AK10" s="51"/>
      <c r="AL10" s="51"/>
      <c r="AM10" s="51"/>
      <c r="AN10" s="51"/>
      <c r="AO10" s="51"/>
      <c r="AP10" s="51"/>
      <c r="AQ10" s="51"/>
      <c r="AR10" s="51"/>
      <c r="AS10" s="51"/>
      <c r="AT10" s="51"/>
      <c r="AU10" s="51"/>
      <c r="AV10" s="51"/>
      <c r="AW10" s="51"/>
      <c r="AX10" s="51"/>
      <c r="AY10" s="51"/>
      <c r="AZ10" s="51"/>
      <c r="BA10" s="51"/>
      <c r="BB10" s="51"/>
      <c r="BC10" s="51"/>
      <c r="BD10" s="51"/>
      <c r="BE10" s="51"/>
      <c r="BF10" s="51"/>
      <c r="BG10" s="51"/>
      <c r="BH10" s="51"/>
      <c r="BI10" s="51"/>
      <c r="BJ10" s="51"/>
      <c r="BK10" s="51"/>
      <c r="BL10" s="51"/>
      <c r="BM10" s="51"/>
      <c r="BN10" s="51"/>
      <c r="BO10" s="51"/>
      <c r="BP10" s="51"/>
      <c r="BQ10" s="51"/>
      <c r="BR10" s="51"/>
      <c r="BS10" s="51"/>
      <c r="BT10" s="51"/>
      <c r="BU10" s="51"/>
      <c r="BV10" s="51"/>
      <c r="BW10" s="51"/>
      <c r="BX10" s="51"/>
      <c r="BY10" s="51"/>
      <c r="BZ10" s="51"/>
      <c r="CA10" s="51"/>
      <c r="CB10" s="51"/>
      <c r="CC10" s="51" t="s">
        <v>285</v>
      </c>
      <c r="CD10" s="51"/>
    </row>
    <row r="11" spans="1:82">
      <c r="A11" s="104"/>
      <c r="G11" s="43" t="s">
        <v>289</v>
      </c>
      <c r="H11" s="106" t="s">
        <v>21</v>
      </c>
      <c r="I11" s="106" t="s">
        <v>27</v>
      </c>
      <c r="J11" s="106" t="s">
        <v>30</v>
      </c>
      <c r="K11" s="106" t="s">
        <v>33</v>
      </c>
      <c r="L11" s="106" t="s">
        <v>35</v>
      </c>
      <c r="M11" s="106" t="s">
        <v>37</v>
      </c>
      <c r="N11" s="108" t="s">
        <v>39</v>
      </c>
      <c r="O11" s="108" t="s">
        <v>43</v>
      </c>
      <c r="P11" s="108" t="s">
        <v>46</v>
      </c>
      <c r="Q11" s="108" t="s">
        <v>49</v>
      </c>
      <c r="R11" s="108" t="s">
        <v>52</v>
      </c>
      <c r="S11" s="108" t="s">
        <v>56</v>
      </c>
      <c r="T11" s="108" t="s">
        <v>60</v>
      </c>
      <c r="U11" s="108" t="s">
        <v>63</v>
      </c>
      <c r="V11" s="108" t="s">
        <v>65</v>
      </c>
      <c r="W11" s="108" t="s">
        <v>67</v>
      </c>
      <c r="X11" s="108" t="s">
        <v>74</v>
      </c>
      <c r="Y11" s="108" t="s">
        <v>77</v>
      </c>
      <c r="Z11" s="108" t="s">
        <v>80</v>
      </c>
      <c r="AA11" s="108" t="s">
        <v>83</v>
      </c>
      <c r="AB11" s="108" t="s">
        <v>86</v>
      </c>
      <c r="AC11" s="108" t="s">
        <v>88</v>
      </c>
      <c r="AD11" s="108" t="s">
        <v>91</v>
      </c>
      <c r="AE11" s="108" t="s">
        <v>94</v>
      </c>
      <c r="AF11" s="108" t="s">
        <v>96</v>
      </c>
      <c r="AG11" s="108" t="s">
        <v>98</v>
      </c>
      <c r="AH11" s="108" t="s">
        <v>100</v>
      </c>
      <c r="AI11" s="108" t="s">
        <v>102</v>
      </c>
      <c r="AJ11" s="108" t="s">
        <v>105</v>
      </c>
      <c r="AK11" s="108" t="s">
        <v>107</v>
      </c>
      <c r="AL11" s="108" t="s">
        <v>120</v>
      </c>
      <c r="AM11" s="108" t="s">
        <v>123</v>
      </c>
      <c r="AN11" s="108" t="s">
        <v>132</v>
      </c>
      <c r="AO11" s="108" t="s">
        <v>135</v>
      </c>
      <c r="AP11" s="108" t="s">
        <v>137</v>
      </c>
      <c r="AQ11" s="108" t="s">
        <v>140</v>
      </c>
      <c r="AR11" s="108" t="s">
        <v>142</v>
      </c>
      <c r="AS11" s="108" t="s">
        <v>144</v>
      </c>
      <c r="AT11" s="108" t="s">
        <v>153</v>
      </c>
      <c r="AU11" s="108" t="s">
        <v>155</v>
      </c>
      <c r="AV11" s="108" t="s">
        <v>159</v>
      </c>
      <c r="AW11" s="108" t="s">
        <v>161</v>
      </c>
      <c r="AX11" s="108" t="s">
        <v>164</v>
      </c>
      <c r="AY11" s="108" t="s">
        <v>167</v>
      </c>
      <c r="AZ11" s="108" t="s">
        <v>170</v>
      </c>
      <c r="BA11" s="108" t="s">
        <v>173</v>
      </c>
      <c r="BB11" s="108" t="s">
        <v>177</v>
      </c>
      <c r="BC11" s="108" t="s">
        <v>179</v>
      </c>
      <c r="BD11" s="108" t="s">
        <v>181</v>
      </c>
      <c r="BE11" s="108" t="s">
        <v>183</v>
      </c>
      <c r="BF11" s="108" t="s">
        <v>185</v>
      </c>
      <c r="BG11" s="108" t="s">
        <v>188</v>
      </c>
      <c r="BH11" s="108" t="s">
        <v>190</v>
      </c>
      <c r="BI11" s="108" t="s">
        <v>193</v>
      </c>
      <c r="BJ11" s="108" t="s">
        <v>196</v>
      </c>
      <c r="BK11" s="108" t="s">
        <v>199</v>
      </c>
      <c r="BL11" s="108" t="s">
        <v>202</v>
      </c>
      <c r="BM11" s="108" t="s">
        <v>204</v>
      </c>
      <c r="BN11" s="108" t="s">
        <v>206</v>
      </c>
      <c r="BO11" s="108" t="s">
        <v>208</v>
      </c>
      <c r="BP11" s="108" t="s">
        <v>217</v>
      </c>
      <c r="BQ11" s="108" t="s">
        <v>220</v>
      </c>
      <c r="BR11" s="108" t="s">
        <v>223</v>
      </c>
      <c r="BS11" s="108" t="s">
        <v>226</v>
      </c>
      <c r="BT11" s="108" t="s">
        <v>229</v>
      </c>
      <c r="BU11" s="108" t="s">
        <v>234</v>
      </c>
      <c r="BV11" s="108" t="s">
        <v>251</v>
      </c>
      <c r="BW11" s="108" t="s">
        <v>254</v>
      </c>
      <c r="BX11" s="108" t="s">
        <v>256</v>
      </c>
      <c r="BY11" s="108" t="s">
        <v>258</v>
      </c>
      <c r="BZ11" s="108" t="s">
        <v>262</v>
      </c>
      <c r="CA11" s="108" t="s">
        <v>264</v>
      </c>
      <c r="CB11" s="108" t="s">
        <v>277</v>
      </c>
      <c r="CC11" s="108" t="s">
        <v>279</v>
      </c>
      <c r="CD11" s="108" t="s">
        <v>282</v>
      </c>
    </row>
    <row r="12" spans="1:82" ht="38.25">
      <c r="G12" s="43" t="s">
        <v>290</v>
      </c>
      <c r="H12" s="179" t="s">
        <v>22</v>
      </c>
      <c r="I12" s="178" t="s">
        <v>28</v>
      </c>
      <c r="J12" s="179" t="s">
        <v>31</v>
      </c>
      <c r="K12" s="178" t="s">
        <v>28</v>
      </c>
      <c r="L12" s="178" t="s">
        <v>28</v>
      </c>
      <c r="M12" s="178" t="s">
        <v>28</v>
      </c>
      <c r="N12" s="176" t="s">
        <v>40</v>
      </c>
      <c r="O12" s="176" t="s">
        <v>44</v>
      </c>
      <c r="P12" s="178" t="s">
        <v>28</v>
      </c>
      <c r="Q12" s="176" t="s">
        <v>50</v>
      </c>
      <c r="R12" s="176" t="s">
        <v>53</v>
      </c>
      <c r="S12" s="176" t="s">
        <v>22</v>
      </c>
      <c r="T12" s="176" t="s">
        <v>61</v>
      </c>
      <c r="U12" s="178" t="s">
        <v>28</v>
      </c>
      <c r="V12" s="178" t="s">
        <v>28</v>
      </c>
      <c r="W12" s="178" t="s">
        <v>28</v>
      </c>
      <c r="X12" s="178" t="s">
        <v>28</v>
      </c>
      <c r="Y12" s="178" t="s">
        <v>28</v>
      </c>
      <c r="Z12" s="178" t="s">
        <v>28</v>
      </c>
      <c r="AA12" s="178" t="s">
        <v>28</v>
      </c>
      <c r="AB12" s="178" t="s">
        <v>28</v>
      </c>
      <c r="AC12" s="178" t="s">
        <v>28</v>
      </c>
      <c r="AD12" s="176" t="s">
        <v>92</v>
      </c>
      <c r="AE12" s="176" t="s">
        <v>92</v>
      </c>
      <c r="AF12" s="178" t="s">
        <v>28</v>
      </c>
      <c r="AG12" s="178" t="s">
        <v>28</v>
      </c>
      <c r="AH12" s="178" t="s">
        <v>28</v>
      </c>
      <c r="AI12" s="178" t="s">
        <v>28</v>
      </c>
      <c r="AJ12" s="178" t="s">
        <v>28</v>
      </c>
      <c r="AK12" s="178" t="s">
        <v>28</v>
      </c>
      <c r="AL12" s="176" t="s">
        <v>121</v>
      </c>
      <c r="AM12" s="176" t="s">
        <v>124</v>
      </c>
      <c r="AN12" s="176" t="s">
        <v>133</v>
      </c>
      <c r="AO12" s="178" t="s">
        <v>28</v>
      </c>
      <c r="AP12" s="178" t="s">
        <v>28</v>
      </c>
      <c r="AQ12" s="178" t="s">
        <v>28</v>
      </c>
      <c r="AR12" s="178" t="s">
        <v>28</v>
      </c>
      <c r="AS12" s="178" t="s">
        <v>28</v>
      </c>
      <c r="AT12" s="178" t="s">
        <v>28</v>
      </c>
      <c r="AU12" s="178" t="s">
        <v>28</v>
      </c>
      <c r="AV12" s="178" t="s">
        <v>28</v>
      </c>
      <c r="AW12" s="178" t="s">
        <v>28</v>
      </c>
      <c r="AX12" s="178" t="s">
        <v>28</v>
      </c>
      <c r="AY12" s="176" t="s">
        <v>168</v>
      </c>
      <c r="AZ12" s="178" t="s">
        <v>28</v>
      </c>
      <c r="BA12" s="176" t="s">
        <v>174</v>
      </c>
      <c r="BB12" s="178" t="s">
        <v>28</v>
      </c>
      <c r="BC12" s="178" t="s">
        <v>28</v>
      </c>
      <c r="BD12" s="178" t="s">
        <v>28</v>
      </c>
      <c r="BE12" s="178" t="s">
        <v>28</v>
      </c>
      <c r="BF12" s="178" t="s">
        <v>28</v>
      </c>
      <c r="BG12" s="178" t="s">
        <v>28</v>
      </c>
      <c r="BH12" s="178" t="s">
        <v>28</v>
      </c>
      <c r="BI12" s="178" t="s">
        <v>28</v>
      </c>
      <c r="BJ12" s="176" t="s">
        <v>291</v>
      </c>
      <c r="BK12" s="178" t="s">
        <v>28</v>
      </c>
      <c r="BL12" s="178" t="s">
        <v>28</v>
      </c>
      <c r="BM12" s="178" t="s">
        <v>28</v>
      </c>
      <c r="BN12" s="178" t="s">
        <v>28</v>
      </c>
      <c r="BO12" s="178" t="s">
        <v>28</v>
      </c>
      <c r="BP12" s="178" t="s">
        <v>28</v>
      </c>
      <c r="BQ12" s="178" t="s">
        <v>28</v>
      </c>
      <c r="BR12" s="178" t="s">
        <v>28</v>
      </c>
      <c r="BS12" s="178" t="s">
        <v>28</v>
      </c>
      <c r="BT12" s="176" t="s">
        <v>230</v>
      </c>
      <c r="BU12" s="202" t="s">
        <v>235</v>
      </c>
      <c r="BV12" s="178" t="s">
        <v>28</v>
      </c>
      <c r="BW12" s="178" t="s">
        <v>28</v>
      </c>
      <c r="BX12" s="178" t="s">
        <v>28</v>
      </c>
      <c r="BY12" s="176" t="s">
        <v>292</v>
      </c>
      <c r="BZ12" s="178" t="s">
        <v>28</v>
      </c>
      <c r="CA12" s="178" t="s">
        <v>28</v>
      </c>
      <c r="CB12" s="178" t="s">
        <v>28</v>
      </c>
      <c r="CC12" s="178" t="s">
        <v>28</v>
      </c>
      <c r="CD12" s="178" t="s">
        <v>28</v>
      </c>
    </row>
    <row r="13" spans="1:82" ht="51">
      <c r="A13" s="112" t="s">
        <v>293</v>
      </c>
      <c r="G13" s="64" t="s">
        <v>294</v>
      </c>
      <c r="H13" s="178" t="s">
        <v>295</v>
      </c>
      <c r="I13" s="178" t="s">
        <v>296</v>
      </c>
      <c r="J13" s="178" t="s">
        <v>295</v>
      </c>
      <c r="K13" s="178" t="s">
        <v>296</v>
      </c>
      <c r="L13" s="178" t="s">
        <v>297</v>
      </c>
      <c r="M13" s="178" t="s">
        <v>297</v>
      </c>
      <c r="N13" s="178" t="s">
        <v>296</v>
      </c>
      <c r="O13" s="178" t="s">
        <v>295</v>
      </c>
      <c r="P13" s="176" t="s">
        <v>298</v>
      </c>
      <c r="Q13" s="178" t="s">
        <v>295</v>
      </c>
      <c r="R13" s="202" t="s">
        <v>299</v>
      </c>
      <c r="S13" s="178" t="s">
        <v>295</v>
      </c>
      <c r="T13" s="178" t="s">
        <v>295</v>
      </c>
      <c r="U13" s="176" t="s">
        <v>300</v>
      </c>
      <c r="V13" s="176" t="s">
        <v>300</v>
      </c>
      <c r="W13" s="176" t="s">
        <v>301</v>
      </c>
      <c r="X13" s="178" t="s">
        <v>297</v>
      </c>
      <c r="Y13" s="178" t="s">
        <v>297</v>
      </c>
      <c r="Z13" s="176" t="s">
        <v>302</v>
      </c>
      <c r="AA13" s="176" t="s">
        <v>303</v>
      </c>
      <c r="AB13" s="178" t="s">
        <v>297</v>
      </c>
      <c r="AC13" s="178" t="s">
        <v>297</v>
      </c>
      <c r="AD13" s="178" t="s">
        <v>304</v>
      </c>
      <c r="AE13" s="178" t="s">
        <v>304</v>
      </c>
      <c r="AF13" s="178" t="s">
        <v>297</v>
      </c>
      <c r="AG13" s="178" t="s">
        <v>297</v>
      </c>
      <c r="AH13" s="178" t="s">
        <v>297</v>
      </c>
      <c r="AI13" s="178" t="s">
        <v>297</v>
      </c>
      <c r="AJ13" s="176" t="s">
        <v>305</v>
      </c>
      <c r="AK13" s="176" t="s">
        <v>306</v>
      </c>
      <c r="AL13" s="178" t="s">
        <v>297</v>
      </c>
      <c r="AM13" s="178" t="s">
        <v>297</v>
      </c>
      <c r="AN13" s="178" t="s">
        <v>307</v>
      </c>
      <c r="AO13" s="178" t="s">
        <v>297</v>
      </c>
      <c r="AP13" s="110" t="s">
        <v>308</v>
      </c>
      <c r="AQ13" s="176" t="s">
        <v>309</v>
      </c>
      <c r="AR13" s="176" t="s">
        <v>309</v>
      </c>
      <c r="AS13" s="178" t="s">
        <v>297</v>
      </c>
      <c r="AT13" s="178" t="s">
        <v>297</v>
      </c>
      <c r="AU13" s="178" t="s">
        <v>297</v>
      </c>
      <c r="AV13" s="176" t="s">
        <v>310</v>
      </c>
      <c r="AW13" s="111" t="s">
        <v>311</v>
      </c>
      <c r="AX13" s="115" t="s">
        <v>312</v>
      </c>
      <c r="AY13" s="178" t="s">
        <v>297</v>
      </c>
      <c r="AZ13" s="176" t="s">
        <v>313</v>
      </c>
      <c r="BA13" s="178" t="s">
        <v>297</v>
      </c>
      <c r="BB13" s="176" t="s">
        <v>314</v>
      </c>
      <c r="BC13" s="178" t="s">
        <v>297</v>
      </c>
      <c r="BD13" s="178" t="s">
        <v>297</v>
      </c>
      <c r="BE13" s="178" t="s">
        <v>297</v>
      </c>
      <c r="BF13" s="176" t="s">
        <v>315</v>
      </c>
      <c r="BG13" s="178" t="s">
        <v>297</v>
      </c>
      <c r="BH13" s="178" t="s">
        <v>297</v>
      </c>
      <c r="BI13" s="178" t="s">
        <v>297</v>
      </c>
      <c r="BJ13" s="178" t="s">
        <v>297</v>
      </c>
      <c r="BK13" s="178" t="s">
        <v>316</v>
      </c>
      <c r="BL13" s="178" t="s">
        <v>317</v>
      </c>
      <c r="BM13" s="178" t="s">
        <v>317</v>
      </c>
      <c r="BN13" s="178" t="s">
        <v>317</v>
      </c>
      <c r="BO13" s="178" t="s">
        <v>295</v>
      </c>
      <c r="BP13" s="178" t="s">
        <v>316</v>
      </c>
      <c r="BQ13" s="178" t="s">
        <v>297</v>
      </c>
      <c r="BR13" s="178" t="s">
        <v>297</v>
      </c>
      <c r="BS13" s="178" t="s">
        <v>297</v>
      </c>
      <c r="BT13" s="176" t="s">
        <v>318</v>
      </c>
      <c r="BU13" s="178" t="s">
        <v>297</v>
      </c>
      <c r="BV13" s="178" t="s">
        <v>297</v>
      </c>
      <c r="BW13" s="176" t="s">
        <v>318</v>
      </c>
      <c r="BX13" s="176" t="s">
        <v>318</v>
      </c>
      <c r="BY13" s="176" t="s">
        <v>318</v>
      </c>
      <c r="BZ13" s="178" t="s">
        <v>297</v>
      </c>
      <c r="CA13" s="178" t="s">
        <v>297</v>
      </c>
      <c r="CB13" s="176" t="s">
        <v>318</v>
      </c>
      <c r="CC13" s="176" t="s">
        <v>319</v>
      </c>
      <c r="CD13" s="178" t="s">
        <v>297</v>
      </c>
    </row>
    <row r="14" spans="1:82" ht="140.25">
      <c r="A14" s="43" t="s">
        <v>320</v>
      </c>
      <c r="B14" s="43" t="s">
        <v>321</v>
      </c>
      <c r="C14" s="43" t="s">
        <v>322</v>
      </c>
      <c r="D14" s="43" t="s">
        <v>323</v>
      </c>
      <c r="E14" s="43" t="s">
        <v>324</v>
      </c>
      <c r="F14" s="43" t="s">
        <v>25</v>
      </c>
      <c r="G14" s="43" t="s">
        <v>325</v>
      </c>
      <c r="H14" s="64" t="s">
        <v>24</v>
      </c>
      <c r="I14" s="64" t="s">
        <v>326</v>
      </c>
      <c r="J14" s="64" t="s">
        <v>32</v>
      </c>
      <c r="K14" s="64" t="s">
        <v>327</v>
      </c>
      <c r="L14" s="64" t="s">
        <v>328</v>
      </c>
      <c r="M14" s="64" t="s">
        <v>38</v>
      </c>
      <c r="N14" s="64" t="s">
        <v>41</v>
      </c>
      <c r="O14" s="37" t="s">
        <v>45</v>
      </c>
      <c r="P14" s="64" t="s">
        <v>329</v>
      </c>
      <c r="Q14" s="37" t="s">
        <v>51</v>
      </c>
      <c r="R14" s="37" t="s">
        <v>330</v>
      </c>
      <c r="S14" s="37" t="s">
        <v>57</v>
      </c>
      <c r="T14" s="38" t="s">
        <v>62</v>
      </c>
      <c r="U14" s="64" t="s">
        <v>331</v>
      </c>
      <c r="V14" s="64" t="s">
        <v>332</v>
      </c>
      <c r="W14" s="64" t="s">
        <v>68</v>
      </c>
      <c r="X14" s="64" t="s">
        <v>76</v>
      </c>
      <c r="Y14" s="37" t="s">
        <v>78</v>
      </c>
      <c r="Z14" s="37" t="s">
        <v>81</v>
      </c>
      <c r="AA14" s="64" t="s">
        <v>84</v>
      </c>
      <c r="AB14" s="64" t="s">
        <v>87</v>
      </c>
      <c r="AC14" s="64" t="s">
        <v>89</v>
      </c>
      <c r="AD14" s="64" t="s">
        <v>93</v>
      </c>
      <c r="AE14" s="64" t="s">
        <v>95</v>
      </c>
      <c r="AF14" s="64" t="s">
        <v>333</v>
      </c>
      <c r="AG14" s="64" t="s">
        <v>99</v>
      </c>
      <c r="AH14" s="64" t="s">
        <v>101</v>
      </c>
      <c r="AI14" s="64" t="s">
        <v>103</v>
      </c>
      <c r="AJ14" s="64" t="s">
        <v>106</v>
      </c>
      <c r="AK14" s="80" t="s">
        <v>108</v>
      </c>
      <c r="AL14" s="64" t="s">
        <v>122</v>
      </c>
      <c r="AM14" s="64" t="s">
        <v>125</v>
      </c>
      <c r="AN14" s="64" t="s">
        <v>134</v>
      </c>
      <c r="AO14" s="36" t="s">
        <v>136</v>
      </c>
      <c r="AP14" s="64" t="s">
        <v>138</v>
      </c>
      <c r="AQ14" s="38" t="s">
        <v>141</v>
      </c>
      <c r="AR14" s="37" t="s">
        <v>143</v>
      </c>
      <c r="AS14" s="64" t="s">
        <v>145</v>
      </c>
      <c r="AT14" s="64" t="s">
        <v>334</v>
      </c>
      <c r="AU14" s="64" t="s">
        <v>156</v>
      </c>
      <c r="AV14" s="80" t="s">
        <v>160</v>
      </c>
      <c r="AW14" s="64" t="s">
        <v>162</v>
      </c>
      <c r="AX14" s="64" t="s">
        <v>165</v>
      </c>
      <c r="AY14" s="64" t="s">
        <v>169</v>
      </c>
      <c r="AZ14" s="80" t="s">
        <v>171</v>
      </c>
      <c r="BA14" s="80" t="s">
        <v>175</v>
      </c>
      <c r="BB14" s="80" t="s">
        <v>178</v>
      </c>
      <c r="BC14" s="80" t="s">
        <v>180</v>
      </c>
      <c r="BD14" s="80" t="s">
        <v>182</v>
      </c>
      <c r="BE14" s="80" t="s">
        <v>335</v>
      </c>
      <c r="BF14" s="80" t="s">
        <v>336</v>
      </c>
      <c r="BG14" s="80" t="s">
        <v>189</v>
      </c>
      <c r="BH14" s="80" t="s">
        <v>191</v>
      </c>
      <c r="BI14" s="80" t="s">
        <v>194</v>
      </c>
      <c r="BJ14" s="80" t="s">
        <v>198</v>
      </c>
      <c r="BK14" s="80" t="s">
        <v>200</v>
      </c>
      <c r="BL14" s="80" t="s">
        <v>337</v>
      </c>
      <c r="BM14" s="80" t="s">
        <v>338</v>
      </c>
      <c r="BN14" s="80" t="s">
        <v>339</v>
      </c>
      <c r="BO14" s="80" t="s">
        <v>209</v>
      </c>
      <c r="BP14" s="80" t="s">
        <v>340</v>
      </c>
      <c r="BQ14" s="80" t="s">
        <v>221</v>
      </c>
      <c r="BR14" s="80" t="s">
        <v>224</v>
      </c>
      <c r="BS14" s="80" t="s">
        <v>341</v>
      </c>
      <c r="BT14" s="80" t="s">
        <v>231</v>
      </c>
      <c r="BU14" s="80" t="s">
        <v>342</v>
      </c>
      <c r="BV14" s="64" t="s">
        <v>343</v>
      </c>
      <c r="BW14" s="64" t="s">
        <v>344</v>
      </c>
      <c r="BX14" s="64" t="s">
        <v>345</v>
      </c>
      <c r="BY14" s="64" t="s">
        <v>260</v>
      </c>
      <c r="BZ14" s="64" t="s">
        <v>263</v>
      </c>
      <c r="CA14" s="64" t="s">
        <v>265</v>
      </c>
      <c r="CB14" s="64" t="s">
        <v>346</v>
      </c>
      <c r="CC14" s="64" t="s">
        <v>280</v>
      </c>
      <c r="CD14" s="64" t="s">
        <v>283</v>
      </c>
    </row>
    <row r="15" spans="1:82">
      <c r="A15" s="8" t="s">
        <v>347</v>
      </c>
      <c r="B15" s="8" t="s">
        <v>348</v>
      </c>
      <c r="C15" s="30" t="s">
        <v>349</v>
      </c>
      <c r="D15" s="8" t="s">
        <v>350</v>
      </c>
      <c r="E15" s="31">
        <v>1001</v>
      </c>
      <c r="F15" s="8" t="s">
        <v>348</v>
      </c>
      <c r="G15" s="9">
        <v>1101</v>
      </c>
      <c r="H15" s="46">
        <v>282.38</v>
      </c>
      <c r="I15" s="50">
        <v>1.72</v>
      </c>
      <c r="J15" s="48">
        <v>2047.55</v>
      </c>
      <c r="K15" s="52">
        <v>0.84</v>
      </c>
      <c r="L15" s="52">
        <v>82.4</v>
      </c>
      <c r="M15" s="49">
        <v>83.76</v>
      </c>
      <c r="N15" s="52">
        <v>2.13</v>
      </c>
      <c r="O15" s="44">
        <v>1044.58</v>
      </c>
      <c r="P15" s="45">
        <v>16.34</v>
      </c>
      <c r="Q15" s="65">
        <v>505.99</v>
      </c>
      <c r="R15" s="53">
        <v>0.93</v>
      </c>
      <c r="S15" s="47">
        <v>566.1</v>
      </c>
      <c r="T15" s="60">
        <v>248</v>
      </c>
      <c r="U15" s="125">
        <v>4.45</v>
      </c>
      <c r="V15" s="124" t="s">
        <v>351</v>
      </c>
      <c r="W15" s="125">
        <v>20.97</v>
      </c>
      <c r="X15" s="126">
        <v>2.2799999999999998</v>
      </c>
      <c r="Y15" s="31">
        <v>54.38</v>
      </c>
      <c r="Z15" s="116" t="s">
        <v>352</v>
      </c>
      <c r="AA15" s="131">
        <v>1</v>
      </c>
      <c r="AB15" s="125">
        <v>31.5</v>
      </c>
      <c r="AC15" s="125">
        <v>61.2</v>
      </c>
      <c r="AD15" s="137">
        <v>30</v>
      </c>
      <c r="AE15" s="140">
        <v>35</v>
      </c>
      <c r="AF15" s="116" t="s">
        <v>352</v>
      </c>
      <c r="AG15" s="116" t="s">
        <v>352</v>
      </c>
      <c r="AH15" s="116" t="s">
        <v>352</v>
      </c>
      <c r="AI15" s="116" t="s">
        <v>352</v>
      </c>
      <c r="AJ15" s="150">
        <v>4.78</v>
      </c>
      <c r="AK15" s="150">
        <v>362.93</v>
      </c>
      <c r="AL15" s="123" t="s">
        <v>351</v>
      </c>
      <c r="AM15" s="123" t="s">
        <v>351</v>
      </c>
      <c r="AN15" s="122">
        <v>1.614066253121881</v>
      </c>
      <c r="AO15" s="116" t="s">
        <v>352</v>
      </c>
      <c r="AP15" s="125">
        <v>12.13</v>
      </c>
      <c r="AQ15" s="126">
        <v>783.84</v>
      </c>
      <c r="AR15" s="54">
        <v>707.65</v>
      </c>
      <c r="AS15" s="200" t="s">
        <v>351</v>
      </c>
      <c r="AT15" s="116" t="s">
        <v>352</v>
      </c>
      <c r="AU15" s="116" t="s">
        <v>352</v>
      </c>
      <c r="AV15" s="163">
        <v>643.6567737967091</v>
      </c>
      <c r="AW15" s="165">
        <v>19.988157147018516</v>
      </c>
      <c r="AX15" s="164">
        <v>13.15</v>
      </c>
      <c r="AY15" s="134">
        <v>23.13</v>
      </c>
      <c r="AZ15" s="116" t="s">
        <v>352</v>
      </c>
      <c r="BA15" s="57">
        <v>11.79</v>
      </c>
      <c r="BB15" s="60">
        <v>6949</v>
      </c>
      <c r="BC15" s="168">
        <v>9.92</v>
      </c>
      <c r="BD15" s="168">
        <v>4.4400000000000004</v>
      </c>
      <c r="BE15" s="116" t="s">
        <v>352</v>
      </c>
      <c r="BF15" s="116" t="s">
        <v>352</v>
      </c>
      <c r="BG15" s="169">
        <v>5.33</v>
      </c>
      <c r="BH15" s="170">
        <v>17.260000000000002</v>
      </c>
      <c r="BI15" s="116" t="s">
        <v>352</v>
      </c>
      <c r="BJ15" s="173">
        <v>55.555555555555557</v>
      </c>
      <c r="BK15" s="119">
        <v>0.34942490717800456</v>
      </c>
      <c r="BL15" s="162">
        <v>133.42310979948331</v>
      </c>
      <c r="BM15" s="162">
        <v>203.33414514180384</v>
      </c>
      <c r="BN15" s="162">
        <v>80.703312656094056</v>
      </c>
      <c r="BO15" s="60">
        <v>3343</v>
      </c>
      <c r="BP15" s="59">
        <v>0.09</v>
      </c>
      <c r="BQ15" s="126">
        <v>29.94</v>
      </c>
      <c r="BR15" s="116" t="s">
        <v>352</v>
      </c>
      <c r="BS15" s="184">
        <v>8.49</v>
      </c>
      <c r="BT15" s="124" t="s">
        <v>353</v>
      </c>
      <c r="BU15" s="131">
        <v>8.3800000000000008</v>
      </c>
      <c r="BV15" s="54">
        <v>2.89</v>
      </c>
      <c r="BW15" s="177" t="s">
        <v>354</v>
      </c>
      <c r="BX15" s="177" t="s">
        <v>354</v>
      </c>
      <c r="BY15" s="189" t="s">
        <v>355</v>
      </c>
      <c r="BZ15" s="191">
        <v>0</v>
      </c>
      <c r="CA15" s="191">
        <v>0</v>
      </c>
      <c r="CB15" s="124" t="s">
        <v>353</v>
      </c>
      <c r="CC15" s="41">
        <v>1704.8</v>
      </c>
      <c r="CD15" s="199">
        <v>29.65</v>
      </c>
    </row>
    <row r="16" spans="1:82">
      <c r="A16" s="3" t="s">
        <v>347</v>
      </c>
      <c r="B16" s="3" t="s">
        <v>348</v>
      </c>
      <c r="C16" s="27" t="s">
        <v>349</v>
      </c>
      <c r="D16" s="3" t="s">
        <v>350</v>
      </c>
      <c r="E16" s="29">
        <v>1001</v>
      </c>
      <c r="F16" s="3" t="s">
        <v>356</v>
      </c>
      <c r="G16" s="4">
        <v>1107</v>
      </c>
      <c r="H16" s="39">
        <v>274.86</v>
      </c>
      <c r="I16" s="40">
        <v>2.87</v>
      </c>
      <c r="J16" s="41">
        <v>1827.35</v>
      </c>
      <c r="K16" s="54">
        <v>1.1399999999999999</v>
      </c>
      <c r="L16" s="54">
        <v>80.91</v>
      </c>
      <c r="M16" s="57">
        <v>85.39</v>
      </c>
      <c r="N16" s="54">
        <v>3.29</v>
      </c>
      <c r="O16" s="58">
        <v>1067.96</v>
      </c>
      <c r="P16" s="59">
        <v>32.75</v>
      </c>
      <c r="Q16" s="60">
        <v>496.12</v>
      </c>
      <c r="R16" s="61">
        <v>0.91</v>
      </c>
      <c r="S16" s="62">
        <v>535.97</v>
      </c>
      <c r="T16" s="60">
        <v>269</v>
      </c>
      <c r="U16" s="125">
        <v>3.88</v>
      </c>
      <c r="V16" s="124" t="s">
        <v>351</v>
      </c>
      <c r="W16" s="125">
        <v>6.76</v>
      </c>
      <c r="X16" s="126">
        <v>1.56</v>
      </c>
      <c r="Y16" s="31">
        <v>41.82</v>
      </c>
      <c r="Z16" s="116" t="s">
        <v>352</v>
      </c>
      <c r="AA16" s="29">
        <v>1.1299999999999999</v>
      </c>
      <c r="AB16" s="125">
        <v>26.4</v>
      </c>
      <c r="AC16" s="125">
        <v>71.400000000000006</v>
      </c>
      <c r="AD16" s="137">
        <v>45</v>
      </c>
      <c r="AE16" s="140">
        <v>60</v>
      </c>
      <c r="AF16" s="116" t="s">
        <v>352</v>
      </c>
      <c r="AG16" s="116" t="s">
        <v>352</v>
      </c>
      <c r="AH16" s="116" t="s">
        <v>352</v>
      </c>
      <c r="AI16" s="116" t="s">
        <v>352</v>
      </c>
      <c r="AJ16" s="150">
        <v>3.38</v>
      </c>
      <c r="AK16" s="150">
        <v>294.82</v>
      </c>
      <c r="AL16" s="123" t="s">
        <v>351</v>
      </c>
      <c r="AM16" s="123" t="s">
        <v>351</v>
      </c>
      <c r="AN16" s="122">
        <v>1.3544608927883937</v>
      </c>
      <c r="AO16" s="116" t="s">
        <v>352</v>
      </c>
      <c r="AP16" s="123" t="s">
        <v>351</v>
      </c>
      <c r="AQ16" s="126">
        <v>487.12</v>
      </c>
      <c r="AR16" s="54">
        <v>226.22</v>
      </c>
      <c r="AS16" s="200" t="s">
        <v>351</v>
      </c>
      <c r="AT16" s="116" t="s">
        <v>352</v>
      </c>
      <c r="AU16" s="116" t="s">
        <v>352</v>
      </c>
      <c r="AV16" s="163">
        <v>281.56059015988643</v>
      </c>
      <c r="AW16" s="165">
        <v>7.7057586227286938</v>
      </c>
      <c r="AX16" s="164">
        <v>17.79</v>
      </c>
      <c r="AY16" s="134">
        <v>28.03</v>
      </c>
      <c r="AZ16" s="116" t="s">
        <v>352</v>
      </c>
      <c r="BA16" s="57">
        <v>23.23</v>
      </c>
      <c r="BB16" s="60">
        <v>4978</v>
      </c>
      <c r="BC16" s="168">
        <v>15.32</v>
      </c>
      <c r="BD16" s="168">
        <v>3.19</v>
      </c>
      <c r="BE16" s="116" t="s">
        <v>352</v>
      </c>
      <c r="BF16" s="116" t="s">
        <v>352</v>
      </c>
      <c r="BG16" s="169">
        <v>8.51</v>
      </c>
      <c r="BH16" s="170">
        <v>23.18</v>
      </c>
      <c r="BI16" s="116" t="s">
        <v>352</v>
      </c>
      <c r="BJ16" s="174" t="s">
        <v>357</v>
      </c>
      <c r="BK16" s="175" t="s">
        <v>357</v>
      </c>
      <c r="BL16" s="162">
        <v>115.89893477728315</v>
      </c>
      <c r="BM16" s="162">
        <v>136.84859645714189</v>
      </c>
      <c r="BN16" s="162">
        <v>87.853419947794791</v>
      </c>
      <c r="BO16" s="60">
        <v>2110</v>
      </c>
      <c r="BP16" s="59">
        <v>0.01</v>
      </c>
      <c r="BQ16" s="182" t="s">
        <v>358</v>
      </c>
      <c r="BR16" s="116" t="s">
        <v>352</v>
      </c>
      <c r="BS16" s="184">
        <v>7.61</v>
      </c>
      <c r="BT16" s="124" t="s">
        <v>355</v>
      </c>
      <c r="BU16" s="131">
        <v>55.38</v>
      </c>
      <c r="BV16" s="54">
        <v>0</v>
      </c>
      <c r="BW16" s="177" t="s">
        <v>354</v>
      </c>
      <c r="BX16" s="177" t="s">
        <v>354</v>
      </c>
      <c r="BY16" s="189" t="s">
        <v>355</v>
      </c>
      <c r="BZ16" s="190" t="s">
        <v>359</v>
      </c>
      <c r="CA16" s="190" t="s">
        <v>359</v>
      </c>
      <c r="CB16" s="124" t="s">
        <v>351</v>
      </c>
      <c r="CC16" s="39" t="s">
        <v>351</v>
      </c>
      <c r="CD16" s="199">
        <v>29.09</v>
      </c>
    </row>
    <row r="17" spans="1:82">
      <c r="A17" s="3" t="s">
        <v>360</v>
      </c>
      <c r="B17" s="3" t="s">
        <v>360</v>
      </c>
      <c r="C17" s="27" t="s">
        <v>349</v>
      </c>
      <c r="D17" s="3" t="s">
        <v>360</v>
      </c>
      <c r="E17" s="29">
        <v>2101</v>
      </c>
      <c r="F17" s="3" t="s">
        <v>360</v>
      </c>
      <c r="G17" s="4">
        <v>2101</v>
      </c>
      <c r="H17" s="39">
        <v>425.99</v>
      </c>
      <c r="I17" s="40">
        <v>2.4700000000000002</v>
      </c>
      <c r="J17" s="41">
        <v>1420.31</v>
      </c>
      <c r="K17" s="54">
        <v>1.03</v>
      </c>
      <c r="L17" s="54">
        <v>54.86</v>
      </c>
      <c r="M17" s="57">
        <v>93</v>
      </c>
      <c r="N17" s="54">
        <v>2.31</v>
      </c>
      <c r="O17" s="58">
        <v>1320.59</v>
      </c>
      <c r="P17" s="59">
        <v>6.44</v>
      </c>
      <c r="Q17" s="60">
        <v>688.99</v>
      </c>
      <c r="R17" s="61">
        <v>0.88</v>
      </c>
      <c r="S17" s="62">
        <v>831.55</v>
      </c>
      <c r="T17" s="60">
        <v>327</v>
      </c>
      <c r="U17" s="125">
        <v>6.44</v>
      </c>
      <c r="V17" s="124" t="s">
        <v>351</v>
      </c>
      <c r="W17" s="125">
        <v>5.56</v>
      </c>
      <c r="X17" s="126">
        <v>2.74</v>
      </c>
      <c r="Y17" s="31">
        <v>46.4</v>
      </c>
      <c r="Z17" s="116" t="s">
        <v>352</v>
      </c>
      <c r="AA17" s="131">
        <v>1</v>
      </c>
      <c r="AB17" s="125">
        <v>34.1</v>
      </c>
      <c r="AC17" s="125">
        <v>63.3</v>
      </c>
      <c r="AD17" s="138">
        <v>40</v>
      </c>
      <c r="AE17" s="140">
        <v>55</v>
      </c>
      <c r="AF17" s="116" t="s">
        <v>352</v>
      </c>
      <c r="AG17" s="116" t="s">
        <v>352</v>
      </c>
      <c r="AH17" s="116" t="s">
        <v>352</v>
      </c>
      <c r="AI17" s="116" t="s">
        <v>352</v>
      </c>
      <c r="AJ17" s="150">
        <v>5.56</v>
      </c>
      <c r="AK17" s="150">
        <v>259.49</v>
      </c>
      <c r="AL17" s="123" t="s">
        <v>351</v>
      </c>
      <c r="AM17" s="123" t="s">
        <v>351</v>
      </c>
      <c r="AN17" s="122">
        <v>1.2417520119268617</v>
      </c>
      <c r="AO17" s="116" t="s">
        <v>352</v>
      </c>
      <c r="AP17" s="123" t="s">
        <v>351</v>
      </c>
      <c r="AQ17" s="126">
        <v>701.21</v>
      </c>
      <c r="AR17" s="54">
        <v>807.42</v>
      </c>
      <c r="AS17" s="200">
        <v>2.6459216403645479E-2</v>
      </c>
      <c r="AT17" s="116" t="s">
        <v>352</v>
      </c>
      <c r="AU17" s="116" t="s">
        <v>352</v>
      </c>
      <c r="AV17" s="163">
        <v>734.11760427651916</v>
      </c>
      <c r="AW17" s="165">
        <v>20.423028577065004</v>
      </c>
      <c r="AX17" s="164">
        <v>11.44</v>
      </c>
      <c r="AY17" s="134">
        <v>34.159999999999997</v>
      </c>
      <c r="AZ17" s="116" t="s">
        <v>352</v>
      </c>
      <c r="BA17" s="57">
        <v>11.47</v>
      </c>
      <c r="BB17" s="60">
        <v>13240</v>
      </c>
      <c r="BC17" s="168">
        <v>7.73</v>
      </c>
      <c r="BD17" s="168">
        <v>4.34</v>
      </c>
      <c r="BE17" s="116" t="s">
        <v>352</v>
      </c>
      <c r="BF17" s="116" t="s">
        <v>352</v>
      </c>
      <c r="BG17" s="169">
        <v>5.12</v>
      </c>
      <c r="BH17" s="170">
        <v>13.95</v>
      </c>
      <c r="BI17" s="116" t="s">
        <v>352</v>
      </c>
      <c r="BJ17" s="173">
        <v>73.333333333333329</v>
      </c>
      <c r="BK17" s="119">
        <v>0.40167387058115667</v>
      </c>
      <c r="BL17" s="162">
        <v>95.602536249294999</v>
      </c>
      <c r="BM17" s="162">
        <v>133.16067549008946</v>
      </c>
      <c r="BN17" s="162">
        <v>56.552188109371329</v>
      </c>
      <c r="BO17" s="60">
        <v>1887</v>
      </c>
      <c r="BP17" s="59">
        <v>0</v>
      </c>
      <c r="BQ17" s="126">
        <v>1.76</v>
      </c>
      <c r="BR17" s="116" t="s">
        <v>352</v>
      </c>
      <c r="BS17" s="184">
        <v>20.69</v>
      </c>
      <c r="BT17" s="124" t="s">
        <v>353</v>
      </c>
      <c r="BU17" s="131">
        <v>14.12</v>
      </c>
      <c r="BV17" s="54">
        <v>3.35</v>
      </c>
      <c r="BW17" s="189" t="s">
        <v>353</v>
      </c>
      <c r="BX17" s="189" t="s">
        <v>355</v>
      </c>
      <c r="BY17" s="189" t="s">
        <v>353</v>
      </c>
      <c r="BZ17" s="191">
        <v>0</v>
      </c>
      <c r="CA17" s="191">
        <v>0</v>
      </c>
      <c r="CB17" s="124" t="s">
        <v>351</v>
      </c>
      <c r="CC17" s="39" t="s">
        <v>351</v>
      </c>
      <c r="CD17" s="199">
        <v>25.43</v>
      </c>
    </row>
    <row r="18" spans="1:82">
      <c r="A18" s="3" t="s">
        <v>360</v>
      </c>
      <c r="B18" s="3" t="s">
        <v>361</v>
      </c>
      <c r="C18" s="27" t="s">
        <v>349</v>
      </c>
      <c r="D18" s="3" t="s">
        <v>362</v>
      </c>
      <c r="E18" s="29">
        <v>2201</v>
      </c>
      <c r="F18" s="3" t="s">
        <v>362</v>
      </c>
      <c r="G18" s="4">
        <v>2201</v>
      </c>
      <c r="H18" s="39">
        <v>273.83</v>
      </c>
      <c r="I18" s="40">
        <v>3.98</v>
      </c>
      <c r="J18" s="41">
        <v>1926.28</v>
      </c>
      <c r="K18" s="54">
        <v>1.18</v>
      </c>
      <c r="L18" s="54">
        <v>80.239999999999995</v>
      </c>
      <c r="M18" s="57">
        <v>83.1</v>
      </c>
      <c r="N18" s="54">
        <v>4.17</v>
      </c>
      <c r="O18" s="58">
        <v>1023.18</v>
      </c>
      <c r="P18" s="59">
        <v>12.69</v>
      </c>
      <c r="Q18" s="60">
        <v>633.01</v>
      </c>
      <c r="R18" s="61">
        <v>0.86</v>
      </c>
      <c r="S18" s="62">
        <v>885.45</v>
      </c>
      <c r="T18" s="60">
        <v>553</v>
      </c>
      <c r="U18" s="124" t="s">
        <v>351</v>
      </c>
      <c r="V18" s="124" t="s">
        <v>351</v>
      </c>
      <c r="W18" s="124" t="s">
        <v>351</v>
      </c>
      <c r="X18" s="126">
        <v>2.41</v>
      </c>
      <c r="Y18" s="31">
        <v>73.87</v>
      </c>
      <c r="Z18" s="116" t="s">
        <v>352</v>
      </c>
      <c r="AA18" s="127" t="s">
        <v>351</v>
      </c>
      <c r="AB18" s="124" t="s">
        <v>351</v>
      </c>
      <c r="AC18" s="124" t="s">
        <v>351</v>
      </c>
      <c r="AD18" s="139" t="s">
        <v>351</v>
      </c>
      <c r="AE18" s="127" t="s">
        <v>351</v>
      </c>
      <c r="AF18" s="116" t="s">
        <v>352</v>
      </c>
      <c r="AG18" s="116" t="s">
        <v>352</v>
      </c>
      <c r="AH18" s="116" t="s">
        <v>352</v>
      </c>
      <c r="AI18" s="116" t="s">
        <v>352</v>
      </c>
      <c r="AJ18" s="150">
        <v>7.88</v>
      </c>
      <c r="AK18" s="150">
        <v>281.45999999999998</v>
      </c>
      <c r="AL18" s="123" t="s">
        <v>351</v>
      </c>
      <c r="AM18" s="123" t="s">
        <v>351</v>
      </c>
      <c r="AN18" s="122">
        <v>0.91395453962895667</v>
      </c>
      <c r="AO18" s="116" t="s">
        <v>352</v>
      </c>
      <c r="AP18" s="123" t="s">
        <v>351</v>
      </c>
      <c r="AQ18" s="126">
        <v>700.94</v>
      </c>
      <c r="AR18" s="54">
        <v>585.42999999999995</v>
      </c>
      <c r="AS18" s="200">
        <v>3.4824486938942133E-3</v>
      </c>
      <c r="AT18" s="116" t="s">
        <v>352</v>
      </c>
      <c r="AU18" s="116" t="s">
        <v>352</v>
      </c>
      <c r="AV18" s="163">
        <v>658.17385508902214</v>
      </c>
      <c r="AW18" s="165">
        <v>19.457110368043594</v>
      </c>
      <c r="AX18" s="164">
        <v>10.8</v>
      </c>
      <c r="AY18" s="134">
        <v>40.57</v>
      </c>
      <c r="AZ18" s="116" t="s">
        <v>352</v>
      </c>
      <c r="BA18" s="57">
        <v>15.23</v>
      </c>
      <c r="BB18" s="60">
        <v>4884</v>
      </c>
      <c r="BC18" s="168">
        <v>10.29</v>
      </c>
      <c r="BD18" s="168">
        <v>2.77</v>
      </c>
      <c r="BE18" s="116" t="s">
        <v>352</v>
      </c>
      <c r="BF18" s="116" t="s">
        <v>352</v>
      </c>
      <c r="BG18" s="169">
        <v>4.97</v>
      </c>
      <c r="BH18" s="170">
        <v>21.86</v>
      </c>
      <c r="BI18" s="116" t="s">
        <v>352</v>
      </c>
      <c r="BJ18" s="174" t="s">
        <v>351</v>
      </c>
      <c r="BK18" s="119" t="s">
        <v>351</v>
      </c>
      <c r="BL18" s="162">
        <v>121.255108589185</v>
      </c>
      <c r="BM18" s="162">
        <v>213.57561837853663</v>
      </c>
      <c r="BN18" s="162">
        <v>64.680649846320136</v>
      </c>
      <c r="BO18" s="60">
        <v>2129</v>
      </c>
      <c r="BP18" s="59">
        <v>0</v>
      </c>
      <c r="BQ18" s="180" t="s">
        <v>358</v>
      </c>
      <c r="BR18" s="116" t="s">
        <v>352</v>
      </c>
      <c r="BS18" s="184">
        <v>16.45</v>
      </c>
      <c r="BT18" s="124" t="s">
        <v>355</v>
      </c>
      <c r="BU18" s="131">
        <v>20.81</v>
      </c>
      <c r="BV18" s="54">
        <v>0</v>
      </c>
      <c r="BW18" s="189" t="s">
        <v>353</v>
      </c>
      <c r="BX18" s="189" t="s">
        <v>355</v>
      </c>
      <c r="BY18" s="189" t="s">
        <v>353</v>
      </c>
      <c r="BZ18" s="191">
        <v>0</v>
      </c>
      <c r="CA18" s="191">
        <v>0</v>
      </c>
      <c r="CB18" s="124" t="s">
        <v>351</v>
      </c>
      <c r="CC18" s="39" t="s">
        <v>351</v>
      </c>
      <c r="CD18" s="199">
        <v>28.32</v>
      </c>
    </row>
    <row r="19" spans="1:82">
      <c r="A19" s="3" t="s">
        <v>363</v>
      </c>
      <c r="B19" s="3" t="s">
        <v>364</v>
      </c>
      <c r="C19" s="27" t="s">
        <v>349</v>
      </c>
      <c r="D19" s="3" t="s">
        <v>365</v>
      </c>
      <c r="E19" s="29">
        <v>3001</v>
      </c>
      <c r="F19" s="3" t="s">
        <v>364</v>
      </c>
      <c r="G19" s="4">
        <v>3101</v>
      </c>
      <c r="H19" s="39">
        <v>245.02</v>
      </c>
      <c r="I19" s="40">
        <v>3.92</v>
      </c>
      <c r="J19" s="41">
        <v>1882.55</v>
      </c>
      <c r="K19" s="54">
        <v>2.19</v>
      </c>
      <c r="L19" s="54">
        <v>84.75</v>
      </c>
      <c r="M19" s="57">
        <v>86.59</v>
      </c>
      <c r="N19" s="54">
        <v>5.22</v>
      </c>
      <c r="O19" s="58">
        <v>1227.97</v>
      </c>
      <c r="P19" s="59">
        <v>15.06</v>
      </c>
      <c r="Q19" s="60">
        <v>675.45</v>
      </c>
      <c r="R19" s="61">
        <v>0.91</v>
      </c>
      <c r="S19" s="62">
        <v>577.84</v>
      </c>
      <c r="T19" s="60">
        <v>285</v>
      </c>
      <c r="U19" s="124" t="s">
        <v>351</v>
      </c>
      <c r="V19" s="124" t="s">
        <v>351</v>
      </c>
      <c r="W19" s="124" t="s">
        <v>351</v>
      </c>
      <c r="X19" s="126">
        <v>5.3</v>
      </c>
      <c r="Y19" s="31">
        <v>71.27</v>
      </c>
      <c r="Z19" s="116" t="s">
        <v>352</v>
      </c>
      <c r="AA19" s="29">
        <v>1.17</v>
      </c>
      <c r="AB19" s="125">
        <v>29.2</v>
      </c>
      <c r="AC19" s="125">
        <v>61</v>
      </c>
      <c r="AD19" s="137">
        <v>35</v>
      </c>
      <c r="AE19" s="140">
        <v>45</v>
      </c>
      <c r="AF19" s="116" t="s">
        <v>352</v>
      </c>
      <c r="AG19" s="116" t="s">
        <v>352</v>
      </c>
      <c r="AH19" s="116" t="s">
        <v>352</v>
      </c>
      <c r="AI19" s="116" t="s">
        <v>352</v>
      </c>
      <c r="AJ19" s="150">
        <v>7.77</v>
      </c>
      <c r="AK19" s="150">
        <v>227.81</v>
      </c>
      <c r="AL19" s="123" t="s">
        <v>351</v>
      </c>
      <c r="AM19" s="123" t="s">
        <v>351</v>
      </c>
      <c r="AN19" s="122">
        <v>1.4380660425963001</v>
      </c>
      <c r="AO19" s="116" t="s">
        <v>352</v>
      </c>
      <c r="AP19" s="123" t="s">
        <v>351</v>
      </c>
      <c r="AQ19" s="126">
        <v>649.13</v>
      </c>
      <c r="AR19" s="54">
        <v>643.04</v>
      </c>
      <c r="AS19" s="200">
        <v>0.47701958945815154</v>
      </c>
      <c r="AT19" s="116" t="s">
        <v>352</v>
      </c>
      <c r="AU19" s="116" t="s">
        <v>352</v>
      </c>
      <c r="AV19" s="163">
        <v>579.06342265575358</v>
      </c>
      <c r="AW19" s="165">
        <v>18.528838449671735</v>
      </c>
      <c r="AX19" s="164">
        <v>11.89</v>
      </c>
      <c r="AY19" s="134">
        <v>72</v>
      </c>
      <c r="AZ19" s="116" t="s">
        <v>352</v>
      </c>
      <c r="BA19" s="57">
        <v>16.45</v>
      </c>
      <c r="BB19" s="60">
        <v>3609</v>
      </c>
      <c r="BC19" s="168">
        <v>7.76</v>
      </c>
      <c r="BD19" s="168">
        <v>2.37</v>
      </c>
      <c r="BE19" s="116" t="s">
        <v>352</v>
      </c>
      <c r="BF19" s="116" t="s">
        <v>352</v>
      </c>
      <c r="BG19" s="169">
        <v>4.62</v>
      </c>
      <c r="BH19" s="170">
        <v>27.82</v>
      </c>
      <c r="BI19" s="116" t="s">
        <v>352</v>
      </c>
      <c r="BJ19" s="173">
        <v>36.842105263157897</v>
      </c>
      <c r="BK19" s="119">
        <v>0.49091405922385439</v>
      </c>
      <c r="BL19" s="162">
        <v>91.962545293646329</v>
      </c>
      <c r="BM19" s="162">
        <v>160.36641513495414</v>
      </c>
      <c r="BN19" s="162">
        <v>61.886368256777608</v>
      </c>
      <c r="BO19" s="60">
        <v>1866</v>
      </c>
      <c r="BP19" s="59">
        <v>0</v>
      </c>
      <c r="BQ19" s="180" t="s">
        <v>358</v>
      </c>
      <c r="BR19" s="116" t="s">
        <v>352</v>
      </c>
      <c r="BS19" s="184">
        <v>22.71</v>
      </c>
      <c r="BT19" s="124" t="s">
        <v>353</v>
      </c>
      <c r="BU19" s="131">
        <v>27.64</v>
      </c>
      <c r="BV19" s="54">
        <v>0.28000000000000003</v>
      </c>
      <c r="BW19" s="189" t="s">
        <v>355</v>
      </c>
      <c r="BX19" s="189" t="s">
        <v>355</v>
      </c>
      <c r="BY19" s="189" t="s">
        <v>353</v>
      </c>
      <c r="BZ19" s="191">
        <v>0</v>
      </c>
      <c r="CA19" s="191">
        <v>0</v>
      </c>
      <c r="CB19" s="124" t="s">
        <v>351</v>
      </c>
      <c r="CC19" s="39" t="s">
        <v>351</v>
      </c>
      <c r="CD19" s="199">
        <v>34.380000000000003</v>
      </c>
    </row>
    <row r="20" spans="1:82">
      <c r="A20" s="3" t="s">
        <v>363</v>
      </c>
      <c r="B20" s="3" t="s">
        <v>364</v>
      </c>
      <c r="C20" s="27" t="s">
        <v>349</v>
      </c>
      <c r="D20" s="3" t="s">
        <v>365</v>
      </c>
      <c r="E20" s="29">
        <v>3001</v>
      </c>
      <c r="F20" s="3" t="s">
        <v>366</v>
      </c>
      <c r="G20" s="4">
        <v>3103</v>
      </c>
      <c r="H20" s="39">
        <v>288.62</v>
      </c>
      <c r="I20" s="40">
        <v>7.72</v>
      </c>
      <c r="J20" s="41">
        <v>2360.04</v>
      </c>
      <c r="K20" s="54">
        <v>6.49</v>
      </c>
      <c r="L20" s="54">
        <v>83</v>
      </c>
      <c r="M20" s="57">
        <v>59.2</v>
      </c>
      <c r="N20" s="54">
        <v>10.25</v>
      </c>
      <c r="O20" s="58">
        <v>1542.16</v>
      </c>
      <c r="P20" s="59">
        <v>40.590000000000003</v>
      </c>
      <c r="Q20" s="60">
        <v>781.18</v>
      </c>
      <c r="R20" s="61">
        <v>0.56999999999999995</v>
      </c>
      <c r="S20" s="62">
        <v>601.78</v>
      </c>
      <c r="T20" s="5" t="s">
        <v>351</v>
      </c>
      <c r="U20" s="124" t="s">
        <v>351</v>
      </c>
      <c r="V20" s="124" t="s">
        <v>351</v>
      </c>
      <c r="W20" s="124" t="s">
        <v>351</v>
      </c>
      <c r="X20" s="126" t="s">
        <v>357</v>
      </c>
      <c r="Y20" s="126" t="s">
        <v>351</v>
      </c>
      <c r="Z20" s="116" t="s">
        <v>352</v>
      </c>
      <c r="AA20" s="127" t="s">
        <v>351</v>
      </c>
      <c r="AB20" s="124" t="s">
        <v>351</v>
      </c>
      <c r="AC20" s="124" t="s">
        <v>351</v>
      </c>
      <c r="AD20" s="139" t="s">
        <v>351</v>
      </c>
      <c r="AE20" s="127" t="s">
        <v>351</v>
      </c>
      <c r="AF20" s="116" t="s">
        <v>352</v>
      </c>
      <c r="AG20" s="116" t="s">
        <v>352</v>
      </c>
      <c r="AH20" s="116" t="s">
        <v>352</v>
      </c>
      <c r="AI20" s="116" t="s">
        <v>352</v>
      </c>
      <c r="AJ20" s="150">
        <v>7.11</v>
      </c>
      <c r="AK20" s="150">
        <v>227.6</v>
      </c>
      <c r="AL20" s="123" t="s">
        <v>351</v>
      </c>
      <c r="AM20" s="123" t="s">
        <v>351</v>
      </c>
      <c r="AN20" s="162" t="s">
        <v>351</v>
      </c>
      <c r="AO20" s="116" t="s">
        <v>352</v>
      </c>
      <c r="AP20" s="123" t="s">
        <v>351</v>
      </c>
      <c r="AQ20" s="126">
        <v>544.16999999999996</v>
      </c>
      <c r="AR20" s="54">
        <v>5895.22</v>
      </c>
      <c r="AS20" s="200">
        <v>0.44247640114254289</v>
      </c>
      <c r="AT20" s="116" t="s">
        <v>352</v>
      </c>
      <c r="AU20" s="116" t="s">
        <v>352</v>
      </c>
      <c r="AV20" s="163">
        <v>125.27335207747578</v>
      </c>
      <c r="AW20" s="165">
        <v>2.852062588904694</v>
      </c>
      <c r="AX20" s="164">
        <v>6.53</v>
      </c>
      <c r="AY20" s="134">
        <v>19.55</v>
      </c>
      <c r="AZ20" s="116" t="s">
        <v>352</v>
      </c>
      <c r="BA20" s="57">
        <v>36.57</v>
      </c>
      <c r="BB20" s="60">
        <v>243</v>
      </c>
      <c r="BC20" s="168">
        <v>11.67</v>
      </c>
      <c r="BD20" s="168">
        <v>2.19</v>
      </c>
      <c r="BE20" s="116" t="s">
        <v>352</v>
      </c>
      <c r="BF20" s="116" t="s">
        <v>352</v>
      </c>
      <c r="BG20" s="169">
        <v>11.98</v>
      </c>
      <c r="BH20" s="170">
        <v>34.979999999999997</v>
      </c>
      <c r="BI20" s="116" t="s">
        <v>352</v>
      </c>
      <c r="BJ20" s="174" t="s">
        <v>351</v>
      </c>
      <c r="BK20" s="119" t="s">
        <v>351</v>
      </c>
      <c r="BL20" s="162">
        <v>102.41820768136559</v>
      </c>
      <c r="BM20" s="162">
        <v>142.24751066856331</v>
      </c>
      <c r="BN20" s="162">
        <v>68.990042674253203</v>
      </c>
      <c r="BO20" s="60">
        <v>1384</v>
      </c>
      <c r="BP20" s="59">
        <v>0.01</v>
      </c>
      <c r="BQ20" s="180" t="s">
        <v>358</v>
      </c>
      <c r="BR20" s="116" t="s">
        <v>352</v>
      </c>
      <c r="BS20" s="184">
        <v>33.32</v>
      </c>
      <c r="BT20" s="124" t="s">
        <v>355</v>
      </c>
      <c r="BU20" s="131">
        <v>24.4</v>
      </c>
      <c r="BV20" s="54">
        <v>0</v>
      </c>
      <c r="BW20" s="177" t="s">
        <v>354</v>
      </c>
      <c r="BX20" s="177" t="s">
        <v>354</v>
      </c>
      <c r="BY20" s="189" t="s">
        <v>355</v>
      </c>
      <c r="BZ20" s="190" t="s">
        <v>359</v>
      </c>
      <c r="CA20" s="190" t="s">
        <v>359</v>
      </c>
      <c r="CB20" s="124" t="s">
        <v>351</v>
      </c>
      <c r="CC20" s="39" t="s">
        <v>351</v>
      </c>
      <c r="CD20" s="199">
        <v>56.45</v>
      </c>
    </row>
    <row r="21" spans="1:82">
      <c r="A21" s="3" t="s">
        <v>363</v>
      </c>
      <c r="B21" s="5" t="s">
        <v>367</v>
      </c>
      <c r="C21" s="27" t="s">
        <v>349</v>
      </c>
      <c r="D21" s="5" t="s">
        <v>368</v>
      </c>
      <c r="E21" s="29">
        <v>3301</v>
      </c>
      <c r="F21" s="5" t="s">
        <v>368</v>
      </c>
      <c r="G21" s="4">
        <v>3301</v>
      </c>
      <c r="H21" s="39">
        <v>241.1</v>
      </c>
      <c r="I21" s="40">
        <v>4.8600000000000003</v>
      </c>
      <c r="J21" s="41">
        <v>1314.55</v>
      </c>
      <c r="K21" s="54">
        <v>2.86</v>
      </c>
      <c r="L21" s="54">
        <v>84.11</v>
      </c>
      <c r="M21" s="57">
        <v>99.36</v>
      </c>
      <c r="N21" s="54">
        <v>6.93</v>
      </c>
      <c r="O21" s="58">
        <v>1043.69</v>
      </c>
      <c r="P21" s="59">
        <v>17.66</v>
      </c>
      <c r="Q21" s="60">
        <v>744.59</v>
      </c>
      <c r="R21" s="61">
        <v>0.99</v>
      </c>
      <c r="S21" s="62">
        <v>578.84</v>
      </c>
      <c r="T21" s="5" t="s">
        <v>351</v>
      </c>
      <c r="U21" s="124" t="s">
        <v>351</v>
      </c>
      <c r="V21" s="124" t="s">
        <v>351</v>
      </c>
      <c r="W21" s="124" t="s">
        <v>351</v>
      </c>
      <c r="X21" s="126">
        <v>1.59</v>
      </c>
      <c r="Y21" s="31">
        <v>51.12</v>
      </c>
      <c r="Z21" s="116" t="s">
        <v>352</v>
      </c>
      <c r="AA21" s="127" t="s">
        <v>351</v>
      </c>
      <c r="AB21" s="124" t="s">
        <v>351</v>
      </c>
      <c r="AC21" s="124" t="s">
        <v>351</v>
      </c>
      <c r="AD21" s="139" t="s">
        <v>351</v>
      </c>
      <c r="AE21" s="127" t="s">
        <v>351</v>
      </c>
      <c r="AF21" s="116" t="s">
        <v>352</v>
      </c>
      <c r="AG21" s="116" t="s">
        <v>352</v>
      </c>
      <c r="AH21" s="116" t="s">
        <v>352</v>
      </c>
      <c r="AI21" s="116" t="s">
        <v>352</v>
      </c>
      <c r="AJ21" s="150">
        <v>12.49</v>
      </c>
      <c r="AK21" s="150">
        <v>510.13</v>
      </c>
      <c r="AL21" s="123" t="s">
        <v>351</v>
      </c>
      <c r="AM21" s="123" t="s">
        <v>351</v>
      </c>
      <c r="AN21" s="122">
        <v>1.2164747138299867</v>
      </c>
      <c r="AO21" s="116" t="s">
        <v>352</v>
      </c>
      <c r="AP21" s="123" t="s">
        <v>351</v>
      </c>
      <c r="AQ21" s="126">
        <v>617.84</v>
      </c>
      <c r="AR21" s="54">
        <v>695.67</v>
      </c>
      <c r="AS21" s="200" t="s">
        <v>351</v>
      </c>
      <c r="AT21" s="116" t="s">
        <v>352</v>
      </c>
      <c r="AU21" s="116" t="s">
        <v>352</v>
      </c>
      <c r="AV21" s="163">
        <v>353.90245441352766</v>
      </c>
      <c r="AW21" s="165">
        <v>10.004637557077626</v>
      </c>
      <c r="AX21" s="164">
        <v>26.47</v>
      </c>
      <c r="AY21" s="134">
        <v>68.17</v>
      </c>
      <c r="AZ21" s="116" t="s">
        <v>352</v>
      </c>
      <c r="BA21" s="57">
        <v>23.43</v>
      </c>
      <c r="BB21" s="60">
        <v>1139</v>
      </c>
      <c r="BC21" s="168">
        <v>6.93</v>
      </c>
      <c r="BD21" s="168">
        <v>2.37</v>
      </c>
      <c r="BE21" s="116" t="s">
        <v>352</v>
      </c>
      <c r="BF21" s="116" t="s">
        <v>352</v>
      </c>
      <c r="BG21" s="169">
        <v>10.19</v>
      </c>
      <c r="BH21" s="170">
        <v>18.989999999999998</v>
      </c>
      <c r="BI21" s="116" t="s">
        <v>352</v>
      </c>
      <c r="BJ21" s="174" t="s">
        <v>351</v>
      </c>
      <c r="BK21" s="119" t="s">
        <v>351</v>
      </c>
      <c r="BL21" s="162">
        <v>58.861301369863014</v>
      </c>
      <c r="BM21" s="162">
        <v>76.519691780821915</v>
      </c>
      <c r="BN21" s="162">
        <v>52.618436073059357</v>
      </c>
      <c r="BO21" s="60">
        <v>1585</v>
      </c>
      <c r="BP21" s="59">
        <v>0</v>
      </c>
      <c r="BQ21" s="180" t="s">
        <v>358</v>
      </c>
      <c r="BR21" s="116" t="s">
        <v>352</v>
      </c>
      <c r="BS21" s="184">
        <v>44.29</v>
      </c>
      <c r="BT21" s="124" t="s">
        <v>355</v>
      </c>
      <c r="BU21" s="131">
        <v>52.86</v>
      </c>
      <c r="BV21" s="54">
        <v>0</v>
      </c>
      <c r="BW21" s="177" t="s">
        <v>354</v>
      </c>
      <c r="BX21" s="177" t="s">
        <v>354</v>
      </c>
      <c r="BY21" s="189" t="s">
        <v>355</v>
      </c>
      <c r="BZ21" s="190" t="s">
        <v>359</v>
      </c>
      <c r="CA21" s="190" t="s">
        <v>359</v>
      </c>
      <c r="CB21" s="124" t="s">
        <v>351</v>
      </c>
      <c r="CC21" s="39" t="s">
        <v>351</v>
      </c>
      <c r="CD21" s="199">
        <v>38.47</v>
      </c>
    </row>
    <row r="22" spans="1:82">
      <c r="A22" s="3" t="s">
        <v>369</v>
      </c>
      <c r="B22" s="3" t="s">
        <v>370</v>
      </c>
      <c r="C22" s="27" t="s">
        <v>349</v>
      </c>
      <c r="D22" s="3" t="s">
        <v>371</v>
      </c>
      <c r="E22" s="29">
        <v>4001</v>
      </c>
      <c r="F22" s="3" t="s">
        <v>372</v>
      </c>
      <c r="G22" s="4">
        <v>4101</v>
      </c>
      <c r="H22" s="39">
        <v>303.18</v>
      </c>
      <c r="I22" s="40">
        <v>5.65</v>
      </c>
      <c r="J22" s="41">
        <v>1739.03</v>
      </c>
      <c r="K22" s="54">
        <v>8.2899999999999991</v>
      </c>
      <c r="L22" s="54">
        <v>79.599999999999994</v>
      </c>
      <c r="M22" s="57">
        <v>78.540000000000006</v>
      </c>
      <c r="N22" s="54">
        <v>11.01</v>
      </c>
      <c r="O22" s="58">
        <v>1143</v>
      </c>
      <c r="P22" s="59">
        <v>8.61</v>
      </c>
      <c r="Q22" s="60">
        <v>696.45</v>
      </c>
      <c r="R22" s="61">
        <v>0.89</v>
      </c>
      <c r="S22" s="62">
        <v>731.02</v>
      </c>
      <c r="T22" s="60">
        <v>374</v>
      </c>
      <c r="U22" s="125">
        <v>2.5099999999999998</v>
      </c>
      <c r="V22" s="124" t="s">
        <v>351</v>
      </c>
      <c r="W22" s="125">
        <v>2.41</v>
      </c>
      <c r="X22" s="126">
        <v>2.61</v>
      </c>
      <c r="Y22" s="31">
        <v>51.41</v>
      </c>
      <c r="Z22" s="116" t="s">
        <v>352</v>
      </c>
      <c r="AA22" s="29">
        <v>1.1299999999999999</v>
      </c>
      <c r="AB22" s="125">
        <v>31.7</v>
      </c>
      <c r="AC22" s="125">
        <v>63.06</v>
      </c>
      <c r="AD22" s="137">
        <v>45</v>
      </c>
      <c r="AE22" s="140">
        <v>50</v>
      </c>
      <c r="AF22" s="116" t="s">
        <v>352</v>
      </c>
      <c r="AG22" s="116" t="s">
        <v>352</v>
      </c>
      <c r="AH22" s="116" t="s">
        <v>352</v>
      </c>
      <c r="AI22" s="116" t="s">
        <v>352</v>
      </c>
      <c r="AJ22" s="150">
        <v>7.54</v>
      </c>
      <c r="AK22" s="150">
        <v>394.29</v>
      </c>
      <c r="AL22" s="123">
        <v>3.81</v>
      </c>
      <c r="AM22" s="123">
        <v>7.48</v>
      </c>
      <c r="AN22" s="122">
        <v>1.0101819487160768</v>
      </c>
      <c r="AO22" s="116" t="s">
        <v>352</v>
      </c>
      <c r="AP22" s="123" t="s">
        <v>351</v>
      </c>
      <c r="AQ22" s="126">
        <v>708.5</v>
      </c>
      <c r="AR22" s="54">
        <v>538.23</v>
      </c>
      <c r="AS22" s="200">
        <v>3.3819689650614715E-2</v>
      </c>
      <c r="AT22" s="116" t="s">
        <v>352</v>
      </c>
      <c r="AU22" s="116" t="s">
        <v>352</v>
      </c>
      <c r="AV22" s="163">
        <v>654.5326953748006</v>
      </c>
      <c r="AW22" s="165">
        <v>21.494684885128994</v>
      </c>
      <c r="AX22" s="164">
        <v>7.54</v>
      </c>
      <c r="AY22" s="134">
        <v>62.1</v>
      </c>
      <c r="AZ22" s="116" t="s">
        <v>352</v>
      </c>
      <c r="BA22" s="57">
        <v>9.4600000000000009</v>
      </c>
      <c r="BB22" s="60">
        <v>3127</v>
      </c>
      <c r="BC22" s="168">
        <v>4.82</v>
      </c>
      <c r="BD22" s="168">
        <v>2.1</v>
      </c>
      <c r="BE22" s="116" t="s">
        <v>352</v>
      </c>
      <c r="BF22" s="116" t="s">
        <v>352</v>
      </c>
      <c r="BG22" s="169">
        <v>8.76</v>
      </c>
      <c r="BH22" s="170">
        <v>23.18</v>
      </c>
      <c r="BI22" s="116" t="s">
        <v>352</v>
      </c>
      <c r="BJ22" s="173">
        <v>55.882352941176471</v>
      </c>
      <c r="BK22" s="119">
        <v>0.4773270190796231</v>
      </c>
      <c r="BL22" s="162">
        <v>81.078023456060734</v>
      </c>
      <c r="BM22" s="162">
        <v>172.88264846496463</v>
      </c>
      <c r="BN22" s="162">
        <v>53.63300776421589</v>
      </c>
      <c r="BO22" s="60">
        <v>2048</v>
      </c>
      <c r="BP22" s="59">
        <v>0</v>
      </c>
      <c r="BQ22" s="126">
        <v>9.0500000000000007</v>
      </c>
      <c r="BR22" s="116" t="s">
        <v>352</v>
      </c>
      <c r="BS22" s="184">
        <v>11.01</v>
      </c>
      <c r="BT22" s="124" t="s">
        <v>355</v>
      </c>
      <c r="BU22" s="131">
        <v>25.28</v>
      </c>
      <c r="BV22" s="54">
        <v>0.84</v>
      </c>
      <c r="BW22" s="189" t="s">
        <v>353</v>
      </c>
      <c r="BX22" s="189" t="s">
        <v>355</v>
      </c>
      <c r="BY22" s="189" t="s">
        <v>353</v>
      </c>
      <c r="BZ22" s="191">
        <v>0</v>
      </c>
      <c r="CA22" s="191">
        <v>0</v>
      </c>
      <c r="CB22" s="124" t="s">
        <v>351</v>
      </c>
      <c r="CC22" s="39" t="s">
        <v>351</v>
      </c>
      <c r="CD22" s="199">
        <v>25.04</v>
      </c>
    </row>
    <row r="23" spans="1:82">
      <c r="A23" s="3" t="s">
        <v>369</v>
      </c>
      <c r="B23" s="3" t="s">
        <v>370</v>
      </c>
      <c r="C23" s="27" t="s">
        <v>349</v>
      </c>
      <c r="D23" s="3" t="s">
        <v>371</v>
      </c>
      <c r="E23" s="29">
        <v>4001</v>
      </c>
      <c r="F23" s="3" t="s">
        <v>369</v>
      </c>
      <c r="G23" s="4">
        <v>4102</v>
      </c>
      <c r="H23" s="39">
        <v>291.29000000000002</v>
      </c>
      <c r="I23" s="40">
        <v>5.08</v>
      </c>
      <c r="J23" s="41">
        <v>2868.83</v>
      </c>
      <c r="K23" s="54">
        <v>1.41</v>
      </c>
      <c r="L23" s="54">
        <v>80.430000000000007</v>
      </c>
      <c r="M23" s="57">
        <v>55.35</v>
      </c>
      <c r="N23" s="54">
        <v>4.8600000000000003</v>
      </c>
      <c r="O23" s="58">
        <v>1434.94</v>
      </c>
      <c r="P23" s="59">
        <v>7.25</v>
      </c>
      <c r="Q23" s="60">
        <v>614.67999999999995</v>
      </c>
      <c r="R23" s="61">
        <v>0.8</v>
      </c>
      <c r="S23" s="62">
        <v>720.68</v>
      </c>
      <c r="T23" s="60">
        <v>294</v>
      </c>
      <c r="U23" s="125">
        <v>3.68</v>
      </c>
      <c r="V23" s="124" t="s">
        <v>351</v>
      </c>
      <c r="W23" s="134">
        <v>2.5</v>
      </c>
      <c r="X23" s="126">
        <v>1.63</v>
      </c>
      <c r="Y23" s="31">
        <v>18.68</v>
      </c>
      <c r="Z23" s="116" t="s">
        <v>352</v>
      </c>
      <c r="AA23" s="131">
        <v>1.25</v>
      </c>
      <c r="AB23" s="125">
        <v>27.7</v>
      </c>
      <c r="AC23" s="125">
        <v>71.02</v>
      </c>
      <c r="AD23" s="138">
        <v>50</v>
      </c>
      <c r="AE23" s="140">
        <v>60</v>
      </c>
      <c r="AF23" s="116" t="s">
        <v>352</v>
      </c>
      <c r="AG23" s="116" t="s">
        <v>352</v>
      </c>
      <c r="AH23" s="116" t="s">
        <v>352</v>
      </c>
      <c r="AI23" s="116" t="s">
        <v>352</v>
      </c>
      <c r="AJ23" s="150">
        <v>11.01</v>
      </c>
      <c r="AK23" s="150">
        <v>307.17</v>
      </c>
      <c r="AL23" s="123">
        <v>3.95</v>
      </c>
      <c r="AM23" s="123">
        <v>7.69</v>
      </c>
      <c r="AN23" s="122">
        <v>1.2392034898867115</v>
      </c>
      <c r="AO23" s="116" t="s">
        <v>352</v>
      </c>
      <c r="AP23" s="123" t="s">
        <v>351</v>
      </c>
      <c r="AQ23" s="126">
        <v>663.48</v>
      </c>
      <c r="AR23" s="54">
        <v>557.85</v>
      </c>
      <c r="AS23" s="200">
        <v>1.9187171942858693E-2</v>
      </c>
      <c r="AT23" s="116" t="s">
        <v>352</v>
      </c>
      <c r="AU23" s="116" t="s">
        <v>352</v>
      </c>
      <c r="AV23" s="163">
        <v>498.72694912740394</v>
      </c>
      <c r="AW23" s="165">
        <v>16.460255688539704</v>
      </c>
      <c r="AX23" s="164">
        <v>6.25</v>
      </c>
      <c r="AY23" s="134">
        <v>52.8</v>
      </c>
      <c r="AZ23" s="116" t="s">
        <v>352</v>
      </c>
      <c r="BA23" s="57">
        <v>13.14</v>
      </c>
      <c r="BB23" s="60">
        <v>3357</v>
      </c>
      <c r="BC23" s="168">
        <v>6.17</v>
      </c>
      <c r="BD23" s="168">
        <v>1.73</v>
      </c>
      <c r="BE23" s="116" t="s">
        <v>352</v>
      </c>
      <c r="BF23" s="116" t="s">
        <v>352</v>
      </c>
      <c r="BG23" s="169">
        <v>9.7200000000000006</v>
      </c>
      <c r="BH23" s="170">
        <v>23.38</v>
      </c>
      <c r="BI23" s="116" t="s">
        <v>352</v>
      </c>
      <c r="BJ23" s="173">
        <v>29.62962962962963</v>
      </c>
      <c r="BK23" s="119">
        <v>0.51469403459068308</v>
      </c>
      <c r="BL23" s="162">
        <v>89.907074267159445</v>
      </c>
      <c r="BM23" s="162">
        <v>172.75701430191481</v>
      </c>
      <c r="BN23" s="162">
        <v>60.94426903590572</v>
      </c>
      <c r="BO23" s="60">
        <v>1401</v>
      </c>
      <c r="BP23" s="59">
        <v>0.01</v>
      </c>
      <c r="BQ23" s="126">
        <v>2.76</v>
      </c>
      <c r="BR23" s="116" t="s">
        <v>352</v>
      </c>
      <c r="BS23" s="184">
        <v>18.46</v>
      </c>
      <c r="BT23" s="124" t="s">
        <v>355</v>
      </c>
      <c r="BU23" s="131">
        <v>38.32</v>
      </c>
      <c r="BV23" s="54">
        <v>0.22</v>
      </c>
      <c r="BW23" s="189" t="s">
        <v>355</v>
      </c>
      <c r="BX23" s="189" t="s">
        <v>355</v>
      </c>
      <c r="BY23" s="189" t="s">
        <v>353</v>
      </c>
      <c r="BZ23" s="191">
        <v>0</v>
      </c>
      <c r="CA23" s="191">
        <v>0</v>
      </c>
      <c r="CB23" s="124" t="s">
        <v>351</v>
      </c>
      <c r="CC23" s="39" t="s">
        <v>351</v>
      </c>
      <c r="CD23" s="199">
        <v>26.76</v>
      </c>
    </row>
    <row r="24" spans="1:82">
      <c r="A24" s="3" t="s">
        <v>369</v>
      </c>
      <c r="B24" s="3" t="s">
        <v>373</v>
      </c>
      <c r="C24" s="27" t="s">
        <v>349</v>
      </c>
      <c r="D24" s="3" t="s">
        <v>374</v>
      </c>
      <c r="E24" s="29">
        <v>4301</v>
      </c>
      <c r="F24" s="6" t="s">
        <v>374</v>
      </c>
      <c r="G24" s="4">
        <v>4301</v>
      </c>
      <c r="H24" s="39">
        <v>275.39999999999998</v>
      </c>
      <c r="I24" s="40">
        <v>4.0599999999999996</v>
      </c>
      <c r="J24" s="41">
        <v>1009.89</v>
      </c>
      <c r="K24" s="54">
        <v>1.51</v>
      </c>
      <c r="L24" s="54">
        <v>88.71</v>
      </c>
      <c r="M24" s="57">
        <v>86.44</v>
      </c>
      <c r="N24" s="54">
        <v>4.91</v>
      </c>
      <c r="O24" s="58">
        <v>1135.07</v>
      </c>
      <c r="P24" s="59">
        <v>11.15</v>
      </c>
      <c r="Q24" s="60">
        <v>608.92999999999995</v>
      </c>
      <c r="R24" s="61">
        <v>0.96</v>
      </c>
      <c r="S24" s="62">
        <v>524.84</v>
      </c>
      <c r="T24" s="60">
        <v>372</v>
      </c>
      <c r="U24" s="124" t="s">
        <v>351</v>
      </c>
      <c r="V24" s="124" t="s">
        <v>351</v>
      </c>
      <c r="W24" s="124" t="s">
        <v>351</v>
      </c>
      <c r="X24" s="126">
        <v>1.9</v>
      </c>
      <c r="Y24" s="31">
        <v>27.8</v>
      </c>
      <c r="Z24" s="116" t="s">
        <v>352</v>
      </c>
      <c r="AA24" s="127" t="s">
        <v>351</v>
      </c>
      <c r="AB24" s="124" t="s">
        <v>351</v>
      </c>
      <c r="AC24" s="124" t="s">
        <v>351</v>
      </c>
      <c r="AD24" s="139" t="s">
        <v>351</v>
      </c>
      <c r="AE24" s="127" t="s">
        <v>351</v>
      </c>
      <c r="AF24" s="116" t="s">
        <v>352</v>
      </c>
      <c r="AG24" s="116" t="s">
        <v>352</v>
      </c>
      <c r="AH24" s="116" t="s">
        <v>352</v>
      </c>
      <c r="AI24" s="116" t="s">
        <v>352</v>
      </c>
      <c r="AJ24" s="150">
        <v>13.49</v>
      </c>
      <c r="AK24" s="150">
        <v>306.17</v>
      </c>
      <c r="AL24" s="123" t="s">
        <v>351</v>
      </c>
      <c r="AM24" s="123" t="s">
        <v>351</v>
      </c>
      <c r="AN24" s="122">
        <v>1.4185725662987794</v>
      </c>
      <c r="AO24" s="116" t="s">
        <v>352</v>
      </c>
      <c r="AP24" s="125">
        <v>17.04</v>
      </c>
      <c r="AQ24" s="126">
        <v>550.54999999999995</v>
      </c>
      <c r="AR24" s="54">
        <v>841.15</v>
      </c>
      <c r="AS24" s="200">
        <v>3.6234367973243067E-3</v>
      </c>
      <c r="AT24" s="116" t="s">
        <v>352</v>
      </c>
      <c r="AU24" s="116" t="s">
        <v>352</v>
      </c>
      <c r="AV24" s="163">
        <v>246.65072553965081</v>
      </c>
      <c r="AW24" s="165">
        <v>6.3510538700943808</v>
      </c>
      <c r="AX24" s="164">
        <v>8.51</v>
      </c>
      <c r="AY24" s="134">
        <v>43.92</v>
      </c>
      <c r="AZ24" s="116" t="s">
        <v>352</v>
      </c>
      <c r="BA24" s="57">
        <v>15.53</v>
      </c>
      <c r="BB24" s="60">
        <v>1592</v>
      </c>
      <c r="BC24" s="168">
        <v>6.43</v>
      </c>
      <c r="BD24" s="168">
        <v>1.75</v>
      </c>
      <c r="BE24" s="116" t="s">
        <v>352</v>
      </c>
      <c r="BF24" s="116" t="s">
        <v>352</v>
      </c>
      <c r="BG24" s="169">
        <v>21.16</v>
      </c>
      <c r="BH24" s="170">
        <v>23.45</v>
      </c>
      <c r="BI24" s="116" t="s">
        <v>352</v>
      </c>
      <c r="BJ24" s="174" t="s">
        <v>351</v>
      </c>
      <c r="BK24" s="119" t="s">
        <v>351</v>
      </c>
      <c r="BL24" s="162">
        <v>71.185783085785616</v>
      </c>
      <c r="BM24" s="162">
        <v>159.49326518391067</v>
      </c>
      <c r="BN24" s="162">
        <v>42.171672444185788</v>
      </c>
      <c r="BO24" s="60">
        <v>1688</v>
      </c>
      <c r="BP24" s="59">
        <v>0</v>
      </c>
      <c r="BQ24" s="180" t="s">
        <v>358</v>
      </c>
      <c r="BR24" s="116" t="s">
        <v>352</v>
      </c>
      <c r="BS24" s="184">
        <v>8.58</v>
      </c>
      <c r="BT24" s="124" t="s">
        <v>353</v>
      </c>
      <c r="BU24" s="131">
        <v>61.05</v>
      </c>
      <c r="BV24" s="54">
        <v>0.13</v>
      </c>
      <c r="BW24" s="189" t="s">
        <v>353</v>
      </c>
      <c r="BX24" s="189" t="s">
        <v>355</v>
      </c>
      <c r="BY24" s="189" t="s">
        <v>353</v>
      </c>
      <c r="BZ24" s="191">
        <v>0</v>
      </c>
      <c r="CA24" s="191">
        <v>100</v>
      </c>
      <c r="CB24" s="124" t="s">
        <v>353</v>
      </c>
      <c r="CC24" s="41">
        <v>503.9</v>
      </c>
      <c r="CD24" s="199">
        <v>34.880000000000003</v>
      </c>
    </row>
    <row r="25" spans="1:82">
      <c r="A25" s="3" t="s">
        <v>375</v>
      </c>
      <c r="B25" s="3" t="s">
        <v>375</v>
      </c>
      <c r="C25" s="27" t="s">
        <v>376</v>
      </c>
      <c r="D25" s="3" t="s">
        <v>376</v>
      </c>
      <c r="E25" s="29">
        <v>5001</v>
      </c>
      <c r="F25" s="3" t="s">
        <v>375</v>
      </c>
      <c r="G25" s="4">
        <v>5101</v>
      </c>
      <c r="H25" s="39">
        <v>698.6</v>
      </c>
      <c r="I25" s="40">
        <v>2.37</v>
      </c>
      <c r="J25" s="41">
        <v>2187.15</v>
      </c>
      <c r="K25" s="54">
        <v>0.57999999999999996</v>
      </c>
      <c r="L25" s="54">
        <v>34.33</v>
      </c>
      <c r="M25" s="57">
        <v>75.52</v>
      </c>
      <c r="N25" s="54">
        <v>1.25</v>
      </c>
      <c r="O25" s="58">
        <v>1071.1400000000001</v>
      </c>
      <c r="P25" s="59">
        <v>8.57</v>
      </c>
      <c r="Q25" s="60">
        <v>706.99</v>
      </c>
      <c r="R25" s="61">
        <v>0.81</v>
      </c>
      <c r="S25" s="62">
        <v>862.42</v>
      </c>
      <c r="T25" s="60">
        <v>239</v>
      </c>
      <c r="U25" s="125">
        <v>29.7</v>
      </c>
      <c r="V25" s="124" t="s">
        <v>351</v>
      </c>
      <c r="W25" s="125">
        <v>4.6900000000000004</v>
      </c>
      <c r="X25" s="126">
        <v>0.15</v>
      </c>
      <c r="Y25" s="31">
        <v>5.07</v>
      </c>
      <c r="Z25" s="116" t="s">
        <v>352</v>
      </c>
      <c r="AA25" s="131">
        <v>0.83</v>
      </c>
      <c r="AB25" s="125">
        <v>45.5</v>
      </c>
      <c r="AC25" s="125">
        <v>72.7</v>
      </c>
      <c r="AD25" s="137">
        <v>50</v>
      </c>
      <c r="AE25" s="140">
        <v>60</v>
      </c>
      <c r="AF25" s="116" t="s">
        <v>352</v>
      </c>
      <c r="AG25" s="116" t="s">
        <v>352</v>
      </c>
      <c r="AH25" s="116" t="s">
        <v>352</v>
      </c>
      <c r="AI25" s="116" t="s">
        <v>352</v>
      </c>
      <c r="AJ25" s="150">
        <v>2.9</v>
      </c>
      <c r="AK25" s="150">
        <v>263.39</v>
      </c>
      <c r="AL25" s="123" t="s">
        <v>351</v>
      </c>
      <c r="AM25" s="123" t="s">
        <v>351</v>
      </c>
      <c r="AN25" s="122">
        <v>1.1989145014403475</v>
      </c>
      <c r="AO25" s="116" t="s">
        <v>352</v>
      </c>
      <c r="AP25" s="123" t="s">
        <v>351</v>
      </c>
      <c r="AQ25" s="126">
        <v>687.27</v>
      </c>
      <c r="AR25" s="54">
        <v>563.42999999999995</v>
      </c>
      <c r="AS25" s="200">
        <v>2.1636926148829571E-2</v>
      </c>
      <c r="AT25" s="116" t="s">
        <v>352</v>
      </c>
      <c r="AU25" s="116" t="s">
        <v>352</v>
      </c>
      <c r="AV25" s="163">
        <v>517.43793205010479</v>
      </c>
      <c r="AW25" s="165">
        <v>19.233023150980454</v>
      </c>
      <c r="AX25" s="164">
        <v>5.35</v>
      </c>
      <c r="AY25" s="134">
        <v>37.31</v>
      </c>
      <c r="AZ25" s="116" t="s">
        <v>352</v>
      </c>
      <c r="BA25" s="57">
        <v>18.3</v>
      </c>
      <c r="BB25" s="60">
        <v>8969</v>
      </c>
      <c r="BC25" s="168">
        <v>6.32</v>
      </c>
      <c r="BD25" s="168">
        <v>2.36</v>
      </c>
      <c r="BE25" s="116" t="s">
        <v>352</v>
      </c>
      <c r="BF25" s="116" t="s">
        <v>352</v>
      </c>
      <c r="BG25" s="169">
        <v>15.42</v>
      </c>
      <c r="BH25" s="170">
        <v>17.05</v>
      </c>
      <c r="BI25" s="116" t="s">
        <v>352</v>
      </c>
      <c r="BJ25" s="173">
        <v>39.436619718309856</v>
      </c>
      <c r="BK25" s="119">
        <v>0.42744700420054627</v>
      </c>
      <c r="BL25" s="162">
        <v>155.68148887529381</v>
      </c>
      <c r="BM25" s="162">
        <v>223.58888495347264</v>
      </c>
      <c r="BN25" s="162">
        <v>59.535692436487743</v>
      </c>
      <c r="BO25" s="60">
        <v>1237</v>
      </c>
      <c r="BP25" s="59">
        <v>0</v>
      </c>
      <c r="BQ25" s="126">
        <v>1.51</v>
      </c>
      <c r="BR25" s="116" t="s">
        <v>352</v>
      </c>
      <c r="BS25" s="184">
        <v>17.739999999999998</v>
      </c>
      <c r="BT25" s="124" t="s">
        <v>353</v>
      </c>
      <c r="BU25" s="131">
        <v>35.61</v>
      </c>
      <c r="BV25" s="54">
        <v>9.42</v>
      </c>
      <c r="BW25" s="177" t="s">
        <v>354</v>
      </c>
      <c r="BX25" s="177" t="s">
        <v>354</v>
      </c>
      <c r="BY25" s="189" t="s">
        <v>353</v>
      </c>
      <c r="BZ25" s="192">
        <v>9</v>
      </c>
      <c r="CA25" s="191">
        <v>0</v>
      </c>
      <c r="CB25" s="124" t="s">
        <v>351</v>
      </c>
      <c r="CC25" s="39" t="s">
        <v>351</v>
      </c>
      <c r="CD25" s="199">
        <v>31.04</v>
      </c>
    </row>
    <row r="26" spans="1:82">
      <c r="A26" s="3" t="s">
        <v>375</v>
      </c>
      <c r="B26" s="3" t="s">
        <v>375</v>
      </c>
      <c r="C26" s="27" t="s">
        <v>376</v>
      </c>
      <c r="D26" s="3" t="s">
        <v>376</v>
      </c>
      <c r="E26" s="29">
        <v>5001</v>
      </c>
      <c r="F26" s="3" t="s">
        <v>377</v>
      </c>
      <c r="G26" s="4">
        <v>5102</v>
      </c>
      <c r="H26" s="39">
        <v>331.96</v>
      </c>
      <c r="I26" s="40">
        <v>4.72</v>
      </c>
      <c r="J26" s="42" t="s">
        <v>351</v>
      </c>
      <c r="K26" s="55" t="s">
        <v>351</v>
      </c>
      <c r="L26" s="54">
        <v>71.52</v>
      </c>
      <c r="M26" s="56" t="s">
        <v>351</v>
      </c>
      <c r="N26" s="54">
        <v>3.38</v>
      </c>
      <c r="O26" s="58" t="s">
        <v>351</v>
      </c>
      <c r="P26" s="59">
        <v>4.46</v>
      </c>
      <c r="Q26" s="60">
        <v>567.79</v>
      </c>
      <c r="R26" s="61">
        <v>1.07</v>
      </c>
      <c r="S26" s="62">
        <v>633.07000000000005</v>
      </c>
      <c r="T26" s="5" t="s">
        <v>351</v>
      </c>
      <c r="U26" s="124" t="s">
        <v>351</v>
      </c>
      <c r="V26" s="124" t="s">
        <v>351</v>
      </c>
      <c r="W26" s="124" t="s">
        <v>351</v>
      </c>
      <c r="X26" s="126" t="s">
        <v>357</v>
      </c>
      <c r="Y26" s="126" t="s">
        <v>351</v>
      </c>
      <c r="Z26" s="116" t="s">
        <v>352</v>
      </c>
      <c r="AA26" s="127" t="s">
        <v>351</v>
      </c>
      <c r="AB26" s="124" t="s">
        <v>351</v>
      </c>
      <c r="AC26" s="124" t="s">
        <v>351</v>
      </c>
      <c r="AD26" s="139" t="s">
        <v>351</v>
      </c>
      <c r="AE26" s="127" t="s">
        <v>351</v>
      </c>
      <c r="AF26" s="116" t="s">
        <v>352</v>
      </c>
      <c r="AG26" s="116" t="s">
        <v>352</v>
      </c>
      <c r="AH26" s="116" t="s">
        <v>352</v>
      </c>
      <c r="AI26" s="116" t="s">
        <v>352</v>
      </c>
      <c r="AJ26" s="150">
        <v>60.16</v>
      </c>
      <c r="AK26" s="150">
        <v>729.02</v>
      </c>
      <c r="AL26" s="123" t="s">
        <v>351</v>
      </c>
      <c r="AM26" s="123" t="s">
        <v>351</v>
      </c>
      <c r="AN26" s="122">
        <v>0.8657328696829153</v>
      </c>
      <c r="AO26" s="116" t="s">
        <v>352</v>
      </c>
      <c r="AP26" s="123" t="s">
        <v>351</v>
      </c>
      <c r="AQ26" s="126">
        <v>742.21</v>
      </c>
      <c r="AR26" s="54">
        <v>1495.19</v>
      </c>
      <c r="AS26" s="200">
        <v>6.9231228067682657E-2</v>
      </c>
      <c r="AT26" s="116" t="s">
        <v>352</v>
      </c>
      <c r="AU26" s="116" t="s">
        <v>352</v>
      </c>
      <c r="AV26" s="163">
        <v>248.31243972999036</v>
      </c>
      <c r="AW26" s="165">
        <v>5.4676717273595923</v>
      </c>
      <c r="AX26" s="164">
        <v>7.13</v>
      </c>
      <c r="AY26" s="134">
        <v>49.28</v>
      </c>
      <c r="AZ26" s="116" t="s">
        <v>352</v>
      </c>
      <c r="BA26" s="57">
        <v>13.59</v>
      </c>
      <c r="BB26" s="60">
        <v>228</v>
      </c>
      <c r="BC26" s="168">
        <v>5.53</v>
      </c>
      <c r="BD26" s="168">
        <v>0.87</v>
      </c>
      <c r="BE26" s="116" t="s">
        <v>352</v>
      </c>
      <c r="BF26" s="116" t="s">
        <v>352</v>
      </c>
      <c r="BG26" s="169">
        <v>10.14</v>
      </c>
      <c r="BH26" s="170">
        <v>28.79</v>
      </c>
      <c r="BI26" s="116" t="s">
        <v>352</v>
      </c>
      <c r="BJ26" s="174" t="s">
        <v>351</v>
      </c>
      <c r="BK26" s="119" t="s">
        <v>351</v>
      </c>
      <c r="BL26" s="162">
        <v>85.996390274976108</v>
      </c>
      <c r="BM26" s="162">
        <v>168.45383444810136</v>
      </c>
      <c r="BN26" s="162">
        <v>67.239975935166512</v>
      </c>
      <c r="BO26" s="60">
        <v>1186</v>
      </c>
      <c r="BP26" s="59">
        <v>0</v>
      </c>
      <c r="BQ26" s="181">
        <v>0</v>
      </c>
      <c r="BR26" s="116" t="s">
        <v>352</v>
      </c>
      <c r="BS26" s="184">
        <v>8.73</v>
      </c>
      <c r="BT26" s="124" t="s">
        <v>355</v>
      </c>
      <c r="BU26" s="131">
        <v>20.3</v>
      </c>
      <c r="BV26" s="54">
        <v>0</v>
      </c>
      <c r="BW26" s="177" t="s">
        <v>354</v>
      </c>
      <c r="BX26" s="177" t="s">
        <v>354</v>
      </c>
      <c r="BY26" s="189" t="s">
        <v>355</v>
      </c>
      <c r="BZ26" s="190" t="s">
        <v>359</v>
      </c>
      <c r="CA26" s="190" t="s">
        <v>359</v>
      </c>
      <c r="CB26" s="124" t="s">
        <v>351</v>
      </c>
      <c r="CC26" s="39" t="s">
        <v>351</v>
      </c>
      <c r="CD26" s="199">
        <v>44.84</v>
      </c>
    </row>
    <row r="27" spans="1:82">
      <c r="A27" s="3" t="s">
        <v>375</v>
      </c>
      <c r="B27" s="3" t="s">
        <v>375</v>
      </c>
      <c r="C27" s="27" t="s">
        <v>376</v>
      </c>
      <c r="D27" s="3" t="s">
        <v>376</v>
      </c>
      <c r="E27" s="29">
        <v>5001</v>
      </c>
      <c r="F27" s="3" t="s">
        <v>378</v>
      </c>
      <c r="G27" s="4">
        <v>5103</v>
      </c>
      <c r="H27" s="39">
        <v>337.03</v>
      </c>
      <c r="I27" s="40">
        <v>6.1</v>
      </c>
      <c r="J27" s="41">
        <v>845.8</v>
      </c>
      <c r="K27" s="54">
        <v>7.6</v>
      </c>
      <c r="L27" s="54">
        <v>72.03</v>
      </c>
      <c r="M27" s="57">
        <v>99.88</v>
      </c>
      <c r="N27" s="54">
        <v>11.98</v>
      </c>
      <c r="O27" s="58">
        <v>1704.22</v>
      </c>
      <c r="P27" s="59">
        <v>19.22</v>
      </c>
      <c r="Q27" s="60">
        <v>714.87</v>
      </c>
      <c r="R27" s="61">
        <v>0.69</v>
      </c>
      <c r="S27" s="62">
        <v>731.21</v>
      </c>
      <c r="T27" s="60">
        <v>368</v>
      </c>
      <c r="U27" s="125">
        <v>5.35</v>
      </c>
      <c r="V27" s="124" t="s">
        <v>351</v>
      </c>
      <c r="W27" s="125">
        <v>0.96</v>
      </c>
      <c r="X27" s="126" t="s">
        <v>357</v>
      </c>
      <c r="Y27" s="126" t="s">
        <v>351</v>
      </c>
      <c r="Z27" s="116" t="s">
        <v>352</v>
      </c>
      <c r="AA27" s="131">
        <v>0.9</v>
      </c>
      <c r="AB27" s="125">
        <v>18.399999999999999</v>
      </c>
      <c r="AC27" s="125">
        <v>46.6</v>
      </c>
      <c r="AD27" s="138">
        <v>45</v>
      </c>
      <c r="AE27" s="140">
        <v>60</v>
      </c>
      <c r="AF27" s="116" t="s">
        <v>352</v>
      </c>
      <c r="AG27" s="116" t="s">
        <v>352</v>
      </c>
      <c r="AH27" s="116" t="s">
        <v>352</v>
      </c>
      <c r="AI27" s="116" t="s">
        <v>352</v>
      </c>
      <c r="AJ27" s="150">
        <v>6.77</v>
      </c>
      <c r="AK27" s="150">
        <v>187.21</v>
      </c>
      <c r="AL27" s="123" t="s">
        <v>351</v>
      </c>
      <c r="AM27" s="123" t="s">
        <v>351</v>
      </c>
      <c r="AN27" s="122">
        <v>1.1817324819903261</v>
      </c>
      <c r="AO27" s="116" t="s">
        <v>352</v>
      </c>
      <c r="AP27" s="123" t="s">
        <v>351</v>
      </c>
      <c r="AQ27" s="126">
        <v>1036.04</v>
      </c>
      <c r="AR27" s="54">
        <v>1036.93</v>
      </c>
      <c r="AS27" s="200">
        <v>2.7834508374951394E-2</v>
      </c>
      <c r="AT27" s="116" t="s">
        <v>352</v>
      </c>
      <c r="AU27" s="116" t="s">
        <v>352</v>
      </c>
      <c r="AV27" s="163">
        <v>595.50503206966675</v>
      </c>
      <c r="AW27" s="165">
        <v>25.758430134205479</v>
      </c>
      <c r="AX27" s="164">
        <v>6.66</v>
      </c>
      <c r="AY27" s="134">
        <v>34.659999999999997</v>
      </c>
      <c r="AZ27" s="116" t="s">
        <v>352</v>
      </c>
      <c r="BA27" s="57">
        <v>9.77</v>
      </c>
      <c r="BB27" s="60">
        <v>545</v>
      </c>
      <c r="BC27" s="168">
        <v>4.41</v>
      </c>
      <c r="BD27" s="168">
        <v>1.49</v>
      </c>
      <c r="BE27" s="116" t="s">
        <v>352</v>
      </c>
      <c r="BF27" s="116" t="s">
        <v>352</v>
      </c>
      <c r="BG27" s="169">
        <v>5.4</v>
      </c>
      <c r="BH27" s="170">
        <v>15.46</v>
      </c>
      <c r="BI27" s="116" t="s">
        <v>352</v>
      </c>
      <c r="BJ27" s="173">
        <v>28.571428571428573</v>
      </c>
      <c r="BK27" s="119">
        <v>0.4552667445690623</v>
      </c>
      <c r="BL27" s="162">
        <v>87.966617796323433</v>
      </c>
      <c r="BM27" s="162">
        <v>204.35321980376679</v>
      </c>
      <c r="BN27" s="162">
        <v>45.11108604939664</v>
      </c>
      <c r="BO27" s="60">
        <v>1626</v>
      </c>
      <c r="BP27" s="59">
        <v>0.87</v>
      </c>
      <c r="BQ27" s="126">
        <v>1.41</v>
      </c>
      <c r="BR27" s="116" t="s">
        <v>352</v>
      </c>
      <c r="BS27" s="184">
        <v>49.83</v>
      </c>
      <c r="BT27" s="124" t="s">
        <v>353</v>
      </c>
      <c r="BU27" s="131">
        <v>12.8</v>
      </c>
      <c r="BV27" s="54">
        <v>0</v>
      </c>
      <c r="BW27" s="177" t="s">
        <v>354</v>
      </c>
      <c r="BX27" s="177" t="s">
        <v>354</v>
      </c>
      <c r="BY27" s="189" t="s">
        <v>355</v>
      </c>
      <c r="BZ27" s="190" t="s">
        <v>359</v>
      </c>
      <c r="CA27" s="190" t="s">
        <v>359</v>
      </c>
      <c r="CB27" s="124" t="s">
        <v>351</v>
      </c>
      <c r="CC27" s="39" t="s">
        <v>351</v>
      </c>
      <c r="CD27" s="199">
        <v>45.05</v>
      </c>
    </row>
    <row r="28" spans="1:82">
      <c r="A28" s="3" t="s">
        <v>375</v>
      </c>
      <c r="B28" s="3" t="s">
        <v>375</v>
      </c>
      <c r="C28" s="27" t="s">
        <v>376</v>
      </c>
      <c r="D28" s="3" t="s">
        <v>376</v>
      </c>
      <c r="E28" s="29">
        <v>5001</v>
      </c>
      <c r="F28" s="3" t="s">
        <v>379</v>
      </c>
      <c r="G28" s="4">
        <v>5105</v>
      </c>
      <c r="H28" s="39">
        <v>1014.74</v>
      </c>
      <c r="I28" s="40">
        <v>18.05</v>
      </c>
      <c r="J28" s="42" t="s">
        <v>351</v>
      </c>
      <c r="K28" s="55" t="s">
        <v>351</v>
      </c>
      <c r="L28" s="54">
        <v>20.260000000000002</v>
      </c>
      <c r="M28" s="56" t="s">
        <v>351</v>
      </c>
      <c r="N28" s="54">
        <v>3.66</v>
      </c>
      <c r="O28" s="58">
        <v>1388.66</v>
      </c>
      <c r="P28" s="59">
        <v>10.119999999999999</v>
      </c>
      <c r="Q28" s="60">
        <v>920.55</v>
      </c>
      <c r="R28" s="61">
        <v>0.83</v>
      </c>
      <c r="S28" s="62">
        <v>996.79</v>
      </c>
      <c r="T28" s="60">
        <v>1025</v>
      </c>
      <c r="U28" s="124" t="s">
        <v>351</v>
      </c>
      <c r="V28" s="124" t="s">
        <v>351</v>
      </c>
      <c r="W28" s="124" t="s">
        <v>351</v>
      </c>
      <c r="X28" s="126" t="s">
        <v>357</v>
      </c>
      <c r="Y28" s="126" t="s">
        <v>351</v>
      </c>
      <c r="Z28" s="116" t="s">
        <v>352</v>
      </c>
      <c r="AA28" s="127" t="s">
        <v>351</v>
      </c>
      <c r="AB28" s="124" t="s">
        <v>351</v>
      </c>
      <c r="AC28" s="124" t="s">
        <v>351</v>
      </c>
      <c r="AD28" s="139" t="s">
        <v>351</v>
      </c>
      <c r="AE28" s="127" t="s">
        <v>351</v>
      </c>
      <c r="AF28" s="116" t="s">
        <v>352</v>
      </c>
      <c r="AG28" s="116" t="s">
        <v>352</v>
      </c>
      <c r="AH28" s="116" t="s">
        <v>352</v>
      </c>
      <c r="AI28" s="116" t="s">
        <v>352</v>
      </c>
      <c r="AJ28" s="150">
        <v>41.44</v>
      </c>
      <c r="AK28" s="150">
        <v>393.66</v>
      </c>
      <c r="AL28" s="123" t="s">
        <v>351</v>
      </c>
      <c r="AM28" s="123" t="s">
        <v>351</v>
      </c>
      <c r="AN28" s="122">
        <v>1.4176769518738586</v>
      </c>
      <c r="AO28" s="116" t="s">
        <v>352</v>
      </c>
      <c r="AP28" s="123" t="s">
        <v>351</v>
      </c>
      <c r="AQ28" s="126">
        <v>1368.81</v>
      </c>
      <c r="AR28" s="54">
        <v>946.45</v>
      </c>
      <c r="AS28" s="200">
        <v>9.5468749828532158E-3</v>
      </c>
      <c r="AT28" s="116" t="s">
        <v>352</v>
      </c>
      <c r="AU28" s="116" t="s">
        <v>352</v>
      </c>
      <c r="AV28" s="163">
        <v>53.110480123902946</v>
      </c>
      <c r="AW28" s="165">
        <v>4.262923443489071</v>
      </c>
      <c r="AX28" s="164">
        <v>11.48</v>
      </c>
      <c r="AY28" s="134">
        <v>14.28</v>
      </c>
      <c r="AZ28" s="116" t="s">
        <v>352</v>
      </c>
      <c r="BA28" s="57">
        <v>21.86</v>
      </c>
      <c r="BB28" s="60">
        <v>230</v>
      </c>
      <c r="BC28" s="168">
        <v>6.59</v>
      </c>
      <c r="BD28" s="168">
        <v>0.94</v>
      </c>
      <c r="BE28" s="116" t="s">
        <v>352</v>
      </c>
      <c r="BF28" s="116" t="s">
        <v>352</v>
      </c>
      <c r="BG28" s="169">
        <v>15</v>
      </c>
      <c r="BH28" s="170">
        <v>23.45</v>
      </c>
      <c r="BI28" s="116" t="s">
        <v>352</v>
      </c>
      <c r="BJ28" s="174" t="s">
        <v>351</v>
      </c>
      <c r="BK28" s="119" t="s">
        <v>351</v>
      </c>
      <c r="BL28" s="162">
        <v>105.14865844815084</v>
      </c>
      <c r="BM28" s="162">
        <v>343.93452812597121</v>
      </c>
      <c r="BN28" s="162">
        <v>85.46565834455609</v>
      </c>
      <c r="BO28" s="60">
        <v>1471</v>
      </c>
      <c r="BP28" s="59">
        <v>0</v>
      </c>
      <c r="BQ28" s="126">
        <v>6.01</v>
      </c>
      <c r="BR28" s="116" t="s">
        <v>352</v>
      </c>
      <c r="BS28" s="184">
        <v>45.38</v>
      </c>
      <c r="BT28" s="124" t="s">
        <v>353</v>
      </c>
      <c r="BU28" s="131">
        <v>23.3</v>
      </c>
      <c r="BV28" s="54">
        <v>0</v>
      </c>
      <c r="BW28" s="177" t="s">
        <v>354</v>
      </c>
      <c r="BX28" s="177" t="s">
        <v>354</v>
      </c>
      <c r="BY28" s="189" t="s">
        <v>355</v>
      </c>
      <c r="BZ28" s="190" t="s">
        <v>359</v>
      </c>
      <c r="CA28" s="190" t="s">
        <v>359</v>
      </c>
      <c r="CB28" s="124" t="s">
        <v>351</v>
      </c>
      <c r="CC28" s="39" t="s">
        <v>351</v>
      </c>
      <c r="CD28" s="199">
        <v>56.14</v>
      </c>
    </row>
    <row r="29" spans="1:82">
      <c r="A29" s="3" t="s">
        <v>375</v>
      </c>
      <c r="B29" s="3" t="s">
        <v>375</v>
      </c>
      <c r="C29" s="27" t="s">
        <v>376</v>
      </c>
      <c r="D29" s="3" t="s">
        <v>376</v>
      </c>
      <c r="E29" s="29">
        <v>5001</v>
      </c>
      <c r="F29" s="3" t="s">
        <v>380</v>
      </c>
      <c r="G29" s="4">
        <v>5107</v>
      </c>
      <c r="H29" s="39">
        <v>487.85</v>
      </c>
      <c r="I29" s="40">
        <v>7.45</v>
      </c>
      <c r="J29" s="41">
        <v>2965.34</v>
      </c>
      <c r="K29" s="54">
        <v>3.13</v>
      </c>
      <c r="L29" s="54">
        <v>48.98</v>
      </c>
      <c r="M29" s="57">
        <v>45.09</v>
      </c>
      <c r="N29" s="54">
        <v>5.0599999999999996</v>
      </c>
      <c r="O29" s="58" t="s">
        <v>351</v>
      </c>
      <c r="P29" s="59" t="s">
        <v>351</v>
      </c>
      <c r="Q29" s="60">
        <v>677.42</v>
      </c>
      <c r="R29" s="61">
        <v>1</v>
      </c>
      <c r="S29" s="62">
        <v>718.33</v>
      </c>
      <c r="T29" s="60">
        <v>473</v>
      </c>
      <c r="U29" s="124" t="s">
        <v>351</v>
      </c>
      <c r="V29" s="124" t="s">
        <v>351</v>
      </c>
      <c r="W29" s="124" t="s">
        <v>351</v>
      </c>
      <c r="X29" s="126">
        <v>0.78</v>
      </c>
      <c r="Y29" s="31">
        <v>12.44</v>
      </c>
      <c r="Z29" s="116" t="s">
        <v>352</v>
      </c>
      <c r="AA29" s="127" t="s">
        <v>351</v>
      </c>
      <c r="AB29" s="124" t="s">
        <v>351</v>
      </c>
      <c r="AC29" s="124" t="s">
        <v>351</v>
      </c>
      <c r="AD29" s="139" t="s">
        <v>351</v>
      </c>
      <c r="AE29" s="127" t="s">
        <v>351</v>
      </c>
      <c r="AF29" s="116" t="s">
        <v>352</v>
      </c>
      <c r="AG29" s="116" t="s">
        <v>352</v>
      </c>
      <c r="AH29" s="116" t="s">
        <v>352</v>
      </c>
      <c r="AI29" s="116" t="s">
        <v>352</v>
      </c>
      <c r="AJ29" s="150">
        <v>11.59</v>
      </c>
      <c r="AK29" s="150">
        <v>367.83</v>
      </c>
      <c r="AL29" s="123" t="s">
        <v>351</v>
      </c>
      <c r="AM29" s="123" t="s">
        <v>351</v>
      </c>
      <c r="AN29" s="122">
        <v>1.2080202470093884</v>
      </c>
      <c r="AO29" s="116" t="s">
        <v>352</v>
      </c>
      <c r="AP29" s="125">
        <v>2.61</v>
      </c>
      <c r="AQ29" s="126">
        <v>786.5</v>
      </c>
      <c r="AR29" s="54">
        <v>1257</v>
      </c>
      <c r="AS29" s="200">
        <v>1.5484140098472767E-2</v>
      </c>
      <c r="AT29" s="116" t="s">
        <v>352</v>
      </c>
      <c r="AU29" s="116" t="s">
        <v>352</v>
      </c>
      <c r="AV29" s="163">
        <v>143.16717531366567</v>
      </c>
      <c r="AW29" s="165">
        <v>6.1140556665797785</v>
      </c>
      <c r="AX29" s="164">
        <v>13.67</v>
      </c>
      <c r="AY29" s="134">
        <v>28.59</v>
      </c>
      <c r="AZ29" s="116" t="s">
        <v>352</v>
      </c>
      <c r="BA29" s="57">
        <v>17.59</v>
      </c>
      <c r="BB29" s="60">
        <v>511</v>
      </c>
      <c r="BC29" s="168">
        <v>7.1</v>
      </c>
      <c r="BD29" s="168">
        <v>1.52</v>
      </c>
      <c r="BE29" s="116" t="s">
        <v>352</v>
      </c>
      <c r="BF29" s="116" t="s">
        <v>352</v>
      </c>
      <c r="BG29" s="169">
        <v>15.84</v>
      </c>
      <c r="BH29" s="170">
        <v>26.74</v>
      </c>
      <c r="BI29" s="116" t="s">
        <v>352</v>
      </c>
      <c r="BJ29" s="174" t="s">
        <v>351</v>
      </c>
      <c r="BK29" s="119" t="s">
        <v>351</v>
      </c>
      <c r="BL29" s="162">
        <v>98.184029889651583</v>
      </c>
      <c r="BM29" s="162">
        <v>186.23106554290845</v>
      </c>
      <c r="BN29" s="162">
        <v>63.428621079155441</v>
      </c>
      <c r="BO29" s="60">
        <v>1857</v>
      </c>
      <c r="BP29" s="59">
        <v>0.02</v>
      </c>
      <c r="BQ29" s="126">
        <v>6.69</v>
      </c>
      <c r="BR29" s="116" t="s">
        <v>352</v>
      </c>
      <c r="BS29" s="184">
        <v>49.89</v>
      </c>
      <c r="BT29" s="124" t="s">
        <v>355</v>
      </c>
      <c r="BU29" s="131">
        <v>63.58</v>
      </c>
      <c r="BV29" s="54">
        <v>0</v>
      </c>
      <c r="BW29" s="177" t="s">
        <v>354</v>
      </c>
      <c r="BX29" s="177" t="s">
        <v>354</v>
      </c>
      <c r="BY29" s="189" t="s">
        <v>355</v>
      </c>
      <c r="BZ29" s="190" t="s">
        <v>359</v>
      </c>
      <c r="CA29" s="190" t="s">
        <v>359</v>
      </c>
      <c r="CB29" s="124" t="s">
        <v>355</v>
      </c>
      <c r="CC29" s="41">
        <v>986.3</v>
      </c>
      <c r="CD29" s="199">
        <v>51.65</v>
      </c>
    </row>
    <row r="30" spans="1:82">
      <c r="A30" s="3" t="s">
        <v>375</v>
      </c>
      <c r="B30" s="3" t="s">
        <v>375</v>
      </c>
      <c r="C30" s="27" t="s">
        <v>376</v>
      </c>
      <c r="D30" s="3" t="s">
        <v>376</v>
      </c>
      <c r="E30" s="29">
        <v>5001</v>
      </c>
      <c r="F30" s="3" t="s">
        <v>381</v>
      </c>
      <c r="G30" s="4">
        <v>5109</v>
      </c>
      <c r="H30" s="39">
        <v>422.81</v>
      </c>
      <c r="I30" s="40">
        <v>2.2599999999999998</v>
      </c>
      <c r="J30" s="41">
        <v>2411.59</v>
      </c>
      <c r="K30" s="54">
        <v>4.18</v>
      </c>
      <c r="L30" s="54">
        <v>56.11</v>
      </c>
      <c r="M30" s="57">
        <v>65.47</v>
      </c>
      <c r="N30" s="54">
        <v>4.01</v>
      </c>
      <c r="O30" s="58">
        <v>1233.32</v>
      </c>
      <c r="P30" s="59">
        <v>10.69</v>
      </c>
      <c r="Q30" s="60">
        <v>653.78</v>
      </c>
      <c r="R30" s="61">
        <v>0.8</v>
      </c>
      <c r="S30" s="62">
        <v>944.92</v>
      </c>
      <c r="T30" s="60">
        <v>253</v>
      </c>
      <c r="U30" s="125">
        <v>14.73</v>
      </c>
      <c r="V30" s="124" t="s">
        <v>351</v>
      </c>
      <c r="W30" s="125">
        <v>2.5299999999999998</v>
      </c>
      <c r="X30" s="126">
        <v>0.46</v>
      </c>
      <c r="Y30" s="31">
        <v>12.46</v>
      </c>
      <c r="Z30" s="116" t="s">
        <v>352</v>
      </c>
      <c r="AA30" s="131">
        <v>0.92</v>
      </c>
      <c r="AB30" s="125">
        <v>37.4</v>
      </c>
      <c r="AC30" s="125">
        <v>63.6</v>
      </c>
      <c r="AD30" s="138">
        <v>55</v>
      </c>
      <c r="AE30" s="140">
        <v>60</v>
      </c>
      <c r="AF30" s="116" t="s">
        <v>352</v>
      </c>
      <c r="AG30" s="116" t="s">
        <v>352</v>
      </c>
      <c r="AH30" s="116" t="s">
        <v>352</v>
      </c>
      <c r="AI30" s="116" t="s">
        <v>352</v>
      </c>
      <c r="AJ30" s="150">
        <v>5.0999999999999996</v>
      </c>
      <c r="AK30" s="150">
        <v>281.3</v>
      </c>
      <c r="AL30" s="123" t="s">
        <v>351</v>
      </c>
      <c r="AM30" s="123" t="s">
        <v>351</v>
      </c>
      <c r="AN30" s="122">
        <v>1.1803277581590281</v>
      </c>
      <c r="AO30" s="116" t="s">
        <v>352</v>
      </c>
      <c r="AP30" s="123" t="s">
        <v>351</v>
      </c>
      <c r="AQ30" s="126">
        <v>790.76</v>
      </c>
      <c r="AR30" s="54">
        <v>697.42</v>
      </c>
      <c r="AS30" s="200">
        <v>3.6886581695668316E-2</v>
      </c>
      <c r="AT30" s="116" t="s">
        <v>352</v>
      </c>
      <c r="AU30" s="116" t="s">
        <v>352</v>
      </c>
      <c r="AV30" s="163">
        <v>564.24981562918254</v>
      </c>
      <c r="AW30" s="165">
        <v>23.408215297450425</v>
      </c>
      <c r="AX30" s="164">
        <v>5.38</v>
      </c>
      <c r="AY30" s="134">
        <v>30.92</v>
      </c>
      <c r="AZ30" s="116" t="s">
        <v>352</v>
      </c>
      <c r="BA30" s="57">
        <v>10.36</v>
      </c>
      <c r="BB30" s="60">
        <v>6573</v>
      </c>
      <c r="BC30" s="168">
        <v>4.68</v>
      </c>
      <c r="BD30" s="168">
        <v>1.87</v>
      </c>
      <c r="BE30" s="116" t="s">
        <v>352</v>
      </c>
      <c r="BF30" s="116" t="s">
        <v>352</v>
      </c>
      <c r="BG30" s="169">
        <v>9.81</v>
      </c>
      <c r="BH30" s="170">
        <v>16.010000000000002</v>
      </c>
      <c r="BI30" s="116" t="s">
        <v>352</v>
      </c>
      <c r="BJ30" s="173">
        <v>45.454545454545453</v>
      </c>
      <c r="BK30" s="119">
        <v>0.48870741693852104</v>
      </c>
      <c r="BL30" s="162">
        <v>91.983002832861203</v>
      </c>
      <c r="BM30" s="162">
        <v>205.3541076487252</v>
      </c>
      <c r="BN30" s="162">
        <v>40.963172804532583</v>
      </c>
      <c r="BO30" s="60">
        <v>1752</v>
      </c>
      <c r="BP30" s="59">
        <v>0</v>
      </c>
      <c r="BQ30" s="126">
        <v>10.54</v>
      </c>
      <c r="BR30" s="116" t="s">
        <v>352</v>
      </c>
      <c r="BS30" s="184">
        <v>47.28</v>
      </c>
      <c r="BT30" s="124" t="s">
        <v>355</v>
      </c>
      <c r="BU30" s="131">
        <v>7.63</v>
      </c>
      <c r="BV30" s="54">
        <v>17.91</v>
      </c>
      <c r="BW30" s="177" t="s">
        <v>354</v>
      </c>
      <c r="BX30" s="177" t="s">
        <v>354</v>
      </c>
      <c r="BY30" s="189" t="s">
        <v>353</v>
      </c>
      <c r="BZ30" s="190" t="s">
        <v>359</v>
      </c>
      <c r="CA30" s="190" t="s">
        <v>359</v>
      </c>
      <c r="CB30" s="124" t="s">
        <v>351</v>
      </c>
      <c r="CC30" s="39" t="s">
        <v>351</v>
      </c>
      <c r="CD30" s="199">
        <v>26.53</v>
      </c>
    </row>
    <row r="31" spans="1:82">
      <c r="A31" s="3" t="s">
        <v>375</v>
      </c>
      <c r="B31" s="5" t="s">
        <v>382</v>
      </c>
      <c r="C31" s="27" t="s">
        <v>349</v>
      </c>
      <c r="D31" s="5" t="s">
        <v>383</v>
      </c>
      <c r="E31" s="29">
        <v>5301</v>
      </c>
      <c r="F31" s="7" t="s">
        <v>382</v>
      </c>
      <c r="G31" s="4">
        <v>5301</v>
      </c>
      <c r="H31" s="39">
        <v>195.91</v>
      </c>
      <c r="I31" s="40">
        <v>4.2300000000000004</v>
      </c>
      <c r="J31" s="41">
        <v>2116.33</v>
      </c>
      <c r="K31" s="54">
        <v>1.34</v>
      </c>
      <c r="L31" s="54">
        <v>92.59</v>
      </c>
      <c r="M31" s="57">
        <v>83.72</v>
      </c>
      <c r="N31" s="54">
        <v>5.04</v>
      </c>
      <c r="O31" s="58">
        <v>1572.4</v>
      </c>
      <c r="P31" s="59">
        <v>22.79</v>
      </c>
      <c r="Q31" s="60">
        <v>776.47</v>
      </c>
      <c r="R31" s="61">
        <v>0.94</v>
      </c>
      <c r="S31" s="62">
        <v>687.34</v>
      </c>
      <c r="T31" s="60">
        <v>2224</v>
      </c>
      <c r="U31" s="124" t="s">
        <v>351</v>
      </c>
      <c r="V31" s="124" t="s">
        <v>351</v>
      </c>
      <c r="W31" s="124" t="s">
        <v>351</v>
      </c>
      <c r="X31" s="126">
        <v>0.72</v>
      </c>
      <c r="Y31" s="31">
        <v>19.690000000000001</v>
      </c>
      <c r="Z31" s="116" t="s">
        <v>352</v>
      </c>
      <c r="AA31" s="127" t="s">
        <v>351</v>
      </c>
      <c r="AB31" s="124" t="s">
        <v>351</v>
      </c>
      <c r="AC31" s="124" t="s">
        <v>351</v>
      </c>
      <c r="AD31" s="139" t="s">
        <v>351</v>
      </c>
      <c r="AE31" s="127" t="s">
        <v>351</v>
      </c>
      <c r="AF31" s="116" t="s">
        <v>352</v>
      </c>
      <c r="AG31" s="116" t="s">
        <v>352</v>
      </c>
      <c r="AH31" s="116" t="s">
        <v>352</v>
      </c>
      <c r="AI31" s="116" t="s">
        <v>352</v>
      </c>
      <c r="AJ31" s="150">
        <v>7.45</v>
      </c>
      <c r="AK31" s="150">
        <v>380.19</v>
      </c>
      <c r="AL31" s="123" t="s">
        <v>351</v>
      </c>
      <c r="AM31" s="123" t="s">
        <v>351</v>
      </c>
      <c r="AN31" s="122">
        <v>1.064551345405186</v>
      </c>
      <c r="AO31" s="116" t="s">
        <v>352</v>
      </c>
      <c r="AP31" s="123" t="s">
        <v>351</v>
      </c>
      <c r="AQ31" s="126">
        <v>763.74</v>
      </c>
      <c r="AR31" s="54">
        <v>673.07</v>
      </c>
      <c r="AS31" s="200">
        <v>5.4730535679421752E-2</v>
      </c>
      <c r="AT31" s="116" t="s">
        <v>352</v>
      </c>
      <c r="AU31" s="116" t="s">
        <v>352</v>
      </c>
      <c r="AV31" s="163">
        <v>615.41952171348191</v>
      </c>
      <c r="AW31" s="165">
        <v>20.220363495400395</v>
      </c>
      <c r="AX31" s="164">
        <v>11.73</v>
      </c>
      <c r="AY31" s="134">
        <v>46.09</v>
      </c>
      <c r="AZ31" s="116" t="s">
        <v>352</v>
      </c>
      <c r="BA31" s="57">
        <v>13.26</v>
      </c>
      <c r="BB31" s="60">
        <v>656</v>
      </c>
      <c r="BC31" s="168">
        <v>4.8099999999999996</v>
      </c>
      <c r="BD31" s="168">
        <v>1.1299999999999999</v>
      </c>
      <c r="BE31" s="116" t="s">
        <v>352</v>
      </c>
      <c r="BF31" s="116" t="s">
        <v>352</v>
      </c>
      <c r="BG31" s="169">
        <v>5.31</v>
      </c>
      <c r="BH31" s="170">
        <v>8.98</v>
      </c>
      <c r="BI31" s="116" t="s">
        <v>352</v>
      </c>
      <c r="BJ31" s="174" t="s">
        <v>351</v>
      </c>
      <c r="BK31" s="119" t="s">
        <v>351</v>
      </c>
      <c r="BL31" s="162">
        <v>70.522282357501751</v>
      </c>
      <c r="BM31" s="162">
        <v>133.73887373082255</v>
      </c>
      <c r="BN31" s="162">
        <v>47.561539264361649</v>
      </c>
      <c r="BO31" s="60">
        <v>2090</v>
      </c>
      <c r="BP31" s="59">
        <v>0.01</v>
      </c>
      <c r="BQ31" s="180" t="s">
        <v>358</v>
      </c>
      <c r="BR31" s="116" t="s">
        <v>352</v>
      </c>
      <c r="BS31" s="184">
        <v>36.83</v>
      </c>
      <c r="BT31" s="124" t="s">
        <v>355</v>
      </c>
      <c r="BU31" s="131">
        <v>48.5</v>
      </c>
      <c r="BV31" s="54">
        <v>0</v>
      </c>
      <c r="BW31" s="177" t="s">
        <v>354</v>
      </c>
      <c r="BX31" s="177" t="s">
        <v>354</v>
      </c>
      <c r="BY31" s="189" t="s">
        <v>353</v>
      </c>
      <c r="BZ31" s="193">
        <v>0</v>
      </c>
      <c r="CA31" s="191">
        <v>0</v>
      </c>
      <c r="CB31" s="124" t="s">
        <v>351</v>
      </c>
      <c r="CC31" s="39" t="s">
        <v>351</v>
      </c>
      <c r="CD31" s="199">
        <v>36.549999999999997</v>
      </c>
    </row>
    <row r="32" spans="1:82">
      <c r="A32" s="3" t="s">
        <v>375</v>
      </c>
      <c r="B32" s="5" t="s">
        <v>382</v>
      </c>
      <c r="C32" s="27" t="s">
        <v>349</v>
      </c>
      <c r="D32" s="5" t="s">
        <v>383</v>
      </c>
      <c r="E32" s="29">
        <v>5301</v>
      </c>
      <c r="F32" s="7" t="s">
        <v>384</v>
      </c>
      <c r="G32" s="4">
        <v>5304</v>
      </c>
      <c r="H32" s="39">
        <v>258.19</v>
      </c>
      <c r="I32" s="40">
        <v>7.27</v>
      </c>
      <c r="J32" s="42" t="s">
        <v>351</v>
      </c>
      <c r="K32" s="55" t="s">
        <v>351</v>
      </c>
      <c r="L32" s="54">
        <v>86.77</v>
      </c>
      <c r="M32" s="56" t="s">
        <v>351</v>
      </c>
      <c r="N32" s="54">
        <v>6.3</v>
      </c>
      <c r="O32" s="58">
        <v>1582.18</v>
      </c>
      <c r="P32" s="59" t="s">
        <v>351</v>
      </c>
      <c r="Q32" s="60">
        <v>948.35</v>
      </c>
      <c r="R32" s="61">
        <v>0.42</v>
      </c>
      <c r="S32" s="62">
        <v>1031.76</v>
      </c>
      <c r="T32" s="5" t="s">
        <v>351</v>
      </c>
      <c r="U32" s="124" t="s">
        <v>351</v>
      </c>
      <c r="V32" s="124" t="s">
        <v>351</v>
      </c>
      <c r="W32" s="124" t="s">
        <v>351</v>
      </c>
      <c r="X32" s="126" t="s">
        <v>357</v>
      </c>
      <c r="Y32" s="126" t="s">
        <v>351</v>
      </c>
      <c r="Z32" s="116" t="s">
        <v>352</v>
      </c>
      <c r="AA32" s="127" t="s">
        <v>351</v>
      </c>
      <c r="AB32" s="124" t="s">
        <v>351</v>
      </c>
      <c r="AC32" s="124" t="s">
        <v>351</v>
      </c>
      <c r="AD32" s="139" t="s">
        <v>351</v>
      </c>
      <c r="AE32" s="127" t="s">
        <v>351</v>
      </c>
      <c r="AF32" s="116" t="s">
        <v>352</v>
      </c>
      <c r="AG32" s="116" t="s">
        <v>352</v>
      </c>
      <c r="AH32" s="116" t="s">
        <v>352</v>
      </c>
      <c r="AI32" s="116" t="s">
        <v>352</v>
      </c>
      <c r="AJ32" s="150">
        <v>10.050000000000001</v>
      </c>
      <c r="AK32" s="150">
        <v>361.72</v>
      </c>
      <c r="AL32" s="123" t="s">
        <v>351</v>
      </c>
      <c r="AM32" s="123" t="s">
        <v>351</v>
      </c>
      <c r="AN32" s="122">
        <v>0.76582947080825703</v>
      </c>
      <c r="AO32" s="116" t="s">
        <v>352</v>
      </c>
      <c r="AP32" s="125">
        <v>2.5099999999999998</v>
      </c>
      <c r="AQ32" s="126">
        <v>681.27</v>
      </c>
      <c r="AR32" s="54">
        <v>884.85</v>
      </c>
      <c r="AS32" s="200">
        <v>0.39313179428832351</v>
      </c>
      <c r="AT32" s="116" t="s">
        <v>352</v>
      </c>
      <c r="AU32" s="116" t="s">
        <v>352</v>
      </c>
      <c r="AV32" s="163">
        <v>476.83923705722071</v>
      </c>
      <c r="AW32" s="165">
        <v>9.6709369505149461</v>
      </c>
      <c r="AX32" s="164">
        <v>18.329999999999998</v>
      </c>
      <c r="AY32" s="134">
        <v>35.39</v>
      </c>
      <c r="AZ32" s="116" t="s">
        <v>352</v>
      </c>
      <c r="BA32" s="57">
        <v>14.11</v>
      </c>
      <c r="BB32" s="60">
        <v>124</v>
      </c>
      <c r="BC32" s="168">
        <v>6.22</v>
      </c>
      <c r="BD32" s="168">
        <v>0.99</v>
      </c>
      <c r="BE32" s="116" t="s">
        <v>352</v>
      </c>
      <c r="BF32" s="116" t="s">
        <v>352</v>
      </c>
      <c r="BG32" s="169">
        <v>14.53</v>
      </c>
      <c r="BH32" s="170">
        <v>19.61</v>
      </c>
      <c r="BI32" s="116" t="s">
        <v>352</v>
      </c>
      <c r="BJ32" s="174" t="s">
        <v>351</v>
      </c>
      <c r="BK32" s="119" t="s">
        <v>351</v>
      </c>
      <c r="BL32" s="162">
        <v>38.683747802059784</v>
      </c>
      <c r="BM32" s="162">
        <v>84.40090429540318</v>
      </c>
      <c r="BN32" s="162">
        <v>37.678975131876413</v>
      </c>
      <c r="BO32" s="60">
        <v>811</v>
      </c>
      <c r="BP32" s="59">
        <v>0.02</v>
      </c>
      <c r="BQ32" s="180" t="s">
        <v>358</v>
      </c>
      <c r="BR32" s="116" t="s">
        <v>352</v>
      </c>
      <c r="BS32" s="184">
        <v>90.36</v>
      </c>
      <c r="BT32" s="124" t="s">
        <v>353</v>
      </c>
      <c r="BU32" s="131">
        <v>59.03</v>
      </c>
      <c r="BV32" s="54">
        <v>0</v>
      </c>
      <c r="BW32" s="177" t="s">
        <v>354</v>
      </c>
      <c r="BX32" s="177" t="s">
        <v>354</v>
      </c>
      <c r="BY32" s="189" t="s">
        <v>353</v>
      </c>
      <c r="BZ32" s="190" t="s">
        <v>359</v>
      </c>
      <c r="CA32" s="190" t="s">
        <v>359</v>
      </c>
      <c r="CB32" s="124" t="s">
        <v>355</v>
      </c>
      <c r="CC32" s="41">
        <v>3440.1</v>
      </c>
      <c r="CD32" s="199">
        <v>53.55</v>
      </c>
    </row>
    <row r="33" spans="1:82">
      <c r="A33" s="3" t="s">
        <v>375</v>
      </c>
      <c r="B33" s="5" t="s">
        <v>385</v>
      </c>
      <c r="C33" s="27" t="s">
        <v>349</v>
      </c>
      <c r="D33" s="5" t="s">
        <v>386</v>
      </c>
      <c r="E33" s="29">
        <v>5501</v>
      </c>
      <c r="F33" s="7" t="s">
        <v>385</v>
      </c>
      <c r="G33" s="4">
        <v>5501</v>
      </c>
      <c r="H33" s="39">
        <v>335.53</v>
      </c>
      <c r="I33" s="40">
        <v>3.26</v>
      </c>
      <c r="J33" s="41">
        <v>2339.48</v>
      </c>
      <c r="K33" s="54">
        <v>1.5</v>
      </c>
      <c r="L33" s="54">
        <v>66.8</v>
      </c>
      <c r="M33" s="57">
        <v>62.51</v>
      </c>
      <c r="N33" s="54">
        <v>3.11</v>
      </c>
      <c r="O33" s="58">
        <v>933.81</v>
      </c>
      <c r="P33" s="59">
        <v>6.21</v>
      </c>
      <c r="Q33" s="60">
        <v>691.73</v>
      </c>
      <c r="R33" s="61">
        <v>0.89</v>
      </c>
      <c r="S33" s="62">
        <v>646.16</v>
      </c>
      <c r="T33" s="60">
        <v>555</v>
      </c>
      <c r="U33" s="124" t="s">
        <v>351</v>
      </c>
      <c r="V33" s="124" t="s">
        <v>351</v>
      </c>
      <c r="W33" s="124" t="s">
        <v>351</v>
      </c>
      <c r="X33" s="126" t="s">
        <v>357</v>
      </c>
      <c r="Y33" s="126" t="s">
        <v>351</v>
      </c>
      <c r="Z33" s="116" t="s">
        <v>352</v>
      </c>
      <c r="AA33" s="127" t="s">
        <v>351</v>
      </c>
      <c r="AB33" s="124" t="s">
        <v>351</v>
      </c>
      <c r="AC33" s="124" t="s">
        <v>351</v>
      </c>
      <c r="AD33" s="139" t="s">
        <v>351</v>
      </c>
      <c r="AE33" s="127" t="s">
        <v>351</v>
      </c>
      <c r="AF33" s="116" t="s">
        <v>352</v>
      </c>
      <c r="AG33" s="116" t="s">
        <v>352</v>
      </c>
      <c r="AH33" s="116" t="s">
        <v>352</v>
      </c>
      <c r="AI33" s="116" t="s">
        <v>352</v>
      </c>
      <c r="AJ33" s="150">
        <v>4.21</v>
      </c>
      <c r="AK33" s="150">
        <v>360.93</v>
      </c>
      <c r="AL33" s="123" t="s">
        <v>351</v>
      </c>
      <c r="AM33" s="123" t="s">
        <v>351</v>
      </c>
      <c r="AN33" s="122">
        <v>2.801940110728383</v>
      </c>
      <c r="AO33" s="116" t="s">
        <v>352</v>
      </c>
      <c r="AP33" s="123" t="s">
        <v>351</v>
      </c>
      <c r="AQ33" s="126">
        <v>714.78</v>
      </c>
      <c r="AR33" s="54">
        <v>652.72</v>
      </c>
      <c r="AS33" s="200">
        <v>5.1976788042939009E-2</v>
      </c>
      <c r="AT33" s="116" t="s">
        <v>352</v>
      </c>
      <c r="AU33" s="116" t="s">
        <v>352</v>
      </c>
      <c r="AV33" s="163">
        <v>562.4802721565602</v>
      </c>
      <c r="AW33" s="165">
        <v>16.876420574122399</v>
      </c>
      <c r="AX33" s="164">
        <v>6.03</v>
      </c>
      <c r="AY33" s="134">
        <v>52.7</v>
      </c>
      <c r="AZ33" s="116" t="s">
        <v>352</v>
      </c>
      <c r="BA33" s="57">
        <v>11.03</v>
      </c>
      <c r="BB33" s="60">
        <v>1149</v>
      </c>
      <c r="BC33" s="168">
        <v>4.8899999999999997</v>
      </c>
      <c r="BD33" s="168">
        <v>1.8</v>
      </c>
      <c r="BE33" s="116" t="s">
        <v>352</v>
      </c>
      <c r="BF33" s="116" t="s">
        <v>352</v>
      </c>
      <c r="BG33" s="169">
        <v>10.55</v>
      </c>
      <c r="BH33" s="170">
        <v>12.17</v>
      </c>
      <c r="BI33" s="116" t="s">
        <v>352</v>
      </c>
      <c r="BJ33" s="174" t="s">
        <v>351</v>
      </c>
      <c r="BK33" s="119" t="s">
        <v>351</v>
      </c>
      <c r="BL33" s="162">
        <v>59.453657715295904</v>
      </c>
      <c r="BM33" s="162">
        <v>158.99907399612761</v>
      </c>
      <c r="BN33" s="162">
        <v>57.664786598198503</v>
      </c>
      <c r="BO33" s="60">
        <v>1909</v>
      </c>
      <c r="BP33" s="59">
        <v>0.01</v>
      </c>
      <c r="BQ33" s="180" t="s">
        <v>358</v>
      </c>
      <c r="BR33" s="116" t="s">
        <v>352</v>
      </c>
      <c r="BS33" s="184">
        <v>7.08</v>
      </c>
      <c r="BT33" s="124" t="s">
        <v>355</v>
      </c>
      <c r="BU33" s="131">
        <v>47.68</v>
      </c>
      <c r="BV33" s="54">
        <v>0.11</v>
      </c>
      <c r="BW33" s="189" t="s">
        <v>353</v>
      </c>
      <c r="BX33" s="189" t="s">
        <v>355</v>
      </c>
      <c r="BY33" s="189" t="s">
        <v>353</v>
      </c>
      <c r="BZ33" s="190" t="s">
        <v>359</v>
      </c>
      <c r="CA33" s="190" t="s">
        <v>359</v>
      </c>
      <c r="CB33" s="124" t="s">
        <v>351</v>
      </c>
      <c r="CC33" s="39" t="s">
        <v>351</v>
      </c>
      <c r="CD33" s="199">
        <v>33.93</v>
      </c>
    </row>
    <row r="34" spans="1:82">
      <c r="A34" s="3" t="s">
        <v>375</v>
      </c>
      <c r="B34" s="5" t="s">
        <v>385</v>
      </c>
      <c r="C34" s="27" t="s">
        <v>349</v>
      </c>
      <c r="D34" s="5" t="s">
        <v>386</v>
      </c>
      <c r="E34" s="29">
        <v>5501</v>
      </c>
      <c r="F34" s="7" t="s">
        <v>387</v>
      </c>
      <c r="G34" s="4">
        <v>5502</v>
      </c>
      <c r="H34" s="39">
        <v>349.64</v>
      </c>
      <c r="I34" s="40">
        <v>3.33</v>
      </c>
      <c r="J34" s="41">
        <v>1402.83</v>
      </c>
      <c r="K34" s="54">
        <v>1.7</v>
      </c>
      <c r="L34" s="54">
        <v>61.32</v>
      </c>
      <c r="M34" s="57">
        <v>91.86</v>
      </c>
      <c r="N34" s="54">
        <v>3.6</v>
      </c>
      <c r="O34" s="58">
        <v>1046.3399999999999</v>
      </c>
      <c r="P34" s="59">
        <v>3.29</v>
      </c>
      <c r="Q34" s="60">
        <v>671.85</v>
      </c>
      <c r="R34" s="61">
        <v>1.07</v>
      </c>
      <c r="S34" s="62">
        <v>544.88</v>
      </c>
      <c r="T34" s="60">
        <v>510</v>
      </c>
      <c r="U34" s="124" t="s">
        <v>351</v>
      </c>
      <c r="V34" s="124" t="s">
        <v>351</v>
      </c>
      <c r="W34" s="124" t="s">
        <v>351</v>
      </c>
      <c r="X34" s="126">
        <v>6.3</v>
      </c>
      <c r="Y34" s="31">
        <v>68.8</v>
      </c>
      <c r="Z34" s="116" t="s">
        <v>352</v>
      </c>
      <c r="AA34" s="127" t="s">
        <v>351</v>
      </c>
      <c r="AB34" s="124" t="s">
        <v>351</v>
      </c>
      <c r="AC34" s="124" t="s">
        <v>351</v>
      </c>
      <c r="AD34" s="139" t="s">
        <v>351</v>
      </c>
      <c r="AE34" s="127" t="s">
        <v>351</v>
      </c>
      <c r="AF34" s="116" t="s">
        <v>352</v>
      </c>
      <c r="AG34" s="116" t="s">
        <v>352</v>
      </c>
      <c r="AH34" s="116" t="s">
        <v>352</v>
      </c>
      <c r="AI34" s="116" t="s">
        <v>352</v>
      </c>
      <c r="AJ34" s="150">
        <v>3.77</v>
      </c>
      <c r="AK34" s="150">
        <v>241.53</v>
      </c>
      <c r="AL34" s="123" t="s">
        <v>351</v>
      </c>
      <c r="AM34" s="123" t="s">
        <v>351</v>
      </c>
      <c r="AN34" s="122">
        <v>1.0271129276233824</v>
      </c>
      <c r="AO34" s="116" t="s">
        <v>352</v>
      </c>
      <c r="AP34" s="123" t="s">
        <v>351</v>
      </c>
      <c r="AQ34" s="126">
        <v>647.04999999999995</v>
      </c>
      <c r="AR34" s="54">
        <v>584.9</v>
      </c>
      <c r="AS34" s="200">
        <v>3.8607935231229497E-2</v>
      </c>
      <c r="AT34" s="116" t="s">
        <v>352</v>
      </c>
      <c r="AU34" s="116" t="s">
        <v>352</v>
      </c>
      <c r="AV34" s="163">
        <v>447.10349191739056</v>
      </c>
      <c r="AW34" s="165">
        <v>14.665257755302285</v>
      </c>
      <c r="AX34" s="164">
        <v>7.7</v>
      </c>
      <c r="AY34" s="134">
        <v>42.75</v>
      </c>
      <c r="AZ34" s="116" t="s">
        <v>352</v>
      </c>
      <c r="BA34" s="57">
        <v>12.99</v>
      </c>
      <c r="BB34" s="60">
        <v>828</v>
      </c>
      <c r="BC34" s="168">
        <v>7.25</v>
      </c>
      <c r="BD34" s="168">
        <v>1.33</v>
      </c>
      <c r="BE34" s="116" t="s">
        <v>352</v>
      </c>
      <c r="BF34" s="116" t="s">
        <v>352</v>
      </c>
      <c r="BG34" s="169">
        <v>19.809999999999999</v>
      </c>
      <c r="BH34" s="170">
        <v>30.96</v>
      </c>
      <c r="BI34" s="116" t="s">
        <v>352</v>
      </c>
      <c r="BJ34" s="174" t="s">
        <v>351</v>
      </c>
      <c r="BK34" s="119" t="s">
        <v>351</v>
      </c>
      <c r="BL34" s="162">
        <v>57.362819835459284</v>
      </c>
      <c r="BM34" s="162">
        <v>87.931164616197449</v>
      </c>
      <c r="BN34" s="162">
        <v>49.815080383425169</v>
      </c>
      <c r="BO34" s="60">
        <v>2247</v>
      </c>
      <c r="BP34" s="59">
        <v>0.03</v>
      </c>
      <c r="BQ34" s="180" t="s">
        <v>358</v>
      </c>
      <c r="BR34" s="116" t="s">
        <v>352</v>
      </c>
      <c r="BS34" s="184">
        <v>15.76</v>
      </c>
      <c r="BT34" s="124" t="s">
        <v>355</v>
      </c>
      <c r="BU34" s="131">
        <v>52.53</v>
      </c>
      <c r="BV34" s="54">
        <v>0</v>
      </c>
      <c r="BW34" s="189" t="s">
        <v>355</v>
      </c>
      <c r="BX34" s="189" t="s">
        <v>355</v>
      </c>
      <c r="BY34" s="189" t="s">
        <v>355</v>
      </c>
      <c r="BZ34" s="191">
        <v>0</v>
      </c>
      <c r="CA34" s="191">
        <v>0</v>
      </c>
      <c r="CB34" s="124" t="s">
        <v>351</v>
      </c>
      <c r="CC34" s="39" t="s">
        <v>351</v>
      </c>
      <c r="CD34" s="199">
        <v>40.119999999999997</v>
      </c>
    </row>
    <row r="35" spans="1:82">
      <c r="A35" s="3" t="s">
        <v>375</v>
      </c>
      <c r="B35" s="5" t="s">
        <v>385</v>
      </c>
      <c r="C35" s="27" t="s">
        <v>349</v>
      </c>
      <c r="D35" s="5" t="s">
        <v>386</v>
      </c>
      <c r="E35" s="29">
        <v>5501</v>
      </c>
      <c r="F35" s="7" t="s">
        <v>388</v>
      </c>
      <c r="G35" s="4">
        <v>5503</v>
      </c>
      <c r="H35" s="39">
        <v>692.08</v>
      </c>
      <c r="I35" s="40">
        <v>4.24</v>
      </c>
      <c r="J35" s="41">
        <v>1594.14</v>
      </c>
      <c r="K35" s="54">
        <v>5.0999999999999996</v>
      </c>
      <c r="L35" s="54">
        <v>52.69</v>
      </c>
      <c r="M35" s="57">
        <v>67.06</v>
      </c>
      <c r="N35" s="54">
        <v>5.65</v>
      </c>
      <c r="O35" s="58">
        <v>2213.1799999999998</v>
      </c>
      <c r="P35" s="59">
        <v>6.82</v>
      </c>
      <c r="Q35" s="60">
        <v>1154.99</v>
      </c>
      <c r="R35" s="61">
        <v>0.96</v>
      </c>
      <c r="S35" s="62">
        <v>1056.98</v>
      </c>
      <c r="T35" s="60">
        <v>945</v>
      </c>
      <c r="U35" s="124" t="s">
        <v>351</v>
      </c>
      <c r="V35" s="124" t="s">
        <v>351</v>
      </c>
      <c r="W35" s="124" t="s">
        <v>351</v>
      </c>
      <c r="X35" s="126" t="s">
        <v>357</v>
      </c>
      <c r="Y35" s="31">
        <v>1.66</v>
      </c>
      <c r="Z35" s="116" t="s">
        <v>352</v>
      </c>
      <c r="AA35" s="127" t="s">
        <v>351</v>
      </c>
      <c r="AB35" s="124" t="s">
        <v>351</v>
      </c>
      <c r="AC35" s="124" t="s">
        <v>351</v>
      </c>
      <c r="AD35" s="139" t="s">
        <v>351</v>
      </c>
      <c r="AE35" s="127" t="s">
        <v>351</v>
      </c>
      <c r="AF35" s="116" t="s">
        <v>352</v>
      </c>
      <c r="AG35" s="116" t="s">
        <v>352</v>
      </c>
      <c r="AH35" s="116" t="s">
        <v>352</v>
      </c>
      <c r="AI35" s="116" t="s">
        <v>352</v>
      </c>
      <c r="AJ35" s="150">
        <v>10.67</v>
      </c>
      <c r="AK35" s="150">
        <v>368.1</v>
      </c>
      <c r="AL35" s="123" t="s">
        <v>351</v>
      </c>
      <c r="AM35" s="123" t="s">
        <v>351</v>
      </c>
      <c r="AN35" s="122">
        <v>1.6559667052766582</v>
      </c>
      <c r="AO35" s="116" t="s">
        <v>352</v>
      </c>
      <c r="AP35" s="123" t="s">
        <v>351</v>
      </c>
      <c r="AQ35" s="126">
        <v>677.63</v>
      </c>
      <c r="AR35" s="54">
        <v>1714.92</v>
      </c>
      <c r="AS35" s="200">
        <v>0.23447984192922181</v>
      </c>
      <c r="AT35" s="116" t="s">
        <v>352</v>
      </c>
      <c r="AU35" s="116" t="s">
        <v>352</v>
      </c>
      <c r="AV35" s="163">
        <v>125.12437810945273</v>
      </c>
      <c r="AW35" s="165">
        <v>2.6833822352627368</v>
      </c>
      <c r="AX35" s="164">
        <v>11.94</v>
      </c>
      <c r="AY35" s="134">
        <v>36.11</v>
      </c>
      <c r="AZ35" s="116" t="s">
        <v>352</v>
      </c>
      <c r="BA35" s="57">
        <v>20.61</v>
      </c>
      <c r="BB35" s="60">
        <v>257</v>
      </c>
      <c r="BC35" s="168">
        <v>7.56</v>
      </c>
      <c r="BD35" s="168">
        <v>2.13</v>
      </c>
      <c r="BE35" s="116" t="s">
        <v>352</v>
      </c>
      <c r="BF35" s="116" t="s">
        <v>352</v>
      </c>
      <c r="BG35" s="169">
        <v>8.8699999999999992</v>
      </c>
      <c r="BH35" s="170">
        <v>18.22</v>
      </c>
      <c r="BI35" s="116" t="s">
        <v>352</v>
      </c>
      <c r="BJ35" s="174" t="s">
        <v>351</v>
      </c>
      <c r="BK35" s="119" t="s">
        <v>351</v>
      </c>
      <c r="BL35" s="162">
        <v>30.408108829021071</v>
      </c>
      <c r="BM35" s="162">
        <v>76.287009869298487</v>
      </c>
      <c r="BN35" s="162">
        <v>46.945852227260602</v>
      </c>
      <c r="BO35" s="60">
        <v>1529</v>
      </c>
      <c r="BP35" s="59">
        <v>0</v>
      </c>
      <c r="BQ35" s="180" t="s">
        <v>358</v>
      </c>
      <c r="BR35" s="116" t="s">
        <v>352</v>
      </c>
      <c r="BS35" s="184">
        <v>96.03</v>
      </c>
      <c r="BT35" s="124" t="s">
        <v>355</v>
      </c>
      <c r="BU35" s="131">
        <v>48.62</v>
      </c>
      <c r="BV35" s="54">
        <v>0</v>
      </c>
      <c r="BW35" s="189" t="s">
        <v>355</v>
      </c>
      <c r="BX35" s="189" t="s">
        <v>355</v>
      </c>
      <c r="BY35" s="189" t="s">
        <v>355</v>
      </c>
      <c r="BZ35" s="190" t="s">
        <v>359</v>
      </c>
      <c r="CA35" s="190" t="s">
        <v>359</v>
      </c>
      <c r="CB35" s="124" t="s">
        <v>351</v>
      </c>
      <c r="CC35" s="39" t="s">
        <v>351</v>
      </c>
      <c r="CD35" s="199">
        <v>49.21</v>
      </c>
    </row>
    <row r="36" spans="1:82">
      <c r="A36" s="3" t="s">
        <v>375</v>
      </c>
      <c r="B36" s="5" t="s">
        <v>385</v>
      </c>
      <c r="C36" s="27" t="s">
        <v>349</v>
      </c>
      <c r="D36" s="5" t="s">
        <v>386</v>
      </c>
      <c r="E36" s="29">
        <v>5501</v>
      </c>
      <c r="F36" s="7" t="s">
        <v>389</v>
      </c>
      <c r="G36" s="4">
        <v>5504</v>
      </c>
      <c r="H36" s="39">
        <v>463.75</v>
      </c>
      <c r="I36" s="40">
        <v>3.15</v>
      </c>
      <c r="J36" s="41">
        <v>5223.41</v>
      </c>
      <c r="K36" s="55" t="s">
        <v>351</v>
      </c>
      <c r="L36" s="54">
        <v>53.46</v>
      </c>
      <c r="M36" s="57">
        <v>7.97</v>
      </c>
      <c r="N36" s="54">
        <v>1.69</v>
      </c>
      <c r="O36" s="58">
        <v>1392.41</v>
      </c>
      <c r="P36" s="59" t="s">
        <v>351</v>
      </c>
      <c r="Q36" s="60">
        <v>875.45</v>
      </c>
      <c r="R36" s="61">
        <v>0.42</v>
      </c>
      <c r="S36" s="62">
        <v>806.45</v>
      </c>
      <c r="T36" s="60">
        <v>471</v>
      </c>
      <c r="U36" s="124" t="s">
        <v>351</v>
      </c>
      <c r="V36" s="124" t="s">
        <v>351</v>
      </c>
      <c r="W36" s="124" t="s">
        <v>351</v>
      </c>
      <c r="X36" s="126" t="s">
        <v>357</v>
      </c>
      <c r="Y36" s="126" t="s">
        <v>351</v>
      </c>
      <c r="Z36" s="116" t="s">
        <v>352</v>
      </c>
      <c r="AA36" s="127" t="s">
        <v>351</v>
      </c>
      <c r="AB36" s="124" t="s">
        <v>351</v>
      </c>
      <c r="AC36" s="124" t="s">
        <v>351</v>
      </c>
      <c r="AD36" s="139" t="s">
        <v>351</v>
      </c>
      <c r="AE36" s="127" t="s">
        <v>351</v>
      </c>
      <c r="AF36" s="116" t="s">
        <v>352</v>
      </c>
      <c r="AG36" s="116" t="s">
        <v>352</v>
      </c>
      <c r="AH36" s="116" t="s">
        <v>352</v>
      </c>
      <c r="AI36" s="116" t="s">
        <v>352</v>
      </c>
      <c r="AJ36" s="150">
        <v>0</v>
      </c>
      <c r="AK36" s="150">
        <v>121.83</v>
      </c>
      <c r="AL36" s="123" t="s">
        <v>351</v>
      </c>
      <c r="AM36" s="123" t="s">
        <v>351</v>
      </c>
      <c r="AN36" s="162" t="s">
        <v>351</v>
      </c>
      <c r="AO36" s="116" t="s">
        <v>352</v>
      </c>
      <c r="AP36" s="123" t="s">
        <v>351</v>
      </c>
      <c r="AQ36" s="126">
        <v>708.18</v>
      </c>
      <c r="AR36" s="54">
        <v>794.9</v>
      </c>
      <c r="AS36" s="200">
        <v>9.0906479598456144E-2</v>
      </c>
      <c r="AT36" s="116" t="s">
        <v>352</v>
      </c>
      <c r="AU36" s="116" t="s">
        <v>352</v>
      </c>
      <c r="AV36" s="163">
        <v>487.03782405439864</v>
      </c>
      <c r="AW36" s="165">
        <v>14.443557534764526</v>
      </c>
      <c r="AX36" s="164">
        <v>9.4</v>
      </c>
      <c r="AY36" s="134">
        <v>59.89</v>
      </c>
      <c r="AZ36" s="116" t="s">
        <v>352</v>
      </c>
      <c r="BA36" s="57">
        <v>10.1</v>
      </c>
      <c r="BB36" s="60">
        <v>176</v>
      </c>
      <c r="BC36" s="168">
        <v>4.21</v>
      </c>
      <c r="BD36" s="168">
        <v>0.48</v>
      </c>
      <c r="BE36" s="116" t="s">
        <v>352</v>
      </c>
      <c r="BF36" s="116" t="s">
        <v>352</v>
      </c>
      <c r="BG36" s="169">
        <v>5.99</v>
      </c>
      <c r="BH36" s="170">
        <v>15.64</v>
      </c>
      <c r="BI36" s="116" t="s">
        <v>352</v>
      </c>
      <c r="BJ36" s="174" t="s">
        <v>351</v>
      </c>
      <c r="BK36" s="119" t="s">
        <v>351</v>
      </c>
      <c r="BL36" s="162">
        <v>29.408057807839349</v>
      </c>
      <c r="BM36" s="162">
        <v>86.123597865815242</v>
      </c>
      <c r="BN36" s="162">
        <v>34.869554257866653</v>
      </c>
      <c r="BO36" s="60">
        <v>2147</v>
      </c>
      <c r="BP36" s="59">
        <v>0.04</v>
      </c>
      <c r="BQ36" s="180" t="s">
        <v>358</v>
      </c>
      <c r="BR36" s="116" t="s">
        <v>352</v>
      </c>
      <c r="BS36" s="184">
        <v>13.65</v>
      </c>
      <c r="BT36" s="124" t="s">
        <v>355</v>
      </c>
      <c r="BU36" s="131">
        <v>44.66</v>
      </c>
      <c r="BV36" s="54">
        <v>0</v>
      </c>
      <c r="BW36" s="189" t="s">
        <v>355</v>
      </c>
      <c r="BX36" s="189" t="s">
        <v>355</v>
      </c>
      <c r="BY36" s="189" t="s">
        <v>355</v>
      </c>
      <c r="BZ36" s="190" t="s">
        <v>359</v>
      </c>
      <c r="CA36" s="190" t="s">
        <v>359</v>
      </c>
      <c r="CB36" s="124" t="s">
        <v>351</v>
      </c>
      <c r="CC36" s="39" t="s">
        <v>351</v>
      </c>
      <c r="CD36" s="199">
        <v>53.67</v>
      </c>
    </row>
    <row r="37" spans="1:82">
      <c r="A37" s="3" t="s">
        <v>375</v>
      </c>
      <c r="B37" s="3" t="s">
        <v>390</v>
      </c>
      <c r="C37" s="27" t="s">
        <v>349</v>
      </c>
      <c r="D37" s="3" t="s">
        <v>391</v>
      </c>
      <c r="E37" s="29">
        <v>5601</v>
      </c>
      <c r="F37" s="6" t="s">
        <v>390</v>
      </c>
      <c r="G37" s="4">
        <v>5601</v>
      </c>
      <c r="H37" s="39">
        <v>383.77</v>
      </c>
      <c r="I37" s="40">
        <v>3.41</v>
      </c>
      <c r="J37" s="41">
        <v>1777.72</v>
      </c>
      <c r="K37" s="54">
        <v>3.94</v>
      </c>
      <c r="L37" s="54">
        <v>75.13</v>
      </c>
      <c r="M37" s="57">
        <v>93.28</v>
      </c>
      <c r="N37" s="54">
        <v>6.23</v>
      </c>
      <c r="O37" s="58">
        <v>977.32</v>
      </c>
      <c r="P37" s="59">
        <v>13.45</v>
      </c>
      <c r="Q37" s="60">
        <v>629.15</v>
      </c>
      <c r="R37" s="61">
        <v>0.93</v>
      </c>
      <c r="S37" s="62">
        <v>582.01</v>
      </c>
      <c r="T37" s="5" t="s">
        <v>351</v>
      </c>
      <c r="U37" s="124" t="s">
        <v>351</v>
      </c>
      <c r="V37" s="124" t="s">
        <v>351</v>
      </c>
      <c r="W37" s="124" t="s">
        <v>351</v>
      </c>
      <c r="X37" s="126" t="s">
        <v>357</v>
      </c>
      <c r="Y37" s="126" t="s">
        <v>351</v>
      </c>
      <c r="Z37" s="116" t="s">
        <v>352</v>
      </c>
      <c r="AA37" s="131">
        <v>1.33</v>
      </c>
      <c r="AB37" s="125">
        <v>33.5</v>
      </c>
      <c r="AC37" s="125">
        <v>59.1</v>
      </c>
      <c r="AD37" s="138">
        <v>40</v>
      </c>
      <c r="AE37" s="141">
        <v>55</v>
      </c>
      <c r="AF37" s="116" t="s">
        <v>352</v>
      </c>
      <c r="AG37" s="116" t="s">
        <v>352</v>
      </c>
      <c r="AH37" s="116" t="s">
        <v>352</v>
      </c>
      <c r="AI37" s="116" t="s">
        <v>352</v>
      </c>
      <c r="AJ37" s="150">
        <v>8.41</v>
      </c>
      <c r="AK37" s="150">
        <v>278.57</v>
      </c>
      <c r="AL37" s="123" t="s">
        <v>351</v>
      </c>
      <c r="AM37" s="123" t="s">
        <v>351</v>
      </c>
      <c r="AN37" s="122">
        <v>0.92487713280600881</v>
      </c>
      <c r="AO37" s="116" t="s">
        <v>352</v>
      </c>
      <c r="AP37" s="125">
        <v>2.1</v>
      </c>
      <c r="AQ37" s="126">
        <v>680.06</v>
      </c>
      <c r="AR37" s="54">
        <v>757.93</v>
      </c>
      <c r="AS37" s="200" t="s">
        <v>351</v>
      </c>
      <c r="AT37" s="116" t="s">
        <v>352</v>
      </c>
      <c r="AU37" s="116" t="s">
        <v>352</v>
      </c>
      <c r="AV37" s="163">
        <v>413.53559707990092</v>
      </c>
      <c r="AW37" s="165">
        <v>12.981183643435298</v>
      </c>
      <c r="AX37" s="164">
        <v>6.9</v>
      </c>
      <c r="AY37" s="134">
        <v>43.82</v>
      </c>
      <c r="AZ37" s="116" t="s">
        <v>352</v>
      </c>
      <c r="BA37" s="57">
        <v>13.62</v>
      </c>
      <c r="BB37" s="60">
        <v>1381</v>
      </c>
      <c r="BC37" s="168">
        <v>6.91</v>
      </c>
      <c r="BD37" s="168">
        <v>1.2</v>
      </c>
      <c r="BE37" s="116" t="s">
        <v>352</v>
      </c>
      <c r="BF37" s="116" t="s">
        <v>352</v>
      </c>
      <c r="BG37" s="169">
        <v>7.71</v>
      </c>
      <c r="BH37" s="170">
        <v>17.93</v>
      </c>
      <c r="BI37" s="116" t="s">
        <v>352</v>
      </c>
      <c r="BJ37" s="174" t="s">
        <v>351</v>
      </c>
      <c r="BK37" s="119" t="s">
        <v>351</v>
      </c>
      <c r="BL37" s="162">
        <v>92.50499316724482</v>
      </c>
      <c r="BM37" s="162">
        <v>176.49532219068644</v>
      </c>
      <c r="BN37" s="162">
        <v>54.241564175339008</v>
      </c>
      <c r="BO37" s="60">
        <v>2067</v>
      </c>
      <c r="BP37" s="59">
        <v>0.01</v>
      </c>
      <c r="BQ37" s="126">
        <v>3.45</v>
      </c>
      <c r="BR37" s="116" t="s">
        <v>352</v>
      </c>
      <c r="BS37" s="184">
        <v>9.34</v>
      </c>
      <c r="BT37" s="124" t="s">
        <v>355</v>
      </c>
      <c r="BU37" s="131">
        <v>46.32</v>
      </c>
      <c r="BV37" s="54">
        <v>0</v>
      </c>
      <c r="BW37" s="189" t="s">
        <v>353</v>
      </c>
      <c r="BX37" s="189" t="s">
        <v>355</v>
      </c>
      <c r="BY37" s="189" t="s">
        <v>353</v>
      </c>
      <c r="BZ37" s="190" t="s">
        <v>359</v>
      </c>
      <c r="CA37" s="190" t="s">
        <v>359</v>
      </c>
      <c r="CB37" s="124" t="s">
        <v>353</v>
      </c>
      <c r="CC37" s="41">
        <v>4467.6000000000004</v>
      </c>
      <c r="CD37" s="199">
        <v>30.86</v>
      </c>
    </row>
    <row r="38" spans="1:82">
      <c r="A38" s="3" t="s">
        <v>375</v>
      </c>
      <c r="B38" s="3" t="s">
        <v>390</v>
      </c>
      <c r="C38" s="27" t="s">
        <v>349</v>
      </c>
      <c r="D38" s="3" t="s">
        <v>391</v>
      </c>
      <c r="E38" s="29">
        <v>5601</v>
      </c>
      <c r="F38" s="6" t="s">
        <v>392</v>
      </c>
      <c r="G38" s="4">
        <v>5603</v>
      </c>
      <c r="H38" s="39">
        <v>579.17999999999995</v>
      </c>
      <c r="I38" s="40">
        <v>5.86</v>
      </c>
      <c r="J38" s="41">
        <v>6071.8</v>
      </c>
      <c r="K38" s="55" t="s">
        <v>351</v>
      </c>
      <c r="L38" s="54">
        <v>40.94</v>
      </c>
      <c r="M38" s="56" t="s">
        <v>351</v>
      </c>
      <c r="N38" s="54">
        <v>2.4</v>
      </c>
      <c r="O38" s="58">
        <v>1541.34</v>
      </c>
      <c r="P38" s="59">
        <v>11.54</v>
      </c>
      <c r="Q38" s="60">
        <v>893.74</v>
      </c>
      <c r="R38" s="61">
        <v>0.99</v>
      </c>
      <c r="S38" s="62">
        <v>887.09</v>
      </c>
      <c r="T38" s="5" t="s">
        <v>351</v>
      </c>
      <c r="U38" s="124" t="s">
        <v>351</v>
      </c>
      <c r="V38" s="124" t="s">
        <v>351</v>
      </c>
      <c r="W38" s="124" t="s">
        <v>351</v>
      </c>
      <c r="X38" s="126" t="s">
        <v>357</v>
      </c>
      <c r="Y38" s="126" t="s">
        <v>351</v>
      </c>
      <c r="Z38" s="116" t="s">
        <v>352</v>
      </c>
      <c r="AA38" s="127" t="s">
        <v>351</v>
      </c>
      <c r="AB38" s="124" t="s">
        <v>351</v>
      </c>
      <c r="AC38" s="124" t="s">
        <v>351</v>
      </c>
      <c r="AD38" s="139" t="s">
        <v>351</v>
      </c>
      <c r="AE38" s="127" t="s">
        <v>351</v>
      </c>
      <c r="AF38" s="116" t="s">
        <v>352</v>
      </c>
      <c r="AG38" s="116" t="s">
        <v>352</v>
      </c>
      <c r="AH38" s="116" t="s">
        <v>352</v>
      </c>
      <c r="AI38" s="116" t="s">
        <v>352</v>
      </c>
      <c r="AJ38" s="150">
        <v>4.1100000000000003</v>
      </c>
      <c r="AK38" s="150">
        <v>407.29</v>
      </c>
      <c r="AL38" s="123" t="s">
        <v>351</v>
      </c>
      <c r="AM38" s="123" t="s">
        <v>351</v>
      </c>
      <c r="AN38" s="122">
        <v>1.8685411666181058</v>
      </c>
      <c r="AO38" s="116" t="s">
        <v>352</v>
      </c>
      <c r="AP38" s="123" t="s">
        <v>351</v>
      </c>
      <c r="AQ38" s="126">
        <v>705.86</v>
      </c>
      <c r="AR38" s="54">
        <v>581.59</v>
      </c>
      <c r="AS38" s="200" t="s">
        <v>351</v>
      </c>
      <c r="AT38" s="116" t="s">
        <v>352</v>
      </c>
      <c r="AU38" s="116" t="s">
        <v>352</v>
      </c>
      <c r="AV38" s="163">
        <v>75.968888292879171</v>
      </c>
      <c r="AW38" s="165">
        <v>4.6612087053112274</v>
      </c>
      <c r="AX38" s="164">
        <v>3.95</v>
      </c>
      <c r="AY38" s="134">
        <v>16.91</v>
      </c>
      <c r="AZ38" s="116" t="s">
        <v>352</v>
      </c>
      <c r="BA38" s="57">
        <v>24.77</v>
      </c>
      <c r="BB38" s="60">
        <v>444</v>
      </c>
      <c r="BC38" s="168">
        <v>8.52</v>
      </c>
      <c r="BD38" s="168">
        <v>1.29</v>
      </c>
      <c r="BE38" s="116" t="s">
        <v>352</v>
      </c>
      <c r="BF38" s="116" t="s">
        <v>352</v>
      </c>
      <c r="BG38" s="169">
        <v>13.26</v>
      </c>
      <c r="BH38" s="170">
        <v>20.78</v>
      </c>
      <c r="BI38" s="116" t="s">
        <v>352</v>
      </c>
      <c r="BJ38" s="174" t="s">
        <v>351</v>
      </c>
      <c r="BK38" s="119" t="s">
        <v>351</v>
      </c>
      <c r="BL38" s="162">
        <v>122.59842843625293</v>
      </c>
      <c r="BM38" s="162">
        <v>243.96264450569794</v>
      </c>
      <c r="BN38" s="162">
        <v>78.98959147570659</v>
      </c>
      <c r="BO38" s="60">
        <v>1561</v>
      </c>
      <c r="BP38" s="59">
        <v>0.01</v>
      </c>
      <c r="BQ38" s="126">
        <v>15.92</v>
      </c>
      <c r="BR38" s="116" t="s">
        <v>352</v>
      </c>
      <c r="BS38" s="184">
        <v>87.78</v>
      </c>
      <c r="BT38" s="124" t="s">
        <v>355</v>
      </c>
      <c r="BU38" s="131">
        <v>82.65</v>
      </c>
      <c r="BV38" s="54">
        <v>3.36</v>
      </c>
      <c r="BW38" s="177" t="s">
        <v>354</v>
      </c>
      <c r="BX38" s="177" t="s">
        <v>354</v>
      </c>
      <c r="BY38" s="189" t="s">
        <v>355</v>
      </c>
      <c r="BZ38" s="191">
        <v>0</v>
      </c>
      <c r="CA38" s="191">
        <v>0</v>
      </c>
      <c r="CB38" s="124" t="s">
        <v>351</v>
      </c>
      <c r="CC38" s="39" t="s">
        <v>351</v>
      </c>
      <c r="CD38" s="199">
        <v>45.44</v>
      </c>
    </row>
    <row r="39" spans="1:82">
      <c r="A39" s="3" t="s">
        <v>375</v>
      </c>
      <c r="B39" s="3" t="s">
        <v>390</v>
      </c>
      <c r="C39" s="27" t="s">
        <v>349</v>
      </c>
      <c r="D39" s="3" t="s">
        <v>391</v>
      </c>
      <c r="E39" s="29">
        <v>5601</v>
      </c>
      <c r="F39" s="6" t="s">
        <v>393</v>
      </c>
      <c r="G39" s="4">
        <v>5606</v>
      </c>
      <c r="H39" s="39">
        <v>418.08</v>
      </c>
      <c r="I39" s="40">
        <v>24.69</v>
      </c>
      <c r="J39" s="42" t="s">
        <v>351</v>
      </c>
      <c r="K39" s="55" t="s">
        <v>351</v>
      </c>
      <c r="L39" s="54">
        <v>55.95</v>
      </c>
      <c r="M39" s="56" t="s">
        <v>351</v>
      </c>
      <c r="N39" s="54">
        <v>13.81</v>
      </c>
      <c r="O39" s="58">
        <v>1751.53</v>
      </c>
      <c r="P39" s="59">
        <v>26.03</v>
      </c>
      <c r="Q39" s="60">
        <v>1402.93</v>
      </c>
      <c r="R39" s="61">
        <v>0.99</v>
      </c>
      <c r="S39" s="62">
        <v>1406.78</v>
      </c>
      <c r="T39" s="5" t="s">
        <v>351</v>
      </c>
      <c r="U39" s="124" t="s">
        <v>351</v>
      </c>
      <c r="V39" s="124" t="s">
        <v>351</v>
      </c>
      <c r="W39" s="124" t="s">
        <v>351</v>
      </c>
      <c r="X39" s="126" t="s">
        <v>357</v>
      </c>
      <c r="Y39" s="126" t="s">
        <v>351</v>
      </c>
      <c r="Z39" s="116" t="s">
        <v>352</v>
      </c>
      <c r="AA39" s="127" t="s">
        <v>351</v>
      </c>
      <c r="AB39" s="124" t="s">
        <v>351</v>
      </c>
      <c r="AC39" s="124" t="s">
        <v>351</v>
      </c>
      <c r="AD39" s="139" t="s">
        <v>351</v>
      </c>
      <c r="AE39" s="127" t="s">
        <v>351</v>
      </c>
      <c r="AF39" s="116" t="s">
        <v>352</v>
      </c>
      <c r="AG39" s="116" t="s">
        <v>352</v>
      </c>
      <c r="AH39" s="116" t="s">
        <v>352</v>
      </c>
      <c r="AI39" s="116" t="s">
        <v>352</v>
      </c>
      <c r="AJ39" s="150">
        <v>0</v>
      </c>
      <c r="AK39" s="150">
        <v>156.97</v>
      </c>
      <c r="AL39" s="123" t="s">
        <v>351</v>
      </c>
      <c r="AM39" s="123" t="s">
        <v>351</v>
      </c>
      <c r="AN39" s="122">
        <v>1.0982796374587709</v>
      </c>
      <c r="AO39" s="116" t="s">
        <v>352</v>
      </c>
      <c r="AP39" s="123" t="s">
        <v>351</v>
      </c>
      <c r="AQ39" s="126">
        <v>1542.96</v>
      </c>
      <c r="AR39" s="54">
        <v>2141.66</v>
      </c>
      <c r="AS39" s="200">
        <v>9.6644723177157305E-2</v>
      </c>
      <c r="AT39" s="116" t="s">
        <v>352</v>
      </c>
      <c r="AU39" s="116" t="s">
        <v>352</v>
      </c>
      <c r="AV39" s="163">
        <v>322.85452042221203</v>
      </c>
      <c r="AW39" s="165">
        <v>12.269992151390948</v>
      </c>
      <c r="AX39" s="164">
        <v>11.93</v>
      </c>
      <c r="AY39" s="134">
        <v>44.29</v>
      </c>
      <c r="AZ39" s="116" t="s">
        <v>352</v>
      </c>
      <c r="BA39" s="57">
        <v>7.21</v>
      </c>
      <c r="BB39" s="60">
        <v>64</v>
      </c>
      <c r="BC39" s="168">
        <v>3.71</v>
      </c>
      <c r="BD39" s="168">
        <v>1.04</v>
      </c>
      <c r="BE39" s="116" t="s">
        <v>352</v>
      </c>
      <c r="BF39" s="116" t="s">
        <v>352</v>
      </c>
      <c r="BG39" s="169">
        <v>5.41</v>
      </c>
      <c r="BH39" s="170">
        <v>20.69</v>
      </c>
      <c r="BI39" s="116" t="s">
        <v>352</v>
      </c>
      <c r="BJ39" s="174" t="s">
        <v>351</v>
      </c>
      <c r="BK39" s="119" t="s">
        <v>351</v>
      </c>
      <c r="BL39" s="162">
        <v>35.754774570506669</v>
      </c>
      <c r="BM39" s="162">
        <v>150.86770733408912</v>
      </c>
      <c r="BN39" s="162">
        <v>23.545827156187318</v>
      </c>
      <c r="BO39" s="60">
        <v>1727</v>
      </c>
      <c r="BP39" s="59">
        <v>0.01</v>
      </c>
      <c r="BQ39" s="183" t="s">
        <v>351</v>
      </c>
      <c r="BR39" s="116" t="s">
        <v>352</v>
      </c>
      <c r="BS39" s="184">
        <v>83.3</v>
      </c>
      <c r="BT39" s="124" t="s">
        <v>355</v>
      </c>
      <c r="BU39" s="131">
        <v>9.31</v>
      </c>
      <c r="BV39" s="54">
        <v>0</v>
      </c>
      <c r="BW39" s="177" t="s">
        <v>354</v>
      </c>
      <c r="BX39" s="177" t="s">
        <v>354</v>
      </c>
      <c r="BY39" s="189" t="s">
        <v>355</v>
      </c>
      <c r="BZ39" s="190" t="s">
        <v>359</v>
      </c>
      <c r="CA39" s="190" t="s">
        <v>359</v>
      </c>
      <c r="CB39" s="124" t="s">
        <v>351</v>
      </c>
      <c r="CC39" s="39" t="s">
        <v>351</v>
      </c>
      <c r="CD39" s="199">
        <v>53.61</v>
      </c>
    </row>
    <row r="40" spans="1:82">
      <c r="A40" s="3" t="s">
        <v>375</v>
      </c>
      <c r="B40" s="5" t="s">
        <v>394</v>
      </c>
      <c r="C40" s="27" t="s">
        <v>349</v>
      </c>
      <c r="D40" s="5" t="s">
        <v>395</v>
      </c>
      <c r="E40" s="29">
        <v>5701</v>
      </c>
      <c r="F40" s="7" t="s">
        <v>395</v>
      </c>
      <c r="G40" s="4">
        <v>5701</v>
      </c>
      <c r="H40" s="39">
        <v>326.72000000000003</v>
      </c>
      <c r="I40" s="40">
        <v>3.14</v>
      </c>
      <c r="J40" s="41">
        <v>958.75</v>
      </c>
      <c r="K40" s="54">
        <v>1.57</v>
      </c>
      <c r="L40" s="54">
        <v>80.64</v>
      </c>
      <c r="M40" s="57">
        <v>91.41</v>
      </c>
      <c r="N40" s="54">
        <v>3.96</v>
      </c>
      <c r="O40" s="58">
        <v>1534.13</v>
      </c>
      <c r="P40" s="59">
        <v>23.1</v>
      </c>
      <c r="Q40" s="60">
        <v>685.35</v>
      </c>
      <c r="R40" s="61">
        <v>0.84</v>
      </c>
      <c r="S40" s="62">
        <v>666.07</v>
      </c>
      <c r="T40" s="60">
        <v>1391</v>
      </c>
      <c r="U40" s="124" t="s">
        <v>351</v>
      </c>
      <c r="V40" s="124" t="s">
        <v>351</v>
      </c>
      <c r="W40" s="124" t="s">
        <v>351</v>
      </c>
      <c r="X40" s="126">
        <v>3.73</v>
      </c>
      <c r="Y40" s="31">
        <v>50.08</v>
      </c>
      <c r="Z40" s="116" t="s">
        <v>352</v>
      </c>
      <c r="AA40" s="127" t="s">
        <v>351</v>
      </c>
      <c r="AB40" s="124" t="s">
        <v>351</v>
      </c>
      <c r="AC40" s="124" t="s">
        <v>351</v>
      </c>
      <c r="AD40" s="139" t="s">
        <v>351</v>
      </c>
      <c r="AE40" s="127" t="s">
        <v>351</v>
      </c>
      <c r="AF40" s="116" t="s">
        <v>352</v>
      </c>
      <c r="AG40" s="116" t="s">
        <v>352</v>
      </c>
      <c r="AH40" s="116" t="s">
        <v>352</v>
      </c>
      <c r="AI40" s="116" t="s">
        <v>352</v>
      </c>
      <c r="AJ40" s="150">
        <v>3.7</v>
      </c>
      <c r="AK40" s="150">
        <v>486.93</v>
      </c>
      <c r="AL40" s="123" t="s">
        <v>351</v>
      </c>
      <c r="AM40" s="123" t="s">
        <v>351</v>
      </c>
      <c r="AN40" s="162" t="s">
        <v>351</v>
      </c>
      <c r="AO40" s="116" t="s">
        <v>352</v>
      </c>
      <c r="AP40" s="125">
        <v>0</v>
      </c>
      <c r="AQ40" s="126">
        <v>711.68</v>
      </c>
      <c r="AR40" s="54">
        <v>772.67</v>
      </c>
      <c r="AS40" s="200">
        <v>1.6933733803116659E-2</v>
      </c>
      <c r="AT40" s="116" t="s">
        <v>352</v>
      </c>
      <c r="AU40" s="116" t="s">
        <v>352</v>
      </c>
      <c r="AV40" s="163">
        <v>510.18203640728143</v>
      </c>
      <c r="AW40" s="165">
        <v>15.719921104536489</v>
      </c>
      <c r="AX40" s="164">
        <v>9.6199999999999992</v>
      </c>
      <c r="AY40" s="134">
        <v>24.17</v>
      </c>
      <c r="AZ40" s="116" t="s">
        <v>352</v>
      </c>
      <c r="BA40" s="57">
        <v>16.28</v>
      </c>
      <c r="BB40" s="60">
        <v>1385</v>
      </c>
      <c r="BC40" s="168">
        <v>6.29</v>
      </c>
      <c r="BD40" s="168">
        <v>1.94</v>
      </c>
      <c r="BE40" s="116" t="s">
        <v>352</v>
      </c>
      <c r="BF40" s="116" t="s">
        <v>352</v>
      </c>
      <c r="BG40" s="169">
        <v>14.22</v>
      </c>
      <c r="BH40" s="170">
        <v>19.09</v>
      </c>
      <c r="BI40" s="116" t="s">
        <v>352</v>
      </c>
      <c r="BJ40" s="174" t="s">
        <v>351</v>
      </c>
      <c r="BK40" s="119" t="s">
        <v>351</v>
      </c>
      <c r="BL40" s="162">
        <v>105.64595660749507</v>
      </c>
      <c r="BM40" s="162">
        <v>193.91025641025641</v>
      </c>
      <c r="BN40" s="162">
        <v>79.758382642998029</v>
      </c>
      <c r="BO40" s="60">
        <v>1864</v>
      </c>
      <c r="BP40" s="59">
        <v>0.01</v>
      </c>
      <c r="BQ40" s="182" t="s">
        <v>358</v>
      </c>
      <c r="BR40" s="116" t="s">
        <v>352</v>
      </c>
      <c r="BS40" s="184">
        <v>36.82</v>
      </c>
      <c r="BT40" s="124" t="s">
        <v>355</v>
      </c>
      <c r="BU40" s="131">
        <v>47.22</v>
      </c>
      <c r="BV40" s="54">
        <v>12.66</v>
      </c>
      <c r="BW40" s="177" t="s">
        <v>354</v>
      </c>
      <c r="BX40" s="177" t="s">
        <v>354</v>
      </c>
      <c r="BY40" s="189" t="s">
        <v>353</v>
      </c>
      <c r="BZ40" s="190" t="s">
        <v>359</v>
      </c>
      <c r="CA40" s="190" t="s">
        <v>359</v>
      </c>
      <c r="CB40" s="124" t="s">
        <v>355</v>
      </c>
      <c r="CC40" s="41">
        <v>1479.3</v>
      </c>
      <c r="CD40" s="199">
        <v>38.299999999999997</v>
      </c>
    </row>
    <row r="41" spans="1:82">
      <c r="A41" s="3" t="s">
        <v>375</v>
      </c>
      <c r="B41" s="3" t="s">
        <v>396</v>
      </c>
      <c r="C41" s="27" t="s">
        <v>376</v>
      </c>
      <c r="D41" s="3" t="s">
        <v>376</v>
      </c>
      <c r="E41" s="29">
        <v>5001</v>
      </c>
      <c r="F41" s="3" t="s">
        <v>397</v>
      </c>
      <c r="G41" s="4">
        <v>5801</v>
      </c>
      <c r="H41" s="39">
        <v>533.01</v>
      </c>
      <c r="I41" s="40">
        <v>2.82</v>
      </c>
      <c r="J41" s="41">
        <v>2545.9899999999998</v>
      </c>
      <c r="K41" s="54">
        <v>1.06</v>
      </c>
      <c r="L41" s="54">
        <v>42.51</v>
      </c>
      <c r="M41" s="57">
        <v>65.459999999999994</v>
      </c>
      <c r="N41" s="54">
        <v>1.9</v>
      </c>
      <c r="O41" s="58">
        <v>1186.58</v>
      </c>
      <c r="P41" s="59">
        <v>7.03</v>
      </c>
      <c r="Q41" s="60">
        <v>583.27</v>
      </c>
      <c r="R41" s="61">
        <v>0.96</v>
      </c>
      <c r="S41" s="62">
        <v>844.6</v>
      </c>
      <c r="T41" s="60">
        <v>276</v>
      </c>
      <c r="U41" s="125">
        <v>8.4</v>
      </c>
      <c r="V41" s="124" t="s">
        <v>351</v>
      </c>
      <c r="W41" s="125">
        <v>1.75</v>
      </c>
      <c r="X41" s="126">
        <v>1.1200000000000001</v>
      </c>
      <c r="Y41" s="31">
        <v>23.61</v>
      </c>
      <c r="Z41" s="116" t="s">
        <v>352</v>
      </c>
      <c r="AA41" s="131">
        <v>1</v>
      </c>
      <c r="AB41" s="125">
        <v>37.4</v>
      </c>
      <c r="AC41" s="125">
        <v>65.3</v>
      </c>
      <c r="AD41" s="137">
        <v>60</v>
      </c>
      <c r="AE41" s="141">
        <v>70</v>
      </c>
      <c r="AF41" s="116" t="s">
        <v>352</v>
      </c>
      <c r="AG41" s="116" t="s">
        <v>352</v>
      </c>
      <c r="AH41" s="116" t="s">
        <v>352</v>
      </c>
      <c r="AI41" s="116" t="s">
        <v>352</v>
      </c>
      <c r="AJ41" s="150">
        <v>3.69</v>
      </c>
      <c r="AK41" s="150">
        <v>336.69</v>
      </c>
      <c r="AL41" s="123" t="s">
        <v>351</v>
      </c>
      <c r="AM41" s="123" t="s">
        <v>351</v>
      </c>
      <c r="AN41" s="122">
        <v>0.95162915754908661</v>
      </c>
      <c r="AO41" s="116" t="s">
        <v>352</v>
      </c>
      <c r="AP41" s="125">
        <v>0</v>
      </c>
      <c r="AQ41" s="126">
        <v>711.94</v>
      </c>
      <c r="AR41" s="54">
        <v>344.51</v>
      </c>
      <c r="AS41" s="200">
        <v>2.9301009514706631E-2</v>
      </c>
      <c r="AT41" s="116" t="s">
        <v>352</v>
      </c>
      <c r="AU41" s="116" t="s">
        <v>352</v>
      </c>
      <c r="AV41" s="163">
        <v>697.72872388944631</v>
      </c>
      <c r="AW41" s="165">
        <v>23.5412152846169</v>
      </c>
      <c r="AX41" s="164">
        <v>5.43</v>
      </c>
      <c r="AY41" s="134">
        <v>44.36</v>
      </c>
      <c r="AZ41" s="116" t="s">
        <v>352</v>
      </c>
      <c r="BA41" s="57">
        <v>11.26</v>
      </c>
      <c r="BB41" s="60">
        <v>1992</v>
      </c>
      <c r="BC41" s="168">
        <v>4.12</v>
      </c>
      <c r="BD41" s="168">
        <v>1.1000000000000001</v>
      </c>
      <c r="BE41" s="116" t="s">
        <v>352</v>
      </c>
      <c r="BF41" s="116" t="s">
        <v>352</v>
      </c>
      <c r="BG41" s="169">
        <v>7.97</v>
      </c>
      <c r="BH41" s="170">
        <v>13.64</v>
      </c>
      <c r="BI41" s="116" t="s">
        <v>352</v>
      </c>
      <c r="BJ41" s="173">
        <v>53.030303030303031</v>
      </c>
      <c r="BK41" s="119">
        <v>0.37718667741823469</v>
      </c>
      <c r="BL41" s="162">
        <v>77.678747291707694</v>
      </c>
      <c r="BM41" s="162">
        <v>154.8650778018515</v>
      </c>
      <c r="BN41" s="162">
        <v>48.564605081741185</v>
      </c>
      <c r="BO41" s="60">
        <v>2206</v>
      </c>
      <c r="BP41" s="59">
        <v>0</v>
      </c>
      <c r="BQ41" s="182" t="s">
        <v>358</v>
      </c>
      <c r="BR41" s="116" t="s">
        <v>352</v>
      </c>
      <c r="BS41" s="184">
        <v>60.03</v>
      </c>
      <c r="BT41" s="124" t="s">
        <v>353</v>
      </c>
      <c r="BU41" s="131">
        <v>49.05</v>
      </c>
      <c r="BV41" s="54">
        <v>0</v>
      </c>
      <c r="BW41" s="189" t="s">
        <v>353</v>
      </c>
      <c r="BX41" s="189" t="s">
        <v>355</v>
      </c>
      <c r="BY41" s="189" t="s">
        <v>355</v>
      </c>
      <c r="BZ41" s="190" t="s">
        <v>359</v>
      </c>
      <c r="CA41" s="190" t="s">
        <v>359</v>
      </c>
      <c r="CB41" s="124" t="s">
        <v>351</v>
      </c>
      <c r="CC41" s="41">
        <v>936.7</v>
      </c>
      <c r="CD41" s="199">
        <v>30.49</v>
      </c>
    </row>
    <row r="42" spans="1:82">
      <c r="A42" s="3" t="s">
        <v>375</v>
      </c>
      <c r="B42" s="3" t="s">
        <v>396</v>
      </c>
      <c r="C42" s="27" t="s">
        <v>376</v>
      </c>
      <c r="D42" s="3" t="s">
        <v>376</v>
      </c>
      <c r="E42" s="29">
        <v>5001</v>
      </c>
      <c r="F42" s="3" t="s">
        <v>398</v>
      </c>
      <c r="G42" s="4">
        <v>5802</v>
      </c>
      <c r="H42" s="39">
        <v>629.13</v>
      </c>
      <c r="I42" s="40">
        <v>3.78</v>
      </c>
      <c r="J42" s="41">
        <v>3123.66</v>
      </c>
      <c r="K42" s="54">
        <v>1.42</v>
      </c>
      <c r="L42" s="54">
        <v>59.7</v>
      </c>
      <c r="M42" s="57">
        <v>41.56</v>
      </c>
      <c r="N42" s="54">
        <v>2.85</v>
      </c>
      <c r="O42" s="58">
        <v>10444.33</v>
      </c>
      <c r="P42" s="59" t="s">
        <v>351</v>
      </c>
      <c r="Q42" s="60">
        <v>649.1</v>
      </c>
      <c r="R42" s="61">
        <v>1.06</v>
      </c>
      <c r="S42" s="62">
        <v>873.47</v>
      </c>
      <c r="T42" s="60">
        <v>1253</v>
      </c>
      <c r="U42" s="124" t="s">
        <v>351</v>
      </c>
      <c r="V42" s="124" t="s">
        <v>351</v>
      </c>
      <c r="W42" s="124" t="s">
        <v>351</v>
      </c>
      <c r="X42" s="126" t="s">
        <v>357</v>
      </c>
      <c r="Y42" s="126" t="s">
        <v>351</v>
      </c>
      <c r="Z42" s="116" t="s">
        <v>352</v>
      </c>
      <c r="AA42" s="127" t="s">
        <v>351</v>
      </c>
      <c r="AB42" s="124" t="s">
        <v>351</v>
      </c>
      <c r="AC42" s="124" t="s">
        <v>351</v>
      </c>
      <c r="AD42" s="139" t="s">
        <v>351</v>
      </c>
      <c r="AE42" s="127" t="s">
        <v>351</v>
      </c>
      <c r="AF42" s="116" t="s">
        <v>352</v>
      </c>
      <c r="AG42" s="116" t="s">
        <v>352</v>
      </c>
      <c r="AH42" s="116" t="s">
        <v>352</v>
      </c>
      <c r="AI42" s="116" t="s">
        <v>352</v>
      </c>
      <c r="AJ42" s="150">
        <v>2.06</v>
      </c>
      <c r="AK42" s="150">
        <v>396.85</v>
      </c>
      <c r="AL42" s="123" t="s">
        <v>351</v>
      </c>
      <c r="AM42" s="123" t="s">
        <v>351</v>
      </c>
      <c r="AN42" s="122">
        <v>0.8405257267952394</v>
      </c>
      <c r="AO42" s="116" t="s">
        <v>352</v>
      </c>
      <c r="AP42" s="125">
        <v>0.41</v>
      </c>
      <c r="AQ42" s="126">
        <v>751.37</v>
      </c>
      <c r="AR42" s="54">
        <v>509.3</v>
      </c>
      <c r="AS42" s="200">
        <v>5.9528925608300261E-2</v>
      </c>
      <c r="AT42" s="116" t="s">
        <v>352</v>
      </c>
      <c r="AU42" s="116" t="s">
        <v>352</v>
      </c>
      <c r="AV42" s="163">
        <v>454.85457965562148</v>
      </c>
      <c r="AW42" s="165">
        <v>12.927436103057593</v>
      </c>
      <c r="AX42" s="164">
        <v>6.62</v>
      </c>
      <c r="AY42" s="134">
        <v>68.87</v>
      </c>
      <c r="AZ42" s="116" t="s">
        <v>352</v>
      </c>
      <c r="BA42" s="57">
        <v>16.47</v>
      </c>
      <c r="BB42" s="60">
        <v>600</v>
      </c>
      <c r="BC42" s="168">
        <v>6.51</v>
      </c>
      <c r="BD42" s="168">
        <v>1.17</v>
      </c>
      <c r="BE42" s="116" t="s">
        <v>352</v>
      </c>
      <c r="BF42" s="116" t="s">
        <v>352</v>
      </c>
      <c r="BG42" s="169">
        <v>10.91</v>
      </c>
      <c r="BH42" s="170">
        <v>23.44</v>
      </c>
      <c r="BI42" s="116" t="s">
        <v>352</v>
      </c>
      <c r="BJ42" s="174" t="s">
        <v>351</v>
      </c>
      <c r="BK42" s="119" t="s">
        <v>351</v>
      </c>
      <c r="BL42" s="162">
        <v>58.396562005222791</v>
      </c>
      <c r="BM42" s="162">
        <v>95.614089198692241</v>
      </c>
      <c r="BN42" s="162">
        <v>47.909855447946867</v>
      </c>
      <c r="BO42" s="60">
        <v>3239</v>
      </c>
      <c r="BP42" s="59">
        <v>0.02</v>
      </c>
      <c r="BQ42" s="182" t="s">
        <v>358</v>
      </c>
      <c r="BR42" s="116" t="s">
        <v>352</v>
      </c>
      <c r="BS42" s="184">
        <v>26.03</v>
      </c>
      <c r="BT42" s="124" t="s">
        <v>355</v>
      </c>
      <c r="BU42" s="131">
        <v>55.89</v>
      </c>
      <c r="BV42" s="54">
        <v>0</v>
      </c>
      <c r="BW42" s="177" t="s">
        <v>354</v>
      </c>
      <c r="BX42" s="177" t="s">
        <v>354</v>
      </c>
      <c r="BY42" s="189" t="s">
        <v>355</v>
      </c>
      <c r="BZ42" s="190" t="s">
        <v>359</v>
      </c>
      <c r="CA42" s="190" t="s">
        <v>359</v>
      </c>
      <c r="CB42" s="124" t="s">
        <v>353</v>
      </c>
      <c r="CC42" s="41">
        <v>2822.4</v>
      </c>
      <c r="CD42" s="199">
        <v>37.31</v>
      </c>
    </row>
    <row r="43" spans="1:82">
      <c r="A43" s="3" t="s">
        <v>375</v>
      </c>
      <c r="B43" s="3" t="s">
        <v>396</v>
      </c>
      <c r="C43" s="27" t="s">
        <v>376</v>
      </c>
      <c r="D43" s="3" t="s">
        <v>376</v>
      </c>
      <c r="E43" s="29">
        <v>5001</v>
      </c>
      <c r="F43" s="3" t="s">
        <v>399</v>
      </c>
      <c r="G43" s="4">
        <v>5803</v>
      </c>
      <c r="H43" s="39">
        <v>1066.3699999999999</v>
      </c>
      <c r="I43" s="40">
        <v>4.62</v>
      </c>
      <c r="J43" s="41">
        <v>10533.55</v>
      </c>
      <c r="K43" s="55" t="s">
        <v>351</v>
      </c>
      <c r="L43" s="54">
        <v>29.38</v>
      </c>
      <c r="M43" s="56" t="s">
        <v>351</v>
      </c>
      <c r="N43" s="54">
        <v>1.36</v>
      </c>
      <c r="O43" s="58">
        <v>2484.79</v>
      </c>
      <c r="P43" s="59">
        <v>5</v>
      </c>
      <c r="Q43" s="60">
        <v>1152.48</v>
      </c>
      <c r="R43" s="61">
        <v>0.86</v>
      </c>
      <c r="S43" s="62">
        <v>1059.97</v>
      </c>
      <c r="T43" s="60">
        <v>9662</v>
      </c>
      <c r="U43" s="124" t="s">
        <v>351</v>
      </c>
      <c r="V43" s="124" t="s">
        <v>351</v>
      </c>
      <c r="W43" s="124" t="s">
        <v>351</v>
      </c>
      <c r="X43" s="126" t="s">
        <v>357</v>
      </c>
      <c r="Y43" s="126" t="s">
        <v>351</v>
      </c>
      <c r="Z43" s="116" t="s">
        <v>352</v>
      </c>
      <c r="AA43" s="127" t="s">
        <v>351</v>
      </c>
      <c r="AB43" s="124" t="s">
        <v>351</v>
      </c>
      <c r="AC43" s="124" t="s">
        <v>351</v>
      </c>
      <c r="AD43" s="139" t="s">
        <v>351</v>
      </c>
      <c r="AE43" s="127" t="s">
        <v>351</v>
      </c>
      <c r="AF43" s="116" t="s">
        <v>352</v>
      </c>
      <c r="AG43" s="116" t="s">
        <v>352</v>
      </c>
      <c r="AH43" s="116" t="s">
        <v>352</v>
      </c>
      <c r="AI43" s="116" t="s">
        <v>352</v>
      </c>
      <c r="AJ43" s="150">
        <v>10.74</v>
      </c>
      <c r="AK43" s="150">
        <v>284.56</v>
      </c>
      <c r="AL43" s="123" t="s">
        <v>351</v>
      </c>
      <c r="AM43" s="123" t="s">
        <v>351</v>
      </c>
      <c r="AN43" s="162" t="s">
        <v>351</v>
      </c>
      <c r="AO43" s="116" t="s">
        <v>352</v>
      </c>
      <c r="AP43" s="123" t="s">
        <v>351</v>
      </c>
      <c r="AQ43" s="126">
        <v>1005.08</v>
      </c>
      <c r="AR43" s="54">
        <v>811.06</v>
      </c>
      <c r="AS43" s="200">
        <v>2.9200508513129022E-2</v>
      </c>
      <c r="AT43" s="116" t="s">
        <v>352</v>
      </c>
      <c r="AU43" s="116" t="s">
        <v>352</v>
      </c>
      <c r="AV43" s="163">
        <v>134.2946490618485</v>
      </c>
      <c r="AW43" s="165">
        <v>4.1503355704697986</v>
      </c>
      <c r="AX43" s="164">
        <v>12.5</v>
      </c>
      <c r="AY43" s="134">
        <v>6.66</v>
      </c>
      <c r="AZ43" s="116" t="s">
        <v>352</v>
      </c>
      <c r="BA43" s="57">
        <v>26.98</v>
      </c>
      <c r="BB43" s="60">
        <v>309</v>
      </c>
      <c r="BC43" s="168">
        <v>6.46</v>
      </c>
      <c r="BD43" s="168">
        <v>1.27</v>
      </c>
      <c r="BE43" s="116" t="s">
        <v>352</v>
      </c>
      <c r="BF43" s="116" t="s">
        <v>352</v>
      </c>
      <c r="BG43" s="169">
        <v>18.86</v>
      </c>
      <c r="BH43" s="170">
        <v>26.09</v>
      </c>
      <c r="BI43" s="116" t="s">
        <v>352</v>
      </c>
      <c r="BJ43" s="174" t="s">
        <v>351</v>
      </c>
      <c r="BK43" s="119" t="s">
        <v>351</v>
      </c>
      <c r="BL43" s="162">
        <v>34.899328859060404</v>
      </c>
      <c r="BM43" s="162">
        <v>71.946308724832221</v>
      </c>
      <c r="BN43" s="162">
        <v>43.489932885906043</v>
      </c>
      <c r="BO43" s="60">
        <v>2830</v>
      </c>
      <c r="BP43" s="59">
        <v>0.03</v>
      </c>
      <c r="BQ43" s="182" t="s">
        <v>358</v>
      </c>
      <c r="BR43" s="116" t="s">
        <v>352</v>
      </c>
      <c r="BS43" s="184">
        <v>21.42</v>
      </c>
      <c r="BT43" s="124" t="s">
        <v>355</v>
      </c>
      <c r="BU43" s="131">
        <v>47.7</v>
      </c>
      <c r="BV43" s="54">
        <v>0</v>
      </c>
      <c r="BW43" s="177" t="s">
        <v>354</v>
      </c>
      <c r="BX43" s="177" t="s">
        <v>354</v>
      </c>
      <c r="BY43" s="189" t="s">
        <v>355</v>
      </c>
      <c r="BZ43" s="190" t="s">
        <v>359</v>
      </c>
      <c r="CA43" s="190" t="s">
        <v>359</v>
      </c>
      <c r="CB43" s="124" t="s">
        <v>351</v>
      </c>
      <c r="CC43" s="39" t="s">
        <v>351</v>
      </c>
      <c r="CD43" s="199">
        <v>53.55</v>
      </c>
    </row>
    <row r="44" spans="1:82">
      <c r="A44" s="3" t="s">
        <v>375</v>
      </c>
      <c r="B44" s="3" t="s">
        <v>396</v>
      </c>
      <c r="C44" s="27" t="s">
        <v>376</v>
      </c>
      <c r="D44" s="3" t="s">
        <v>376</v>
      </c>
      <c r="E44" s="29">
        <v>5001</v>
      </c>
      <c r="F44" s="3" t="s">
        <v>400</v>
      </c>
      <c r="G44" s="4">
        <v>5804</v>
      </c>
      <c r="H44" s="39">
        <v>394.09</v>
      </c>
      <c r="I44" s="40">
        <v>2.63</v>
      </c>
      <c r="J44" s="41">
        <v>2267.31</v>
      </c>
      <c r="K44" s="54">
        <v>0.51</v>
      </c>
      <c r="L44" s="54">
        <v>60.69</v>
      </c>
      <c r="M44" s="57">
        <v>73.349999999999994</v>
      </c>
      <c r="N44" s="54">
        <v>1.97</v>
      </c>
      <c r="O44" s="58">
        <v>1394.22</v>
      </c>
      <c r="P44" s="59">
        <v>4.3600000000000003</v>
      </c>
      <c r="Q44" s="60">
        <v>767.3</v>
      </c>
      <c r="R44" s="61">
        <v>0.77</v>
      </c>
      <c r="S44" s="62">
        <v>1129.19</v>
      </c>
      <c r="T44" s="60">
        <v>281</v>
      </c>
      <c r="U44" s="125">
        <v>6.12</v>
      </c>
      <c r="V44" s="124" t="s">
        <v>351</v>
      </c>
      <c r="W44" s="134">
        <v>1.6</v>
      </c>
      <c r="X44" s="126" t="s">
        <v>357</v>
      </c>
      <c r="Y44" s="31">
        <v>0.01</v>
      </c>
      <c r="Z44" s="116" t="s">
        <v>352</v>
      </c>
      <c r="AA44" s="131">
        <v>1</v>
      </c>
      <c r="AB44" s="125">
        <v>40.299999999999997</v>
      </c>
      <c r="AC44" s="125">
        <v>69.8</v>
      </c>
      <c r="AD44" s="137">
        <v>60</v>
      </c>
      <c r="AE44" s="140">
        <v>75</v>
      </c>
      <c r="AF44" s="116" t="s">
        <v>352</v>
      </c>
      <c r="AG44" s="116" t="s">
        <v>352</v>
      </c>
      <c r="AH44" s="116" t="s">
        <v>352</v>
      </c>
      <c r="AI44" s="116" t="s">
        <v>352</v>
      </c>
      <c r="AJ44" s="150">
        <v>1.49</v>
      </c>
      <c r="AK44" s="150">
        <v>181.96</v>
      </c>
      <c r="AL44" s="123" t="s">
        <v>351</v>
      </c>
      <c r="AM44" s="123" t="s">
        <v>351</v>
      </c>
      <c r="AN44" s="122">
        <v>0.94722494431889259</v>
      </c>
      <c r="AO44" s="116" t="s">
        <v>352</v>
      </c>
      <c r="AP44" s="125">
        <v>1.04</v>
      </c>
      <c r="AQ44" s="126">
        <v>640.21</v>
      </c>
      <c r="AR44" s="54">
        <v>180.12</v>
      </c>
      <c r="AS44" s="200">
        <v>1.2570966722241148E-3</v>
      </c>
      <c r="AT44" s="116" t="s">
        <v>352</v>
      </c>
      <c r="AU44" s="116" t="s">
        <v>352</v>
      </c>
      <c r="AV44" s="163">
        <v>546.1042474524304</v>
      </c>
      <c r="AW44" s="165">
        <v>18.063520235050223</v>
      </c>
      <c r="AX44" s="164">
        <v>4.01</v>
      </c>
      <c r="AY44" s="134">
        <v>39.799999999999997</v>
      </c>
      <c r="AZ44" s="116" t="s">
        <v>352</v>
      </c>
      <c r="BA44" s="57">
        <v>10.66</v>
      </c>
      <c r="BB44" s="60">
        <v>1605</v>
      </c>
      <c r="BC44" s="168">
        <v>4.4800000000000004</v>
      </c>
      <c r="BD44" s="168">
        <v>0.96</v>
      </c>
      <c r="BE44" s="116" t="s">
        <v>352</v>
      </c>
      <c r="BF44" s="116" t="s">
        <v>352</v>
      </c>
      <c r="BG44" s="169">
        <v>10.82</v>
      </c>
      <c r="BH44" s="170">
        <v>18.809999999999999</v>
      </c>
      <c r="BI44" s="116" t="s">
        <v>352</v>
      </c>
      <c r="BJ44" s="173">
        <v>71.428571428571431</v>
      </c>
      <c r="BK44" s="119">
        <v>0.23007602845096545</v>
      </c>
      <c r="BL44" s="162">
        <v>65.101156608177547</v>
      </c>
      <c r="BM44" s="162">
        <v>115.21338712443793</v>
      </c>
      <c r="BN44" s="162">
        <v>53.91539086794085</v>
      </c>
      <c r="BO44" s="60">
        <v>2156</v>
      </c>
      <c r="BP44" s="59">
        <v>0.01</v>
      </c>
      <c r="BQ44" s="182" t="s">
        <v>358</v>
      </c>
      <c r="BR44" s="116" t="s">
        <v>352</v>
      </c>
      <c r="BS44" s="184">
        <v>11.45</v>
      </c>
      <c r="BT44" s="124" t="s">
        <v>355</v>
      </c>
      <c r="BU44" s="131">
        <v>61.86</v>
      </c>
      <c r="BV44" s="54">
        <v>0</v>
      </c>
      <c r="BW44" s="189" t="s">
        <v>355</v>
      </c>
      <c r="BX44" s="189" t="s">
        <v>355</v>
      </c>
      <c r="BY44" s="189" t="s">
        <v>355</v>
      </c>
      <c r="BZ44" s="190" t="s">
        <v>359</v>
      </c>
      <c r="CA44" s="190" t="s">
        <v>359</v>
      </c>
      <c r="CB44" s="124" t="s">
        <v>353</v>
      </c>
      <c r="CC44" s="41">
        <v>2684.6</v>
      </c>
      <c r="CD44" s="199">
        <v>31.94</v>
      </c>
    </row>
    <row r="45" spans="1:82">
      <c r="A45" s="3" t="s">
        <v>401</v>
      </c>
      <c r="B45" s="3" t="s">
        <v>402</v>
      </c>
      <c r="C45" s="27" t="s">
        <v>349</v>
      </c>
      <c r="D45" s="3" t="s">
        <v>403</v>
      </c>
      <c r="E45" s="29">
        <v>6001</v>
      </c>
      <c r="F45" s="3" t="s">
        <v>404</v>
      </c>
      <c r="G45" s="4">
        <v>6101</v>
      </c>
      <c r="H45" s="39">
        <v>193.46</v>
      </c>
      <c r="I45" s="40">
        <v>6.77</v>
      </c>
      <c r="J45" s="41">
        <v>1262.1500000000001</v>
      </c>
      <c r="K45" s="54">
        <v>2.52</v>
      </c>
      <c r="L45" s="54">
        <v>91.04</v>
      </c>
      <c r="M45" s="57">
        <v>92.43</v>
      </c>
      <c r="N45" s="54">
        <v>8.49</v>
      </c>
      <c r="O45" s="58">
        <v>1318.75</v>
      </c>
      <c r="P45" s="59">
        <v>2.0499999999999998</v>
      </c>
      <c r="Q45" s="60">
        <v>712.85</v>
      </c>
      <c r="R45" s="61">
        <v>0.85</v>
      </c>
      <c r="S45" s="62">
        <v>916.43</v>
      </c>
      <c r="T45" s="60">
        <v>251</v>
      </c>
      <c r="U45" s="125">
        <v>4.1399999999999997</v>
      </c>
      <c r="V45" s="124" t="s">
        <v>351</v>
      </c>
      <c r="W45" s="124" t="s">
        <v>351</v>
      </c>
      <c r="X45" s="126">
        <v>5.76</v>
      </c>
      <c r="Y45" s="31">
        <v>85.43</v>
      </c>
      <c r="Z45" s="116" t="s">
        <v>352</v>
      </c>
      <c r="AA45" s="127" t="s">
        <v>351</v>
      </c>
      <c r="AB45" s="124" t="s">
        <v>351</v>
      </c>
      <c r="AC45" s="124" t="s">
        <v>351</v>
      </c>
      <c r="AD45" s="139" t="s">
        <v>351</v>
      </c>
      <c r="AE45" s="127" t="s">
        <v>351</v>
      </c>
      <c r="AF45" s="116" t="s">
        <v>352</v>
      </c>
      <c r="AG45" s="116" t="s">
        <v>352</v>
      </c>
      <c r="AH45" s="116" t="s">
        <v>352</v>
      </c>
      <c r="AI45" s="116" t="s">
        <v>352</v>
      </c>
      <c r="AJ45" s="150">
        <v>5.0199999999999996</v>
      </c>
      <c r="AK45" s="150">
        <v>312.29000000000002</v>
      </c>
      <c r="AL45" s="123" t="s">
        <v>351</v>
      </c>
      <c r="AM45" s="123" t="s">
        <v>351</v>
      </c>
      <c r="AN45" s="122">
        <v>1.0878619795960096</v>
      </c>
      <c r="AO45" s="116" t="s">
        <v>352</v>
      </c>
      <c r="AP45" s="125">
        <v>0</v>
      </c>
      <c r="AQ45" s="126">
        <v>726.04</v>
      </c>
      <c r="AR45" s="54">
        <v>665.27</v>
      </c>
      <c r="AS45" s="200">
        <v>5.9693150137672705E-3</v>
      </c>
      <c r="AT45" s="116" t="s">
        <v>352</v>
      </c>
      <c r="AU45" s="116" t="s">
        <v>352</v>
      </c>
      <c r="AV45" s="163">
        <v>556.80534799621262</v>
      </c>
      <c r="AW45" s="165">
        <v>18.864256506581949</v>
      </c>
      <c r="AX45" s="164">
        <v>11.33</v>
      </c>
      <c r="AY45" s="134">
        <v>49.05</v>
      </c>
      <c r="AZ45" s="116" t="s">
        <v>352</v>
      </c>
      <c r="BA45" s="57">
        <v>9.68</v>
      </c>
      <c r="BB45" s="60">
        <v>2920</v>
      </c>
      <c r="BC45" s="168">
        <v>5.16</v>
      </c>
      <c r="BD45" s="168">
        <v>1.27</v>
      </c>
      <c r="BE45" s="116" t="s">
        <v>352</v>
      </c>
      <c r="BF45" s="116" t="s">
        <v>352</v>
      </c>
      <c r="BG45" s="169">
        <v>13.16</v>
      </c>
      <c r="BH45" s="170">
        <v>22.47</v>
      </c>
      <c r="BI45" s="116" t="s">
        <v>352</v>
      </c>
      <c r="BJ45" s="173">
        <v>48.936170212765958</v>
      </c>
      <c r="BK45" s="119">
        <v>0.41641480240327128</v>
      </c>
      <c r="BL45" s="162">
        <v>105.0869992038278</v>
      </c>
      <c r="BM45" s="162">
        <v>196.1057131151976</v>
      </c>
      <c r="BN45" s="162">
        <v>60.524546065904502</v>
      </c>
      <c r="BO45" s="60">
        <v>2167</v>
      </c>
      <c r="BP45" s="59">
        <v>0.01</v>
      </c>
      <c r="BQ45" s="182" t="s">
        <v>358</v>
      </c>
      <c r="BR45" s="116" t="s">
        <v>352</v>
      </c>
      <c r="BS45" s="184">
        <v>16.29</v>
      </c>
      <c r="BT45" s="124" t="s">
        <v>353</v>
      </c>
      <c r="BU45" s="131">
        <v>30.99</v>
      </c>
      <c r="BV45" s="54">
        <v>2.92</v>
      </c>
      <c r="BW45" s="189" t="s">
        <v>353</v>
      </c>
      <c r="BX45" s="189" t="s">
        <v>355</v>
      </c>
      <c r="BY45" s="189" t="s">
        <v>353</v>
      </c>
      <c r="BZ45" s="191">
        <v>0</v>
      </c>
      <c r="CA45" s="191">
        <v>0</v>
      </c>
      <c r="CB45" s="124" t="s">
        <v>355</v>
      </c>
      <c r="CC45" s="39" t="s">
        <v>351</v>
      </c>
      <c r="CD45" s="199">
        <v>28.09</v>
      </c>
    </row>
    <row r="46" spans="1:82">
      <c r="A46" s="3" t="s">
        <v>401</v>
      </c>
      <c r="B46" s="3" t="s">
        <v>402</v>
      </c>
      <c r="C46" s="27" t="s">
        <v>349</v>
      </c>
      <c r="D46" s="3" t="s">
        <v>403</v>
      </c>
      <c r="E46" s="29">
        <v>6001</v>
      </c>
      <c r="F46" s="3" t="s">
        <v>405</v>
      </c>
      <c r="G46" s="4">
        <v>6108</v>
      </c>
      <c r="H46" s="39">
        <v>341.26</v>
      </c>
      <c r="I46" s="40">
        <v>9.52</v>
      </c>
      <c r="J46" s="41">
        <v>1885.33</v>
      </c>
      <c r="K46" s="54">
        <v>7.03</v>
      </c>
      <c r="L46" s="54">
        <v>79.28</v>
      </c>
      <c r="M46" s="57">
        <v>87.36</v>
      </c>
      <c r="N46" s="54">
        <v>13.69</v>
      </c>
      <c r="O46" s="58">
        <v>1682.44</v>
      </c>
      <c r="P46" s="59">
        <v>1.56</v>
      </c>
      <c r="Q46" s="60">
        <v>1308.8699999999999</v>
      </c>
      <c r="R46" s="61">
        <v>0.52</v>
      </c>
      <c r="S46" s="62">
        <v>1265.72</v>
      </c>
      <c r="T46" s="60">
        <v>2694</v>
      </c>
      <c r="U46" s="125">
        <v>7.0000000000000007E-2</v>
      </c>
      <c r="V46" s="124" t="s">
        <v>351</v>
      </c>
      <c r="W46" s="124" t="s">
        <v>351</v>
      </c>
      <c r="X46" s="126">
        <v>1.54</v>
      </c>
      <c r="Y46" s="31">
        <v>44.46</v>
      </c>
      <c r="Z46" s="116" t="s">
        <v>352</v>
      </c>
      <c r="AA46" s="127" t="s">
        <v>351</v>
      </c>
      <c r="AB46" s="124" t="s">
        <v>351</v>
      </c>
      <c r="AC46" s="124" t="s">
        <v>351</v>
      </c>
      <c r="AD46" s="139" t="s">
        <v>351</v>
      </c>
      <c r="AE46" s="127" t="s">
        <v>351</v>
      </c>
      <c r="AF46" s="116" t="s">
        <v>352</v>
      </c>
      <c r="AG46" s="116" t="s">
        <v>352</v>
      </c>
      <c r="AH46" s="116" t="s">
        <v>352</v>
      </c>
      <c r="AI46" s="116" t="s">
        <v>352</v>
      </c>
      <c r="AJ46" s="150">
        <v>3.52</v>
      </c>
      <c r="AK46" s="150">
        <v>93.25</v>
      </c>
      <c r="AL46" s="123" t="s">
        <v>351</v>
      </c>
      <c r="AM46" s="123" t="s">
        <v>351</v>
      </c>
      <c r="AN46" s="122">
        <v>1.0526150889546946</v>
      </c>
      <c r="AO46" s="116" t="s">
        <v>352</v>
      </c>
      <c r="AP46" s="125">
        <v>5.45</v>
      </c>
      <c r="AQ46" s="126">
        <v>803.99</v>
      </c>
      <c r="AR46" s="54">
        <v>489.84</v>
      </c>
      <c r="AS46" s="200" t="s">
        <v>351</v>
      </c>
      <c r="AT46" s="116" t="s">
        <v>352</v>
      </c>
      <c r="AU46" s="116" t="s">
        <v>352</v>
      </c>
      <c r="AV46" s="163">
        <v>456.71280458923212</v>
      </c>
      <c r="AW46" s="165">
        <v>15.267685919878957</v>
      </c>
      <c r="AX46" s="164">
        <v>8.56</v>
      </c>
      <c r="AY46" s="134">
        <v>51.15</v>
      </c>
      <c r="AZ46" s="116" t="s">
        <v>352</v>
      </c>
      <c r="BA46" s="57">
        <v>11.45</v>
      </c>
      <c r="BB46" s="60">
        <v>532</v>
      </c>
      <c r="BC46" s="168">
        <v>4.09</v>
      </c>
      <c r="BD46" s="168">
        <v>0.66</v>
      </c>
      <c r="BE46" s="116" t="s">
        <v>352</v>
      </c>
      <c r="BF46" s="116" t="s">
        <v>352</v>
      </c>
      <c r="BG46" s="169">
        <v>5.81</v>
      </c>
      <c r="BH46" s="170">
        <v>18.21</v>
      </c>
      <c r="BI46" s="116" t="s">
        <v>352</v>
      </c>
      <c r="BJ46" s="173">
        <v>25</v>
      </c>
      <c r="BK46" s="119">
        <v>0.45880370715591007</v>
      </c>
      <c r="BL46" s="162">
        <v>49.437885958584772</v>
      </c>
      <c r="BM46" s="162">
        <v>133.88694382378296</v>
      </c>
      <c r="BN46" s="162">
        <v>53.308467777406356</v>
      </c>
      <c r="BO46" s="60">
        <v>2220</v>
      </c>
      <c r="BP46" s="59">
        <v>0.01</v>
      </c>
      <c r="BQ46" s="182" t="s">
        <v>358</v>
      </c>
      <c r="BR46" s="116" t="s">
        <v>352</v>
      </c>
      <c r="BS46" s="184">
        <v>43.78</v>
      </c>
      <c r="BT46" s="124" t="s">
        <v>353</v>
      </c>
      <c r="BU46" s="131">
        <v>20.86</v>
      </c>
      <c r="BV46" s="54">
        <v>0</v>
      </c>
      <c r="BW46" s="189" t="s">
        <v>353</v>
      </c>
      <c r="BX46" s="189" t="s">
        <v>355</v>
      </c>
      <c r="BY46" s="189" t="s">
        <v>353</v>
      </c>
      <c r="BZ46" s="191">
        <v>0</v>
      </c>
      <c r="CA46" s="191">
        <v>50</v>
      </c>
      <c r="CB46" s="124" t="s">
        <v>353</v>
      </c>
      <c r="CC46" s="41">
        <v>1143.5999999999999</v>
      </c>
      <c r="CD46" s="199">
        <v>42.6</v>
      </c>
    </row>
    <row r="47" spans="1:82">
      <c r="A47" s="3" t="s">
        <v>401</v>
      </c>
      <c r="B47" s="5" t="s">
        <v>402</v>
      </c>
      <c r="C47" s="27" t="s">
        <v>349</v>
      </c>
      <c r="D47" s="5" t="s">
        <v>406</v>
      </c>
      <c r="E47" s="29">
        <v>6115</v>
      </c>
      <c r="F47" s="5" t="s">
        <v>406</v>
      </c>
      <c r="G47" s="4">
        <v>6115</v>
      </c>
      <c r="H47" s="39">
        <v>309.32</v>
      </c>
      <c r="I47" s="40">
        <v>7.47</v>
      </c>
      <c r="J47" s="41">
        <v>1630.03</v>
      </c>
      <c r="K47" s="54">
        <v>0.98</v>
      </c>
      <c r="L47" s="54">
        <v>84.23</v>
      </c>
      <c r="M47" s="57">
        <v>67.8</v>
      </c>
      <c r="N47" s="54">
        <v>6.96</v>
      </c>
      <c r="O47" s="58">
        <v>1675.06</v>
      </c>
      <c r="P47" s="59">
        <v>11.82</v>
      </c>
      <c r="Q47" s="60">
        <v>733.33</v>
      </c>
      <c r="R47" s="61">
        <v>1.05</v>
      </c>
      <c r="S47" s="62">
        <v>626.70000000000005</v>
      </c>
      <c r="T47" s="5" t="s">
        <v>351</v>
      </c>
      <c r="U47" s="124" t="s">
        <v>351</v>
      </c>
      <c r="V47" s="124" t="s">
        <v>351</v>
      </c>
      <c r="W47" s="124" t="s">
        <v>351</v>
      </c>
      <c r="X47" s="126">
        <v>0.76</v>
      </c>
      <c r="Y47" s="31">
        <v>23.49</v>
      </c>
      <c r="Z47" s="116" t="s">
        <v>352</v>
      </c>
      <c r="AA47" s="127" t="s">
        <v>351</v>
      </c>
      <c r="AB47" s="124" t="s">
        <v>351</v>
      </c>
      <c r="AC47" s="124" t="s">
        <v>351</v>
      </c>
      <c r="AD47" s="139" t="s">
        <v>351</v>
      </c>
      <c r="AE47" s="127" t="s">
        <v>351</v>
      </c>
      <c r="AF47" s="116" t="s">
        <v>352</v>
      </c>
      <c r="AG47" s="116" t="s">
        <v>352</v>
      </c>
      <c r="AH47" s="116" t="s">
        <v>352</v>
      </c>
      <c r="AI47" s="116" t="s">
        <v>352</v>
      </c>
      <c r="AJ47" s="150">
        <v>12.86</v>
      </c>
      <c r="AK47" s="150">
        <v>247.62</v>
      </c>
      <c r="AL47" s="123" t="s">
        <v>351</v>
      </c>
      <c r="AM47" s="123" t="s">
        <v>351</v>
      </c>
      <c r="AN47" s="122">
        <v>0.91667806512163086</v>
      </c>
      <c r="AO47" s="116" t="s">
        <v>352</v>
      </c>
      <c r="AP47" s="123" t="s">
        <v>351</v>
      </c>
      <c r="AQ47" s="126">
        <v>642.66999999999996</v>
      </c>
      <c r="AR47" s="54">
        <v>875.94</v>
      </c>
      <c r="AS47" s="200">
        <v>1.8629072401291937E-3</v>
      </c>
      <c r="AT47" s="116" t="s">
        <v>352</v>
      </c>
      <c r="AU47" s="116" t="s">
        <v>352</v>
      </c>
      <c r="AV47" s="163">
        <v>328.21185435013427</v>
      </c>
      <c r="AW47" s="165">
        <v>8.4495039634685583</v>
      </c>
      <c r="AX47" s="164">
        <v>9.56</v>
      </c>
      <c r="AY47" s="134">
        <v>60.83</v>
      </c>
      <c r="AZ47" s="116" t="s">
        <v>352</v>
      </c>
      <c r="BA47" s="57">
        <v>20.28</v>
      </c>
      <c r="BB47" s="60">
        <v>770</v>
      </c>
      <c r="BC47" s="168">
        <v>7.05</v>
      </c>
      <c r="BD47" s="168">
        <v>1.06</v>
      </c>
      <c r="BE47" s="116" t="s">
        <v>352</v>
      </c>
      <c r="BF47" s="116" t="s">
        <v>352</v>
      </c>
      <c r="BG47" s="169">
        <v>15.68</v>
      </c>
      <c r="BH47" s="170">
        <v>28.18</v>
      </c>
      <c r="BI47" s="116" t="s">
        <v>352</v>
      </c>
      <c r="BJ47" s="174" t="s">
        <v>351</v>
      </c>
      <c r="BK47" s="119" t="s">
        <v>351</v>
      </c>
      <c r="BL47" s="162">
        <v>71.069091376843062</v>
      </c>
      <c r="BM47" s="162">
        <v>131.20447638801795</v>
      </c>
      <c r="BN47" s="162">
        <v>54.02537263036033</v>
      </c>
      <c r="BO47" s="60">
        <v>1609</v>
      </c>
      <c r="BP47" s="59">
        <v>0.06</v>
      </c>
      <c r="BQ47" s="182" t="s">
        <v>358</v>
      </c>
      <c r="BR47" s="116" t="s">
        <v>352</v>
      </c>
      <c r="BS47" s="184">
        <v>5.16</v>
      </c>
      <c r="BT47" s="124" t="s">
        <v>353</v>
      </c>
      <c r="BU47" s="131">
        <v>54.16</v>
      </c>
      <c r="BV47" s="54">
        <v>0</v>
      </c>
      <c r="BW47" s="189" t="s">
        <v>353</v>
      </c>
      <c r="BX47" s="189" t="s">
        <v>355</v>
      </c>
      <c r="BY47" s="189" t="s">
        <v>353</v>
      </c>
      <c r="BZ47" s="190" t="s">
        <v>359</v>
      </c>
      <c r="CA47" s="190" t="s">
        <v>359</v>
      </c>
      <c r="CB47" s="124" t="s">
        <v>351</v>
      </c>
      <c r="CC47" s="39" t="s">
        <v>351</v>
      </c>
      <c r="CD47" s="199">
        <v>41.35</v>
      </c>
    </row>
    <row r="48" spans="1:82">
      <c r="A48" s="3" t="s">
        <v>401</v>
      </c>
      <c r="B48" s="5" t="s">
        <v>407</v>
      </c>
      <c r="C48" s="27" t="s">
        <v>349</v>
      </c>
      <c r="D48" s="5" t="s">
        <v>408</v>
      </c>
      <c r="E48" s="29">
        <v>6301</v>
      </c>
      <c r="F48" s="7" t="s">
        <v>408</v>
      </c>
      <c r="G48" s="4">
        <v>6301</v>
      </c>
      <c r="H48" s="39">
        <v>271.24</v>
      </c>
      <c r="I48" s="40">
        <v>5.8</v>
      </c>
      <c r="J48" s="41">
        <v>1671.6</v>
      </c>
      <c r="K48" s="54">
        <v>2.11</v>
      </c>
      <c r="L48" s="54">
        <v>82.14</v>
      </c>
      <c r="M48" s="57">
        <v>73.33</v>
      </c>
      <c r="N48" s="54">
        <v>6.31</v>
      </c>
      <c r="O48" s="58">
        <v>1248.8399999999999</v>
      </c>
      <c r="P48" s="59">
        <v>6.3</v>
      </c>
      <c r="Q48" s="60">
        <v>607.08000000000004</v>
      </c>
      <c r="R48" s="61">
        <v>0.98</v>
      </c>
      <c r="S48" s="62">
        <v>614.86</v>
      </c>
      <c r="T48" s="5" t="s">
        <v>351</v>
      </c>
      <c r="U48" s="124" t="s">
        <v>351</v>
      </c>
      <c r="V48" s="124" t="s">
        <v>351</v>
      </c>
      <c r="W48" s="124" t="s">
        <v>351</v>
      </c>
      <c r="X48" s="126">
        <v>1.25</v>
      </c>
      <c r="Y48" s="31">
        <v>20.84</v>
      </c>
      <c r="Z48" s="116" t="s">
        <v>352</v>
      </c>
      <c r="AA48" s="127" t="s">
        <v>351</v>
      </c>
      <c r="AB48" s="124" t="s">
        <v>351</v>
      </c>
      <c r="AC48" s="124" t="s">
        <v>351</v>
      </c>
      <c r="AD48" s="139" t="s">
        <v>351</v>
      </c>
      <c r="AE48" s="127" t="s">
        <v>351</v>
      </c>
      <c r="AF48" s="116" t="s">
        <v>352</v>
      </c>
      <c r="AG48" s="116" t="s">
        <v>352</v>
      </c>
      <c r="AH48" s="116" t="s">
        <v>352</v>
      </c>
      <c r="AI48" s="116" t="s">
        <v>352</v>
      </c>
      <c r="AJ48" s="150">
        <v>13.01</v>
      </c>
      <c r="AK48" s="150">
        <v>483.9</v>
      </c>
      <c r="AL48" s="123" t="s">
        <v>351</v>
      </c>
      <c r="AM48" s="123" t="s">
        <v>351</v>
      </c>
      <c r="AN48" s="122">
        <v>1.0011270742844416</v>
      </c>
      <c r="AO48" s="116" t="s">
        <v>352</v>
      </c>
      <c r="AP48" s="123" t="s">
        <v>351</v>
      </c>
      <c r="AQ48" s="126">
        <v>707.66</v>
      </c>
      <c r="AR48" s="54">
        <v>1025.1300000000001</v>
      </c>
      <c r="AS48" s="200">
        <v>3.0632072609131811E-2</v>
      </c>
      <c r="AT48" s="116" t="s">
        <v>352</v>
      </c>
      <c r="AU48" s="116" t="s">
        <v>352</v>
      </c>
      <c r="AV48" s="163">
        <v>384.11830495836955</v>
      </c>
      <c r="AW48" s="165">
        <v>12.062439024390244</v>
      </c>
      <c r="AX48" s="164">
        <v>13.19</v>
      </c>
      <c r="AY48" s="134">
        <v>36.65</v>
      </c>
      <c r="AZ48" s="116" t="s">
        <v>352</v>
      </c>
      <c r="BA48" s="57">
        <v>15.12</v>
      </c>
      <c r="BB48" s="60">
        <v>784</v>
      </c>
      <c r="BC48" s="168">
        <v>6.24</v>
      </c>
      <c r="BD48" s="168">
        <v>1.06</v>
      </c>
      <c r="BE48" s="116" t="s">
        <v>352</v>
      </c>
      <c r="BF48" s="116" t="s">
        <v>352</v>
      </c>
      <c r="BG48" s="169">
        <v>10.68</v>
      </c>
      <c r="BH48" s="170">
        <v>17.45</v>
      </c>
      <c r="BI48" s="116" t="s">
        <v>352</v>
      </c>
      <c r="BJ48" s="174" t="s">
        <v>351</v>
      </c>
      <c r="BK48" s="119" t="s">
        <v>351</v>
      </c>
      <c r="BL48" s="162">
        <v>86.764227642276424</v>
      </c>
      <c r="BM48" s="162">
        <v>178.60162601626016</v>
      </c>
      <c r="BN48" s="162">
        <v>89.495934959349583</v>
      </c>
      <c r="BO48" s="60">
        <v>1829</v>
      </c>
      <c r="BP48" s="59">
        <v>0.02</v>
      </c>
      <c r="BQ48" s="182" t="s">
        <v>358</v>
      </c>
      <c r="BR48" s="116" t="s">
        <v>352</v>
      </c>
      <c r="BS48" s="184">
        <v>27.15</v>
      </c>
      <c r="BT48" s="124" t="s">
        <v>355</v>
      </c>
      <c r="BU48" s="131">
        <v>34.54</v>
      </c>
      <c r="BV48" s="54">
        <v>11.55</v>
      </c>
      <c r="BW48" s="189" t="s">
        <v>355</v>
      </c>
      <c r="BX48" s="189" t="s">
        <v>355</v>
      </c>
      <c r="BY48" s="189" t="s">
        <v>353</v>
      </c>
      <c r="BZ48" s="190" t="s">
        <v>359</v>
      </c>
      <c r="CA48" s="190" t="s">
        <v>359</v>
      </c>
      <c r="CB48" s="124" t="s">
        <v>351</v>
      </c>
      <c r="CC48" s="39" t="s">
        <v>351</v>
      </c>
      <c r="CD48" s="199">
        <v>40.770000000000003</v>
      </c>
    </row>
    <row r="49" spans="1:82">
      <c r="A49" s="3" t="s">
        <v>409</v>
      </c>
      <c r="B49" s="3" t="s">
        <v>410</v>
      </c>
      <c r="C49" s="27" t="s">
        <v>349</v>
      </c>
      <c r="D49" s="3" t="s">
        <v>411</v>
      </c>
      <c r="E49" s="29">
        <v>7001</v>
      </c>
      <c r="F49" s="3" t="s">
        <v>410</v>
      </c>
      <c r="G49" s="4">
        <v>7101</v>
      </c>
      <c r="H49" s="39">
        <v>237.21</v>
      </c>
      <c r="I49" s="40">
        <v>5.25</v>
      </c>
      <c r="J49" s="41">
        <v>954.19</v>
      </c>
      <c r="K49" s="54">
        <v>2.62</v>
      </c>
      <c r="L49" s="54">
        <v>88.01</v>
      </c>
      <c r="M49" s="57">
        <v>96.67</v>
      </c>
      <c r="N49" s="54">
        <v>7.15</v>
      </c>
      <c r="O49" s="58">
        <v>1011.34</v>
      </c>
      <c r="P49" s="59">
        <v>1.9</v>
      </c>
      <c r="Q49" s="60">
        <v>818.97</v>
      </c>
      <c r="R49" s="61">
        <v>0.93</v>
      </c>
      <c r="S49" s="62">
        <v>738.2</v>
      </c>
      <c r="T49" s="60">
        <v>270</v>
      </c>
      <c r="U49" s="125">
        <v>6.4</v>
      </c>
      <c r="V49" s="124" t="s">
        <v>351</v>
      </c>
      <c r="W49" s="124" t="s">
        <v>351</v>
      </c>
      <c r="X49" s="126">
        <v>4.68</v>
      </c>
      <c r="Y49" s="31">
        <v>80.25</v>
      </c>
      <c r="Z49" s="116" t="s">
        <v>352</v>
      </c>
      <c r="AA49" s="127" t="s">
        <v>351</v>
      </c>
      <c r="AB49" s="124" t="s">
        <v>351</v>
      </c>
      <c r="AC49" s="124" t="s">
        <v>351</v>
      </c>
      <c r="AD49" s="139" t="s">
        <v>351</v>
      </c>
      <c r="AE49" s="127" t="s">
        <v>351</v>
      </c>
      <c r="AF49" s="116" t="s">
        <v>352</v>
      </c>
      <c r="AG49" s="116" t="s">
        <v>352</v>
      </c>
      <c r="AH49" s="116" t="s">
        <v>352</v>
      </c>
      <c r="AI49" s="116" t="s">
        <v>352</v>
      </c>
      <c r="AJ49" s="150">
        <v>7.74</v>
      </c>
      <c r="AK49" s="150">
        <v>330.08</v>
      </c>
      <c r="AL49" s="123" t="s">
        <v>351</v>
      </c>
      <c r="AM49" s="123" t="s">
        <v>351</v>
      </c>
      <c r="AN49" s="122">
        <v>1.1874976449886301</v>
      </c>
      <c r="AO49" s="116" t="s">
        <v>352</v>
      </c>
      <c r="AP49" s="125">
        <v>0</v>
      </c>
      <c r="AQ49" s="126">
        <v>756.43</v>
      </c>
      <c r="AR49" s="54">
        <v>788.97</v>
      </c>
      <c r="AS49" s="200">
        <v>2.2955271813281539E-2</v>
      </c>
      <c r="AT49" s="116" t="s">
        <v>352</v>
      </c>
      <c r="AU49" s="116" t="s">
        <v>352</v>
      </c>
      <c r="AV49" s="163">
        <v>628.08959499934895</v>
      </c>
      <c r="AW49" s="165">
        <v>20.729180992985835</v>
      </c>
      <c r="AX49" s="164">
        <v>8.41</v>
      </c>
      <c r="AY49" s="134">
        <v>35.57</v>
      </c>
      <c r="AZ49" s="116" t="s">
        <v>352</v>
      </c>
      <c r="BA49" s="57">
        <v>10.35</v>
      </c>
      <c r="BB49" s="60">
        <v>3228</v>
      </c>
      <c r="BC49" s="168">
        <v>5.69</v>
      </c>
      <c r="BD49" s="168">
        <v>1.84</v>
      </c>
      <c r="BE49" s="116" t="s">
        <v>352</v>
      </c>
      <c r="BF49" s="116" t="s">
        <v>352</v>
      </c>
      <c r="BG49" s="169">
        <v>13.99</v>
      </c>
      <c r="BH49" s="170">
        <v>16.690000000000001</v>
      </c>
      <c r="BI49" s="116" t="s">
        <v>352</v>
      </c>
      <c r="BJ49" s="173">
        <v>59.574468085106382</v>
      </c>
      <c r="BK49" s="119">
        <v>0.38064110175974469</v>
      </c>
      <c r="BL49" s="162">
        <v>81.144271764544072</v>
      </c>
      <c r="BM49" s="162">
        <v>186.70059139045523</v>
      </c>
      <c r="BN49" s="162">
        <v>56.302434328152934</v>
      </c>
      <c r="BO49" s="60">
        <v>1442</v>
      </c>
      <c r="BP49" s="59">
        <v>0</v>
      </c>
      <c r="BQ49" s="182" t="s">
        <v>358</v>
      </c>
      <c r="BR49" s="116" t="s">
        <v>352</v>
      </c>
      <c r="BS49" s="184">
        <v>2.56</v>
      </c>
      <c r="BT49" s="124" t="s">
        <v>353</v>
      </c>
      <c r="BU49" s="131">
        <v>39.020000000000003</v>
      </c>
      <c r="BV49" s="54">
        <v>8.26</v>
      </c>
      <c r="BW49" s="177" t="s">
        <v>354</v>
      </c>
      <c r="BX49" s="177" t="s">
        <v>354</v>
      </c>
      <c r="BY49" s="189" t="s">
        <v>353</v>
      </c>
      <c r="BZ49" s="190" t="s">
        <v>359</v>
      </c>
      <c r="CA49" s="190" t="s">
        <v>359</v>
      </c>
      <c r="CB49" s="124" t="s">
        <v>351</v>
      </c>
      <c r="CC49" s="39" t="s">
        <v>351</v>
      </c>
      <c r="CD49" s="199">
        <v>32.82</v>
      </c>
    </row>
    <row r="50" spans="1:82">
      <c r="A50" s="3" t="s">
        <v>409</v>
      </c>
      <c r="B50" s="5" t="s">
        <v>410</v>
      </c>
      <c r="C50" s="27" t="s">
        <v>349</v>
      </c>
      <c r="D50" s="5" t="s">
        <v>412</v>
      </c>
      <c r="E50" s="29">
        <v>7102</v>
      </c>
      <c r="F50" s="5" t="s">
        <v>412</v>
      </c>
      <c r="G50" s="4">
        <v>7102</v>
      </c>
      <c r="H50" s="39">
        <v>626.54</v>
      </c>
      <c r="I50" s="40">
        <v>5.32</v>
      </c>
      <c r="J50" s="41">
        <v>1908.96</v>
      </c>
      <c r="K50" s="54">
        <v>3.23</v>
      </c>
      <c r="L50" s="54">
        <v>30.68</v>
      </c>
      <c r="M50" s="57">
        <v>89.88</v>
      </c>
      <c r="N50" s="54">
        <v>4.54</v>
      </c>
      <c r="O50" s="58">
        <v>1020.07</v>
      </c>
      <c r="P50" s="59">
        <v>6.45</v>
      </c>
      <c r="Q50" s="60">
        <v>610.41999999999996</v>
      </c>
      <c r="R50" s="61">
        <v>0.89</v>
      </c>
      <c r="S50" s="62">
        <v>592.24</v>
      </c>
      <c r="T50" s="5" t="s">
        <v>351</v>
      </c>
      <c r="U50" s="124" t="s">
        <v>351</v>
      </c>
      <c r="V50" s="124" t="s">
        <v>351</v>
      </c>
      <c r="W50" s="124" t="s">
        <v>351</v>
      </c>
      <c r="X50" s="126">
        <v>0.49</v>
      </c>
      <c r="Y50" s="31">
        <v>10.08</v>
      </c>
      <c r="Z50" s="116" t="s">
        <v>352</v>
      </c>
      <c r="AA50" s="127" t="s">
        <v>351</v>
      </c>
      <c r="AB50" s="124" t="s">
        <v>351</v>
      </c>
      <c r="AC50" s="124" t="s">
        <v>351</v>
      </c>
      <c r="AD50" s="139" t="s">
        <v>351</v>
      </c>
      <c r="AE50" s="127" t="s">
        <v>351</v>
      </c>
      <c r="AF50" s="116" t="s">
        <v>352</v>
      </c>
      <c r="AG50" s="116" t="s">
        <v>352</v>
      </c>
      <c r="AH50" s="116" t="s">
        <v>352</v>
      </c>
      <c r="AI50" s="116" t="s">
        <v>352</v>
      </c>
      <c r="AJ50" s="150">
        <v>14.02</v>
      </c>
      <c r="AK50" s="150">
        <v>296.39999999999998</v>
      </c>
      <c r="AL50" s="123" t="s">
        <v>351</v>
      </c>
      <c r="AM50" s="123" t="s">
        <v>351</v>
      </c>
      <c r="AN50" s="122">
        <v>1.0473849915336912</v>
      </c>
      <c r="AO50" s="116" t="s">
        <v>352</v>
      </c>
      <c r="AP50" s="123" t="s">
        <v>351</v>
      </c>
      <c r="AQ50" s="126">
        <v>596.54999999999995</v>
      </c>
      <c r="AR50" s="54">
        <v>1029.8800000000001</v>
      </c>
      <c r="AS50" s="200">
        <v>0.16247288754202865</v>
      </c>
      <c r="AT50" s="116" t="s">
        <v>352</v>
      </c>
      <c r="AU50" s="116" t="s">
        <v>352</v>
      </c>
      <c r="AV50" s="163">
        <v>193.17274421080648</v>
      </c>
      <c r="AW50" s="165">
        <v>5.813906913402227</v>
      </c>
      <c r="AX50" s="164">
        <v>18.510000000000002</v>
      </c>
      <c r="AY50" s="134">
        <v>16.850000000000001</v>
      </c>
      <c r="AZ50" s="116" t="s">
        <v>352</v>
      </c>
      <c r="BA50" s="57">
        <v>13.78</v>
      </c>
      <c r="BB50" s="60">
        <v>491</v>
      </c>
      <c r="BC50" s="168">
        <v>5.78</v>
      </c>
      <c r="BD50" s="168">
        <v>0.95</v>
      </c>
      <c r="BE50" s="116" t="s">
        <v>352</v>
      </c>
      <c r="BF50" s="116" t="s">
        <v>352</v>
      </c>
      <c r="BG50" s="169">
        <v>23.86</v>
      </c>
      <c r="BH50" s="170">
        <v>22.01</v>
      </c>
      <c r="BI50" s="116" t="s">
        <v>352</v>
      </c>
      <c r="BJ50" s="174" t="s">
        <v>351</v>
      </c>
      <c r="BK50" s="119" t="s">
        <v>351</v>
      </c>
      <c r="BL50" s="162">
        <v>56.476808459504923</v>
      </c>
      <c r="BM50" s="162">
        <v>107.14571817672034</v>
      </c>
      <c r="BN50" s="162">
        <v>61.483617720099332</v>
      </c>
      <c r="BO50" s="60">
        <v>1474</v>
      </c>
      <c r="BP50" s="59">
        <v>0</v>
      </c>
      <c r="BQ50" s="126">
        <v>14.47</v>
      </c>
      <c r="BR50" s="116" t="s">
        <v>352</v>
      </c>
      <c r="BS50" s="184">
        <v>7.77</v>
      </c>
      <c r="BT50" s="124" t="s">
        <v>355</v>
      </c>
      <c r="BU50" s="131">
        <v>64.52</v>
      </c>
      <c r="BV50" s="54">
        <v>0</v>
      </c>
      <c r="BW50" s="189" t="s">
        <v>353</v>
      </c>
      <c r="BX50" s="189" t="s">
        <v>355</v>
      </c>
      <c r="BY50" s="189" t="s">
        <v>355</v>
      </c>
      <c r="BZ50" s="190" t="s">
        <v>359</v>
      </c>
      <c r="CA50" s="190" t="s">
        <v>359</v>
      </c>
      <c r="CB50" s="124" t="s">
        <v>351</v>
      </c>
      <c r="CC50" s="39" t="s">
        <v>351</v>
      </c>
      <c r="CD50" s="199">
        <v>48.71</v>
      </c>
    </row>
    <row r="51" spans="1:82">
      <c r="A51" s="3" t="s">
        <v>409</v>
      </c>
      <c r="B51" s="3" t="s">
        <v>410</v>
      </c>
      <c r="C51" s="27" t="s">
        <v>349</v>
      </c>
      <c r="D51" s="3" t="s">
        <v>411</v>
      </c>
      <c r="E51" s="29">
        <v>7001</v>
      </c>
      <c r="F51" s="3" t="s">
        <v>409</v>
      </c>
      <c r="G51" s="4">
        <v>7105</v>
      </c>
      <c r="H51" s="39">
        <v>196.91</v>
      </c>
      <c r="I51" s="40">
        <v>6.39</v>
      </c>
      <c r="J51" s="41">
        <v>1952.25</v>
      </c>
      <c r="K51" s="55" t="s">
        <v>351</v>
      </c>
      <c r="L51" s="54">
        <v>87.71</v>
      </c>
      <c r="M51" s="57">
        <v>63.19</v>
      </c>
      <c r="N51" s="54">
        <v>5.6</v>
      </c>
      <c r="O51" s="58">
        <v>1749.68</v>
      </c>
      <c r="P51" s="59">
        <v>6.19</v>
      </c>
      <c r="Q51" s="60">
        <v>1218.47</v>
      </c>
      <c r="R51" s="61">
        <v>0.28999999999999998</v>
      </c>
      <c r="S51" s="62">
        <v>626.14</v>
      </c>
      <c r="T51" s="60">
        <v>222</v>
      </c>
      <c r="U51" s="125">
        <v>1.96</v>
      </c>
      <c r="V51" s="124" t="s">
        <v>351</v>
      </c>
      <c r="W51" s="124" t="s">
        <v>351</v>
      </c>
      <c r="X51" s="126">
        <v>0.5</v>
      </c>
      <c r="Y51" s="31">
        <v>30.08</v>
      </c>
      <c r="Z51" s="116" t="s">
        <v>352</v>
      </c>
      <c r="AA51" s="127" t="s">
        <v>351</v>
      </c>
      <c r="AB51" s="124" t="s">
        <v>351</v>
      </c>
      <c r="AC51" s="124" t="s">
        <v>351</v>
      </c>
      <c r="AD51" s="139" t="s">
        <v>351</v>
      </c>
      <c r="AE51" s="127" t="s">
        <v>351</v>
      </c>
      <c r="AF51" s="116" t="s">
        <v>352</v>
      </c>
      <c r="AG51" s="116" t="s">
        <v>352</v>
      </c>
      <c r="AH51" s="116" t="s">
        <v>352</v>
      </c>
      <c r="AI51" s="116" t="s">
        <v>352</v>
      </c>
      <c r="AJ51" s="150">
        <v>18.23</v>
      </c>
      <c r="AK51" s="150">
        <v>392.04</v>
      </c>
      <c r="AL51" s="123" t="s">
        <v>351</v>
      </c>
      <c r="AM51" s="123" t="s">
        <v>351</v>
      </c>
      <c r="AN51" s="122">
        <v>2.4060270875230083</v>
      </c>
      <c r="AO51" s="116" t="s">
        <v>352</v>
      </c>
      <c r="AP51" s="123" t="s">
        <v>351</v>
      </c>
      <c r="AQ51" s="126">
        <v>586.65</v>
      </c>
      <c r="AR51" s="54">
        <v>352.27</v>
      </c>
      <c r="AS51" s="200">
        <v>1.5770726876303882E-2</v>
      </c>
      <c r="AT51" s="116" t="s">
        <v>352</v>
      </c>
      <c r="AU51" s="116" t="s">
        <v>352</v>
      </c>
      <c r="AV51" s="163">
        <v>132.86713286713285</v>
      </c>
      <c r="AW51" s="165">
        <v>3.4992067978337378</v>
      </c>
      <c r="AX51" s="164">
        <v>10.81</v>
      </c>
      <c r="AY51" s="134">
        <v>49.18</v>
      </c>
      <c r="AZ51" s="116" t="s">
        <v>352</v>
      </c>
      <c r="BA51" s="57">
        <v>13.33</v>
      </c>
      <c r="BB51" s="60">
        <v>351</v>
      </c>
      <c r="BC51" s="168">
        <v>9.36</v>
      </c>
      <c r="BD51" s="168">
        <v>0.56000000000000005</v>
      </c>
      <c r="BE51" s="116" t="s">
        <v>352</v>
      </c>
      <c r="BF51" s="116" t="s">
        <v>352</v>
      </c>
      <c r="BG51" s="169">
        <v>17.62</v>
      </c>
      <c r="BH51" s="170">
        <v>33.159999999999997</v>
      </c>
      <c r="BI51" s="116" t="s">
        <v>352</v>
      </c>
      <c r="BJ51" s="173">
        <v>50</v>
      </c>
      <c r="BK51" s="119">
        <v>0.37687107416643095</v>
      </c>
      <c r="BL51" s="162">
        <v>39.386590324757023</v>
      </c>
      <c r="BM51" s="162">
        <v>94.819569300340987</v>
      </c>
      <c r="BN51" s="162">
        <v>57.438777556937332</v>
      </c>
      <c r="BO51" s="60">
        <v>2510</v>
      </c>
      <c r="BP51" s="59">
        <v>0.03</v>
      </c>
      <c r="BQ51" s="180" t="s">
        <v>358</v>
      </c>
      <c r="BR51" s="116" t="s">
        <v>352</v>
      </c>
      <c r="BS51" s="184">
        <v>21.1</v>
      </c>
      <c r="BT51" s="124" t="s">
        <v>355</v>
      </c>
      <c r="BU51" s="131">
        <v>62.42</v>
      </c>
      <c r="BV51" s="54">
        <v>4.33</v>
      </c>
      <c r="BW51" s="177" t="s">
        <v>354</v>
      </c>
      <c r="BX51" s="177" t="s">
        <v>354</v>
      </c>
      <c r="BY51" s="189" t="s">
        <v>355</v>
      </c>
      <c r="BZ51" s="190" t="s">
        <v>359</v>
      </c>
      <c r="CA51" s="190" t="s">
        <v>359</v>
      </c>
      <c r="CB51" s="124" t="s">
        <v>355</v>
      </c>
      <c r="CC51" s="41">
        <v>747.6</v>
      </c>
      <c r="CD51" s="199">
        <v>47.77</v>
      </c>
    </row>
    <row r="52" spans="1:82">
      <c r="A52" s="3" t="s">
        <v>409</v>
      </c>
      <c r="B52" s="3" t="s">
        <v>413</v>
      </c>
      <c r="C52" s="27" t="s">
        <v>349</v>
      </c>
      <c r="D52" s="3" t="s">
        <v>414</v>
      </c>
      <c r="E52" s="29">
        <v>7301</v>
      </c>
      <c r="F52" s="6" t="s">
        <v>413</v>
      </c>
      <c r="G52" s="4">
        <v>7301</v>
      </c>
      <c r="H52" s="39">
        <v>261.74</v>
      </c>
      <c r="I52" s="40">
        <v>4.68</v>
      </c>
      <c r="J52" s="41">
        <v>2374.6799999999998</v>
      </c>
      <c r="K52" s="54">
        <v>5.64</v>
      </c>
      <c r="L52" s="54">
        <v>84.63</v>
      </c>
      <c r="M52" s="57">
        <v>75.52</v>
      </c>
      <c r="N52" s="54">
        <v>8.2200000000000006</v>
      </c>
      <c r="O52" s="58">
        <v>1169.68</v>
      </c>
      <c r="P52" s="59">
        <v>14.42</v>
      </c>
      <c r="Q52" s="60">
        <v>655.39</v>
      </c>
      <c r="R52" s="61">
        <v>0.9</v>
      </c>
      <c r="S52" s="62">
        <v>696.27</v>
      </c>
      <c r="T52" s="5" t="s">
        <v>351</v>
      </c>
      <c r="U52" s="124" t="s">
        <v>351</v>
      </c>
      <c r="V52" s="124" t="s">
        <v>351</v>
      </c>
      <c r="W52" s="125">
        <v>3.59</v>
      </c>
      <c r="X52" s="126">
        <v>3.69</v>
      </c>
      <c r="Y52" s="31">
        <v>62.58</v>
      </c>
      <c r="Z52" s="116" t="s">
        <v>352</v>
      </c>
      <c r="AA52" s="127" t="s">
        <v>351</v>
      </c>
      <c r="AB52" s="124" t="s">
        <v>351</v>
      </c>
      <c r="AC52" s="124" t="s">
        <v>351</v>
      </c>
      <c r="AD52" s="139" t="s">
        <v>351</v>
      </c>
      <c r="AE52" s="127" t="s">
        <v>351</v>
      </c>
      <c r="AF52" s="116" t="s">
        <v>352</v>
      </c>
      <c r="AG52" s="116" t="s">
        <v>352</v>
      </c>
      <c r="AH52" s="116" t="s">
        <v>352</v>
      </c>
      <c r="AI52" s="116" t="s">
        <v>352</v>
      </c>
      <c r="AJ52" s="150">
        <v>8.19</v>
      </c>
      <c r="AK52" s="150">
        <v>646.75</v>
      </c>
      <c r="AL52" s="123" t="s">
        <v>351</v>
      </c>
      <c r="AM52" s="123" t="s">
        <v>351</v>
      </c>
      <c r="AN52" s="122">
        <v>1.0929718552437082</v>
      </c>
      <c r="AO52" s="116" t="s">
        <v>352</v>
      </c>
      <c r="AP52" s="125">
        <v>0.69</v>
      </c>
      <c r="AQ52" s="126">
        <v>766.9</v>
      </c>
      <c r="AR52" s="54">
        <v>767.99</v>
      </c>
      <c r="AS52" s="200">
        <v>5.2136889718083147E-2</v>
      </c>
      <c r="AT52" s="116" t="s">
        <v>352</v>
      </c>
      <c r="AU52" s="116" t="s">
        <v>352</v>
      </c>
      <c r="AV52" s="163">
        <v>564.10417583338563</v>
      </c>
      <c r="AW52" s="165">
        <v>16.954564060581255</v>
      </c>
      <c r="AX52" s="164">
        <v>11.48</v>
      </c>
      <c r="AY52" s="134">
        <v>42.97</v>
      </c>
      <c r="AZ52" s="116" t="s">
        <v>352</v>
      </c>
      <c r="BA52" s="57">
        <v>12.88</v>
      </c>
      <c r="BB52" s="60">
        <v>1923</v>
      </c>
      <c r="BC52" s="168">
        <v>6.6</v>
      </c>
      <c r="BD52" s="168">
        <v>1.39</v>
      </c>
      <c r="BE52" s="116" t="s">
        <v>352</v>
      </c>
      <c r="BF52" s="116" t="s">
        <v>352</v>
      </c>
      <c r="BG52" s="169">
        <v>15.42</v>
      </c>
      <c r="BH52" s="170">
        <v>15.41</v>
      </c>
      <c r="BI52" s="116" t="s">
        <v>352</v>
      </c>
      <c r="BJ52" s="174" t="s">
        <v>351</v>
      </c>
      <c r="BK52" s="119" t="s">
        <v>351</v>
      </c>
      <c r="BL52" s="162">
        <v>86.904499511949368</v>
      </c>
      <c r="BM52" s="162">
        <v>223.81057338077395</v>
      </c>
      <c r="BN52" s="162">
        <v>70.279290909663402</v>
      </c>
      <c r="BO52" s="60">
        <v>1747</v>
      </c>
      <c r="BP52" s="59">
        <v>0.11</v>
      </c>
      <c r="BQ52" s="180" t="s">
        <v>358</v>
      </c>
      <c r="BR52" s="116" t="s">
        <v>352</v>
      </c>
      <c r="BS52" s="184">
        <v>2.6</v>
      </c>
      <c r="BT52" s="124" t="s">
        <v>353</v>
      </c>
      <c r="BU52" s="131">
        <v>42.55</v>
      </c>
      <c r="BV52" s="54">
        <v>5.26</v>
      </c>
      <c r="BW52" s="189" t="s">
        <v>355</v>
      </c>
      <c r="BX52" s="189" t="s">
        <v>355</v>
      </c>
      <c r="BY52" s="189" t="s">
        <v>353</v>
      </c>
      <c r="BZ52" s="191">
        <v>0</v>
      </c>
      <c r="CA52" s="191">
        <v>0</v>
      </c>
      <c r="CB52" s="124" t="s">
        <v>355</v>
      </c>
      <c r="CC52" s="41">
        <v>787.2</v>
      </c>
      <c r="CD52" s="199">
        <v>37.81</v>
      </c>
    </row>
    <row r="53" spans="1:82">
      <c r="A53" s="3" t="s">
        <v>409</v>
      </c>
      <c r="B53" s="3" t="s">
        <v>413</v>
      </c>
      <c r="C53" s="27" t="s">
        <v>349</v>
      </c>
      <c r="D53" s="3" t="s">
        <v>414</v>
      </c>
      <c r="E53" s="29">
        <v>7301</v>
      </c>
      <c r="F53" s="6" t="s">
        <v>415</v>
      </c>
      <c r="G53" s="4">
        <v>7305</v>
      </c>
      <c r="H53" s="39">
        <v>243.7</v>
      </c>
      <c r="I53" s="40">
        <v>5.78</v>
      </c>
      <c r="J53" s="42" t="s">
        <v>351</v>
      </c>
      <c r="K53" s="55" t="s">
        <v>351</v>
      </c>
      <c r="L53" s="54">
        <v>86.52</v>
      </c>
      <c r="M53" s="56" t="s">
        <v>351</v>
      </c>
      <c r="N53" s="54">
        <v>5</v>
      </c>
      <c r="O53" s="58">
        <v>951.41</v>
      </c>
      <c r="P53" s="59" t="s">
        <v>351</v>
      </c>
      <c r="Q53" s="60">
        <v>1252.21</v>
      </c>
      <c r="R53" s="61">
        <v>0.39</v>
      </c>
      <c r="S53" s="62">
        <v>369.13</v>
      </c>
      <c r="T53" s="5" t="s">
        <v>351</v>
      </c>
      <c r="U53" s="124" t="s">
        <v>351</v>
      </c>
      <c r="V53" s="124" t="s">
        <v>351</v>
      </c>
      <c r="W53" s="124" t="s">
        <v>351</v>
      </c>
      <c r="X53" s="126" t="s">
        <v>357</v>
      </c>
      <c r="Y53" s="126" t="s">
        <v>351</v>
      </c>
      <c r="Z53" s="116" t="s">
        <v>352</v>
      </c>
      <c r="AA53" s="127" t="s">
        <v>351</v>
      </c>
      <c r="AB53" s="124" t="s">
        <v>351</v>
      </c>
      <c r="AC53" s="124" t="s">
        <v>351</v>
      </c>
      <c r="AD53" s="139" t="s">
        <v>351</v>
      </c>
      <c r="AE53" s="127" t="s">
        <v>351</v>
      </c>
      <c r="AF53" s="116" t="s">
        <v>352</v>
      </c>
      <c r="AG53" s="116" t="s">
        <v>352</v>
      </c>
      <c r="AH53" s="116" t="s">
        <v>352</v>
      </c>
      <c r="AI53" s="116" t="s">
        <v>352</v>
      </c>
      <c r="AJ53" s="150">
        <v>54.84</v>
      </c>
      <c r="AK53" s="150">
        <v>557.59</v>
      </c>
      <c r="AL53" s="123" t="s">
        <v>351</v>
      </c>
      <c r="AM53" s="123" t="s">
        <v>351</v>
      </c>
      <c r="AN53" s="122">
        <v>0.78222684130124454</v>
      </c>
      <c r="AO53" s="116" t="s">
        <v>352</v>
      </c>
      <c r="AP53" s="125">
        <v>2.74</v>
      </c>
      <c r="AQ53" s="126">
        <v>626.19000000000005</v>
      </c>
      <c r="AR53" s="54">
        <v>673.82</v>
      </c>
      <c r="AS53" s="200" t="s">
        <v>351</v>
      </c>
      <c r="AT53" s="116" t="s">
        <v>352</v>
      </c>
      <c r="AU53" s="116" t="s">
        <v>352</v>
      </c>
      <c r="AV53" s="163">
        <v>70.227497527200796</v>
      </c>
      <c r="AW53" s="165">
        <v>1.2979890310786106</v>
      </c>
      <c r="AX53" s="164">
        <v>18.61</v>
      </c>
      <c r="AY53" s="134">
        <v>79.680000000000007</v>
      </c>
      <c r="AZ53" s="116" t="s">
        <v>352</v>
      </c>
      <c r="BA53" s="57">
        <v>19.7</v>
      </c>
      <c r="BB53" s="60">
        <v>53</v>
      </c>
      <c r="BC53" s="168">
        <v>9.35</v>
      </c>
      <c r="BD53" s="168">
        <v>0.86</v>
      </c>
      <c r="BE53" s="116" t="s">
        <v>352</v>
      </c>
      <c r="BF53" s="116" t="s">
        <v>352</v>
      </c>
      <c r="BG53" s="169">
        <v>18.149999999999999</v>
      </c>
      <c r="BH53" s="170">
        <v>19.579999999999998</v>
      </c>
      <c r="BI53" s="116" t="s">
        <v>352</v>
      </c>
      <c r="BJ53" s="174" t="s">
        <v>351</v>
      </c>
      <c r="BK53" s="119" t="s">
        <v>351</v>
      </c>
      <c r="BL53" s="162">
        <v>36.563071297989033</v>
      </c>
      <c r="BM53" s="162">
        <v>101.46252285191956</v>
      </c>
      <c r="BN53" s="162">
        <v>60.329067641681895</v>
      </c>
      <c r="BO53" s="60">
        <v>882</v>
      </c>
      <c r="BP53" s="59">
        <v>0.09</v>
      </c>
      <c r="BQ53" s="180" t="s">
        <v>358</v>
      </c>
      <c r="BR53" s="116" t="s">
        <v>352</v>
      </c>
      <c r="BS53" s="184">
        <v>8.9700000000000006</v>
      </c>
      <c r="BT53" s="124" t="s">
        <v>355</v>
      </c>
      <c r="BU53" s="131">
        <v>53.87</v>
      </c>
      <c r="BV53" s="54">
        <v>0</v>
      </c>
      <c r="BW53" s="177" t="s">
        <v>354</v>
      </c>
      <c r="BX53" s="177" t="s">
        <v>354</v>
      </c>
      <c r="BY53" s="189" t="s">
        <v>355</v>
      </c>
      <c r="BZ53" s="190" t="s">
        <v>359</v>
      </c>
      <c r="CA53" s="190" t="s">
        <v>359</v>
      </c>
      <c r="CB53" s="124" t="s">
        <v>353</v>
      </c>
      <c r="CC53" s="39" t="s">
        <v>351</v>
      </c>
      <c r="CD53" s="199">
        <v>55.98</v>
      </c>
    </row>
    <row r="54" spans="1:82">
      <c r="A54" s="3" t="s">
        <v>409</v>
      </c>
      <c r="B54" s="3" t="s">
        <v>413</v>
      </c>
      <c r="C54" s="27" t="s">
        <v>349</v>
      </c>
      <c r="D54" s="3" t="s">
        <v>414</v>
      </c>
      <c r="E54" s="29">
        <v>7301</v>
      </c>
      <c r="F54" s="6" t="s">
        <v>416</v>
      </c>
      <c r="G54" s="4">
        <v>7306</v>
      </c>
      <c r="H54" s="39">
        <v>277.05</v>
      </c>
      <c r="I54" s="40">
        <v>9.8800000000000008</v>
      </c>
      <c r="J54" s="41">
        <v>1683.23</v>
      </c>
      <c r="K54" s="54">
        <v>3.72</v>
      </c>
      <c r="L54" s="54">
        <v>69.540000000000006</v>
      </c>
      <c r="M54" s="57">
        <v>100</v>
      </c>
      <c r="N54" s="54">
        <v>10.59</v>
      </c>
      <c r="O54" s="58">
        <v>830.2</v>
      </c>
      <c r="P54" s="59">
        <v>12.35</v>
      </c>
      <c r="Q54" s="60">
        <v>756.95</v>
      </c>
      <c r="R54" s="61">
        <v>1.07</v>
      </c>
      <c r="S54" s="62">
        <v>357.08</v>
      </c>
      <c r="T54" s="5" t="s">
        <v>351</v>
      </c>
      <c r="U54" s="124" t="s">
        <v>351</v>
      </c>
      <c r="V54" s="124" t="s">
        <v>351</v>
      </c>
      <c r="W54" s="124" t="s">
        <v>351</v>
      </c>
      <c r="X54" s="126" t="s">
        <v>357</v>
      </c>
      <c r="Y54" s="126" t="s">
        <v>351</v>
      </c>
      <c r="Z54" s="116" t="s">
        <v>352</v>
      </c>
      <c r="AA54" s="127" t="s">
        <v>351</v>
      </c>
      <c r="AB54" s="124" t="s">
        <v>351</v>
      </c>
      <c r="AC54" s="124" t="s">
        <v>351</v>
      </c>
      <c r="AD54" s="139" t="s">
        <v>351</v>
      </c>
      <c r="AE54" s="127" t="s">
        <v>351</v>
      </c>
      <c r="AF54" s="116" t="s">
        <v>352</v>
      </c>
      <c r="AG54" s="116" t="s">
        <v>352</v>
      </c>
      <c r="AH54" s="116" t="s">
        <v>352</v>
      </c>
      <c r="AI54" s="116" t="s">
        <v>352</v>
      </c>
      <c r="AJ54" s="150">
        <v>31.8</v>
      </c>
      <c r="AK54" s="150">
        <v>470.71</v>
      </c>
      <c r="AL54" s="123" t="s">
        <v>351</v>
      </c>
      <c r="AM54" s="123" t="s">
        <v>351</v>
      </c>
      <c r="AN54" s="122">
        <v>0.71591876497103168</v>
      </c>
      <c r="AO54" s="116" t="s">
        <v>352</v>
      </c>
      <c r="AP54" s="125">
        <v>0</v>
      </c>
      <c r="AQ54" s="126">
        <v>735.03</v>
      </c>
      <c r="AR54" s="54">
        <v>2844.85</v>
      </c>
      <c r="AS54" s="200" t="s">
        <v>351</v>
      </c>
      <c r="AT54" s="116" t="s">
        <v>352</v>
      </c>
      <c r="AU54" s="116" t="s">
        <v>352</v>
      </c>
      <c r="AV54" s="163">
        <v>260.96788783355947</v>
      </c>
      <c r="AW54" s="165">
        <v>3.6702499840977039</v>
      </c>
      <c r="AX54" s="164">
        <v>17.510000000000002</v>
      </c>
      <c r="AY54" s="134">
        <v>36.659999999999997</v>
      </c>
      <c r="AZ54" s="116" t="s">
        <v>352</v>
      </c>
      <c r="BA54" s="57">
        <v>17.420000000000002</v>
      </c>
      <c r="BB54" s="60">
        <v>100</v>
      </c>
      <c r="BC54" s="168">
        <v>8.33</v>
      </c>
      <c r="BD54" s="168">
        <v>1.36</v>
      </c>
      <c r="BE54" s="116" t="s">
        <v>352</v>
      </c>
      <c r="BF54" s="116" t="s">
        <v>352</v>
      </c>
      <c r="BG54" s="169">
        <v>16.53</v>
      </c>
      <c r="BH54" s="170">
        <v>21.08</v>
      </c>
      <c r="BI54" s="116" t="s">
        <v>352</v>
      </c>
      <c r="BJ54" s="174" t="s">
        <v>351</v>
      </c>
      <c r="BK54" s="119" t="s">
        <v>351</v>
      </c>
      <c r="BL54" s="162">
        <v>34.348959989822532</v>
      </c>
      <c r="BM54" s="162">
        <v>69.970103682971825</v>
      </c>
      <c r="BN54" s="162">
        <v>48.979072578080277</v>
      </c>
      <c r="BO54" s="60">
        <v>1340</v>
      </c>
      <c r="BP54" s="59">
        <v>0.1</v>
      </c>
      <c r="BQ54" s="180" t="s">
        <v>358</v>
      </c>
      <c r="BR54" s="116" t="s">
        <v>352</v>
      </c>
      <c r="BS54" s="184">
        <v>65.67</v>
      </c>
      <c r="BT54" s="124" t="s">
        <v>353</v>
      </c>
      <c r="BU54" s="131">
        <v>35.17</v>
      </c>
      <c r="BV54" s="54">
        <v>1.07</v>
      </c>
      <c r="BW54" s="189" t="s">
        <v>355</v>
      </c>
      <c r="BX54" s="189" t="s">
        <v>355</v>
      </c>
      <c r="BY54" s="189" t="s">
        <v>353</v>
      </c>
      <c r="BZ54" s="190" t="s">
        <v>359</v>
      </c>
      <c r="CA54" s="190" t="s">
        <v>359</v>
      </c>
      <c r="CB54" s="124" t="s">
        <v>353</v>
      </c>
      <c r="CC54" s="41">
        <v>1272.2</v>
      </c>
      <c r="CD54" s="199">
        <v>53.45</v>
      </c>
    </row>
    <row r="55" spans="1:82">
      <c r="A55" s="3" t="s">
        <v>409</v>
      </c>
      <c r="B55" s="5" t="s">
        <v>417</v>
      </c>
      <c r="C55" s="27" t="s">
        <v>349</v>
      </c>
      <c r="D55" s="5" t="s">
        <v>417</v>
      </c>
      <c r="E55" s="29">
        <v>7401</v>
      </c>
      <c r="F55" s="7" t="s">
        <v>417</v>
      </c>
      <c r="G55" s="4">
        <v>7401</v>
      </c>
      <c r="H55" s="39">
        <v>250.93</v>
      </c>
      <c r="I55" s="40">
        <v>4.42</v>
      </c>
      <c r="J55" s="41">
        <v>1870.23</v>
      </c>
      <c r="K55" s="54">
        <v>0.54</v>
      </c>
      <c r="L55" s="54">
        <v>84.88</v>
      </c>
      <c r="M55" s="57">
        <v>90.35</v>
      </c>
      <c r="N55" s="54">
        <v>4.24</v>
      </c>
      <c r="O55" s="58">
        <v>966.31</v>
      </c>
      <c r="P55" s="59">
        <v>8.3000000000000007</v>
      </c>
      <c r="Q55" s="60">
        <v>752.43</v>
      </c>
      <c r="R55" s="61">
        <v>0.99</v>
      </c>
      <c r="S55" s="62">
        <v>565.6</v>
      </c>
      <c r="T55" s="5" t="s">
        <v>351</v>
      </c>
      <c r="U55" s="124" t="s">
        <v>351</v>
      </c>
      <c r="V55" s="124" t="s">
        <v>351</v>
      </c>
      <c r="W55" s="124" t="s">
        <v>351</v>
      </c>
      <c r="X55" s="126">
        <v>2.75</v>
      </c>
      <c r="Y55" s="31">
        <v>32.49</v>
      </c>
      <c r="Z55" s="116" t="s">
        <v>352</v>
      </c>
      <c r="AA55" s="127" t="s">
        <v>351</v>
      </c>
      <c r="AB55" s="124" t="s">
        <v>351</v>
      </c>
      <c r="AC55" s="124" t="s">
        <v>351</v>
      </c>
      <c r="AD55" s="139" t="s">
        <v>351</v>
      </c>
      <c r="AE55" s="127" t="s">
        <v>351</v>
      </c>
      <c r="AF55" s="116" t="s">
        <v>352</v>
      </c>
      <c r="AG55" s="116" t="s">
        <v>352</v>
      </c>
      <c r="AH55" s="116" t="s">
        <v>352</v>
      </c>
      <c r="AI55" s="116" t="s">
        <v>352</v>
      </c>
      <c r="AJ55" s="150">
        <v>7.07</v>
      </c>
      <c r="AK55" s="150">
        <v>533.03</v>
      </c>
      <c r="AL55" s="123" t="s">
        <v>351</v>
      </c>
      <c r="AM55" s="123" t="s">
        <v>351</v>
      </c>
      <c r="AN55" s="122">
        <v>0.96287114746771163</v>
      </c>
      <c r="AO55" s="116" t="s">
        <v>352</v>
      </c>
      <c r="AP55" s="125">
        <v>0</v>
      </c>
      <c r="AQ55" s="126">
        <v>714.86</v>
      </c>
      <c r="AR55" s="54">
        <v>547.77</v>
      </c>
      <c r="AS55" s="200" t="s">
        <v>351</v>
      </c>
      <c r="AT55" s="116" t="s">
        <v>352</v>
      </c>
      <c r="AU55" s="116" t="s">
        <v>352</v>
      </c>
      <c r="AV55" s="163">
        <v>503.36622377373277</v>
      </c>
      <c r="AW55" s="165">
        <v>14.265667905023422</v>
      </c>
      <c r="AX55" s="164">
        <v>9.23</v>
      </c>
      <c r="AY55" s="134">
        <v>55.08</v>
      </c>
      <c r="AZ55" s="116" t="s">
        <v>352</v>
      </c>
      <c r="BA55" s="57">
        <v>14.95</v>
      </c>
      <c r="BB55" s="60">
        <v>972</v>
      </c>
      <c r="BC55" s="168">
        <v>7.13</v>
      </c>
      <c r="BD55" s="168">
        <v>1.21</v>
      </c>
      <c r="BE55" s="116" t="s">
        <v>352</v>
      </c>
      <c r="BF55" s="116" t="s">
        <v>352</v>
      </c>
      <c r="BG55" s="169">
        <v>14.93</v>
      </c>
      <c r="BH55" s="170">
        <v>22.79</v>
      </c>
      <c r="BI55" s="116" t="s">
        <v>352</v>
      </c>
      <c r="BJ55" s="174" t="s">
        <v>351</v>
      </c>
      <c r="BK55" s="119" t="s">
        <v>351</v>
      </c>
      <c r="BL55" s="162">
        <v>69.556614440316594</v>
      </c>
      <c r="BM55" s="162">
        <v>179.69633338717495</v>
      </c>
      <c r="BN55" s="162">
        <v>57.644160878694883</v>
      </c>
      <c r="BO55" s="60">
        <v>1745</v>
      </c>
      <c r="BP55" s="59">
        <v>0.01</v>
      </c>
      <c r="BQ55" s="180" t="s">
        <v>358</v>
      </c>
      <c r="BR55" s="116" t="s">
        <v>352</v>
      </c>
      <c r="BS55" s="184">
        <v>2.77</v>
      </c>
      <c r="BT55" s="124" t="s">
        <v>353</v>
      </c>
      <c r="BU55" s="131">
        <v>52.53</v>
      </c>
      <c r="BV55" s="54">
        <v>0.05</v>
      </c>
      <c r="BW55" s="177" t="s">
        <v>354</v>
      </c>
      <c r="BX55" s="177" t="s">
        <v>354</v>
      </c>
      <c r="BY55" s="189" t="s">
        <v>355</v>
      </c>
      <c r="BZ55" s="190" t="s">
        <v>359</v>
      </c>
      <c r="CA55" s="190" t="s">
        <v>359</v>
      </c>
      <c r="CB55" s="124" t="s">
        <v>351</v>
      </c>
      <c r="CC55" s="39" t="s">
        <v>351</v>
      </c>
      <c r="CD55" s="199">
        <v>33.51</v>
      </c>
    </row>
    <row r="56" spans="1:82">
      <c r="A56" s="3" t="s">
        <v>418</v>
      </c>
      <c r="B56" s="3" t="s">
        <v>419</v>
      </c>
      <c r="C56" s="27" t="s">
        <v>420</v>
      </c>
      <c r="D56" s="3" t="s">
        <v>420</v>
      </c>
      <c r="E56" s="29">
        <v>8001</v>
      </c>
      <c r="F56" s="3" t="s">
        <v>419</v>
      </c>
      <c r="G56" s="4">
        <v>8101</v>
      </c>
      <c r="H56" s="39">
        <v>334.88</v>
      </c>
      <c r="I56" s="40">
        <v>4.2</v>
      </c>
      <c r="J56" s="41">
        <v>1793.91</v>
      </c>
      <c r="K56" s="54">
        <v>6.93</v>
      </c>
      <c r="L56" s="54">
        <v>71.3</v>
      </c>
      <c r="M56" s="57">
        <v>82.91</v>
      </c>
      <c r="N56" s="54">
        <v>8.74</v>
      </c>
      <c r="O56" s="58">
        <v>1240.49</v>
      </c>
      <c r="P56" s="59">
        <v>7.36</v>
      </c>
      <c r="Q56" s="60">
        <v>712.07</v>
      </c>
      <c r="R56" s="61">
        <v>1.05</v>
      </c>
      <c r="S56" s="62">
        <v>871.67</v>
      </c>
      <c r="T56" s="60">
        <v>257</v>
      </c>
      <c r="U56" s="125">
        <v>29.05</v>
      </c>
      <c r="V56" s="124" t="s">
        <v>351</v>
      </c>
      <c r="W56" s="124" t="s">
        <v>351</v>
      </c>
      <c r="X56" s="126">
        <v>4.29</v>
      </c>
      <c r="Y56" s="31">
        <v>66.069999999999993</v>
      </c>
      <c r="Z56" s="116" t="s">
        <v>352</v>
      </c>
      <c r="AA56" s="127" t="s">
        <v>351</v>
      </c>
      <c r="AB56" s="124" t="s">
        <v>351</v>
      </c>
      <c r="AC56" s="124" t="s">
        <v>351</v>
      </c>
      <c r="AD56" s="139" t="s">
        <v>351</v>
      </c>
      <c r="AE56" s="127" t="s">
        <v>351</v>
      </c>
      <c r="AF56" s="116" t="s">
        <v>352</v>
      </c>
      <c r="AG56" s="116" t="s">
        <v>352</v>
      </c>
      <c r="AH56" s="116" t="s">
        <v>352</v>
      </c>
      <c r="AI56" s="116" t="s">
        <v>352</v>
      </c>
      <c r="AJ56" s="150">
        <v>5.5</v>
      </c>
      <c r="AK56" s="150">
        <v>423.01</v>
      </c>
      <c r="AL56" s="123" t="s">
        <v>351</v>
      </c>
      <c r="AM56" s="123" t="s">
        <v>351</v>
      </c>
      <c r="AN56" s="122">
        <v>1.1261850126324087</v>
      </c>
      <c r="AO56" s="116" t="s">
        <v>352</v>
      </c>
      <c r="AP56" s="123" t="s">
        <v>351</v>
      </c>
      <c r="AQ56" s="126">
        <v>861.98</v>
      </c>
      <c r="AR56" s="54">
        <v>867.71</v>
      </c>
      <c r="AS56" s="200">
        <v>4.5396674778569535E-3</v>
      </c>
      <c r="AT56" s="116" t="s">
        <v>352</v>
      </c>
      <c r="AU56" s="116" t="s">
        <v>352</v>
      </c>
      <c r="AV56" s="163">
        <v>708.3687977270821</v>
      </c>
      <c r="AW56" s="165">
        <v>24.995769881556683</v>
      </c>
      <c r="AX56" s="164">
        <v>3.43</v>
      </c>
      <c r="AY56" s="134">
        <v>31.7</v>
      </c>
      <c r="AZ56" s="116" t="s">
        <v>352</v>
      </c>
      <c r="BA56" s="57">
        <v>9.25</v>
      </c>
      <c r="BB56" s="60">
        <v>5567</v>
      </c>
      <c r="BC56" s="168">
        <v>4.8</v>
      </c>
      <c r="BD56" s="168">
        <v>2.88</v>
      </c>
      <c r="BE56" s="116" t="s">
        <v>352</v>
      </c>
      <c r="BF56" s="116" t="s">
        <v>352</v>
      </c>
      <c r="BG56" s="169">
        <v>11.6</v>
      </c>
      <c r="BH56" s="170">
        <v>13.45</v>
      </c>
      <c r="BI56" s="116" t="s">
        <v>352</v>
      </c>
      <c r="BJ56" s="173">
        <v>48.936170212765958</v>
      </c>
      <c r="BK56" s="119">
        <v>0.44159402940953935</v>
      </c>
      <c r="BL56" s="162">
        <v>150.38071065989848</v>
      </c>
      <c r="BM56" s="162">
        <v>258.84094754653131</v>
      </c>
      <c r="BN56" s="162">
        <v>46.192893401015226</v>
      </c>
      <c r="BO56" s="60">
        <v>2568</v>
      </c>
      <c r="BP56" s="59">
        <v>0.25</v>
      </c>
      <c r="BQ56" s="180" t="s">
        <v>358</v>
      </c>
      <c r="BR56" s="116" t="s">
        <v>352</v>
      </c>
      <c r="BS56" s="184">
        <v>15.8</v>
      </c>
      <c r="BT56" s="124" t="s">
        <v>353</v>
      </c>
      <c r="BU56" s="131">
        <v>12.06</v>
      </c>
      <c r="BV56" s="54">
        <v>0.11</v>
      </c>
      <c r="BW56" s="177" t="s">
        <v>354</v>
      </c>
      <c r="BX56" s="177" t="s">
        <v>354</v>
      </c>
      <c r="BY56" s="189" t="s">
        <v>353</v>
      </c>
      <c r="BZ56" s="190" t="s">
        <v>359</v>
      </c>
      <c r="CA56" s="190" t="s">
        <v>359</v>
      </c>
      <c r="CB56" s="124" t="s">
        <v>351</v>
      </c>
      <c r="CC56" s="39" t="s">
        <v>351</v>
      </c>
      <c r="CD56" s="199">
        <v>28.41</v>
      </c>
    </row>
    <row r="57" spans="1:82">
      <c r="A57" s="3" t="s">
        <v>418</v>
      </c>
      <c r="B57" s="3" t="s">
        <v>419</v>
      </c>
      <c r="C57" s="27" t="s">
        <v>420</v>
      </c>
      <c r="D57" s="3" t="s">
        <v>420</v>
      </c>
      <c r="E57" s="29">
        <v>8001</v>
      </c>
      <c r="F57" s="3" t="s">
        <v>421</v>
      </c>
      <c r="G57" s="4">
        <v>8102</v>
      </c>
      <c r="H57" s="39">
        <v>260.42</v>
      </c>
      <c r="I57" s="40">
        <v>3.93</v>
      </c>
      <c r="J57" s="41">
        <v>1614.89</v>
      </c>
      <c r="K57" s="54">
        <v>1.19</v>
      </c>
      <c r="L57" s="54">
        <v>82.01</v>
      </c>
      <c r="M57" s="57">
        <v>84.37</v>
      </c>
      <c r="N57" s="54">
        <v>4.2300000000000004</v>
      </c>
      <c r="O57" s="58">
        <v>1416.37</v>
      </c>
      <c r="P57" s="59">
        <v>10.88</v>
      </c>
      <c r="Q57" s="60">
        <v>671.69</v>
      </c>
      <c r="R57" s="61">
        <v>0.85</v>
      </c>
      <c r="S57" s="62">
        <v>641.15</v>
      </c>
      <c r="T57" s="60">
        <v>1444</v>
      </c>
      <c r="U57" s="125">
        <v>0.25</v>
      </c>
      <c r="V57" s="124" t="s">
        <v>351</v>
      </c>
      <c r="W57" s="124" t="s">
        <v>351</v>
      </c>
      <c r="X57" s="126">
        <v>1.81</v>
      </c>
      <c r="Y57" s="31">
        <v>57.35</v>
      </c>
      <c r="Z57" s="116" t="s">
        <v>352</v>
      </c>
      <c r="AA57" s="127" t="s">
        <v>351</v>
      </c>
      <c r="AB57" s="124" t="s">
        <v>351</v>
      </c>
      <c r="AC57" s="124" t="s">
        <v>351</v>
      </c>
      <c r="AD57" s="139" t="s">
        <v>351</v>
      </c>
      <c r="AE57" s="127" t="s">
        <v>351</v>
      </c>
      <c r="AF57" s="116" t="s">
        <v>352</v>
      </c>
      <c r="AG57" s="116" t="s">
        <v>352</v>
      </c>
      <c r="AH57" s="116" t="s">
        <v>352</v>
      </c>
      <c r="AI57" s="116" t="s">
        <v>352</v>
      </c>
      <c r="AJ57" s="150">
        <v>4.04</v>
      </c>
      <c r="AK57" s="150">
        <v>278.24</v>
      </c>
      <c r="AL57" s="123">
        <v>4.5</v>
      </c>
      <c r="AM57" s="123">
        <v>10.41</v>
      </c>
      <c r="AN57" s="122">
        <v>1.0449062976647157</v>
      </c>
      <c r="AO57" s="116" t="s">
        <v>352</v>
      </c>
      <c r="AP57" s="123" t="s">
        <v>351</v>
      </c>
      <c r="AQ57" s="126">
        <v>606.48</v>
      </c>
      <c r="AR57" s="54">
        <v>1587.73</v>
      </c>
      <c r="AS57" s="200" t="s">
        <v>351</v>
      </c>
      <c r="AT57" s="116" t="s">
        <v>352</v>
      </c>
      <c r="AU57" s="116" t="s">
        <v>352</v>
      </c>
      <c r="AV57" s="163">
        <v>584.96790988993996</v>
      </c>
      <c r="AW57" s="165">
        <v>18.356600935017873</v>
      </c>
      <c r="AX57" s="164">
        <v>7.76</v>
      </c>
      <c r="AY57" s="134">
        <v>43.83</v>
      </c>
      <c r="AZ57" s="116" t="s">
        <v>352</v>
      </c>
      <c r="BA57" s="57">
        <v>16.190000000000001</v>
      </c>
      <c r="BB57" s="60">
        <v>1219</v>
      </c>
      <c r="BC57" s="168">
        <v>7.13</v>
      </c>
      <c r="BD57" s="168">
        <v>0.75</v>
      </c>
      <c r="BE57" s="116" t="s">
        <v>352</v>
      </c>
      <c r="BF57" s="116" t="s">
        <v>352</v>
      </c>
      <c r="BG57" s="169">
        <v>14.54</v>
      </c>
      <c r="BH57" s="170">
        <v>15.79</v>
      </c>
      <c r="BI57" s="116" t="s">
        <v>352</v>
      </c>
      <c r="BJ57" s="173">
        <v>37.5</v>
      </c>
      <c r="BK57" s="119">
        <v>0.36412366359022263</v>
      </c>
      <c r="BL57" s="162">
        <v>92.207645146157205</v>
      </c>
      <c r="BM57" s="162">
        <v>123.10529466004498</v>
      </c>
      <c r="BN57" s="162">
        <v>57.912871863726807</v>
      </c>
      <c r="BO57" s="60">
        <v>1450</v>
      </c>
      <c r="BP57" s="59">
        <v>0</v>
      </c>
      <c r="BQ57" s="126">
        <v>8.86</v>
      </c>
      <c r="BR57" s="116" t="s">
        <v>352</v>
      </c>
      <c r="BS57" s="184">
        <v>65.849999999999994</v>
      </c>
      <c r="BT57" s="124" t="s">
        <v>353</v>
      </c>
      <c r="BU57" s="131">
        <v>51.97</v>
      </c>
      <c r="BV57" s="54">
        <v>1.1000000000000001</v>
      </c>
      <c r="BW57" s="189" t="s">
        <v>355</v>
      </c>
      <c r="BX57" s="189" t="s">
        <v>355</v>
      </c>
      <c r="BY57" s="189" t="s">
        <v>353</v>
      </c>
      <c r="BZ57" s="191">
        <v>0</v>
      </c>
      <c r="CA57" s="191">
        <v>0</v>
      </c>
      <c r="CB57" s="124" t="s">
        <v>351</v>
      </c>
      <c r="CC57" s="39" t="s">
        <v>351</v>
      </c>
      <c r="CD57" s="199">
        <v>42.95</v>
      </c>
    </row>
    <row r="58" spans="1:82">
      <c r="A58" s="3" t="s">
        <v>418</v>
      </c>
      <c r="B58" s="3" t="s">
        <v>419</v>
      </c>
      <c r="C58" s="27" t="s">
        <v>420</v>
      </c>
      <c r="D58" s="3" t="s">
        <v>420</v>
      </c>
      <c r="E58" s="29">
        <v>8001</v>
      </c>
      <c r="F58" s="3" t="s">
        <v>422</v>
      </c>
      <c r="G58" s="4">
        <v>8103</v>
      </c>
      <c r="H58" s="39">
        <v>298.01</v>
      </c>
      <c r="I58" s="40">
        <v>3.69</v>
      </c>
      <c r="J58" s="41">
        <v>12065.09</v>
      </c>
      <c r="K58" s="54">
        <v>65.02</v>
      </c>
      <c r="L58" s="54">
        <v>73.98</v>
      </c>
      <c r="M58" s="57">
        <v>0.56999999999999995</v>
      </c>
      <c r="N58" s="54">
        <v>3.1</v>
      </c>
      <c r="O58" s="58">
        <v>1368.18</v>
      </c>
      <c r="P58" s="59">
        <v>17.52</v>
      </c>
      <c r="Q58" s="60">
        <v>652.20000000000005</v>
      </c>
      <c r="R58" s="61">
        <v>0.84</v>
      </c>
      <c r="S58" s="62">
        <v>858.51</v>
      </c>
      <c r="T58" s="60">
        <v>303</v>
      </c>
      <c r="U58" s="125">
        <v>9.86</v>
      </c>
      <c r="V58" s="124" t="s">
        <v>351</v>
      </c>
      <c r="W58" s="124" t="s">
        <v>351</v>
      </c>
      <c r="X58" s="126">
        <v>1.8</v>
      </c>
      <c r="Y58" s="31">
        <v>72.7</v>
      </c>
      <c r="Z58" s="116" t="s">
        <v>352</v>
      </c>
      <c r="AA58" s="127" t="s">
        <v>351</v>
      </c>
      <c r="AB58" s="124" t="s">
        <v>351</v>
      </c>
      <c r="AC58" s="124" t="s">
        <v>351</v>
      </c>
      <c r="AD58" s="139" t="s">
        <v>351</v>
      </c>
      <c r="AE58" s="127" t="s">
        <v>351</v>
      </c>
      <c r="AF58" s="116" t="s">
        <v>352</v>
      </c>
      <c r="AG58" s="116" t="s">
        <v>352</v>
      </c>
      <c r="AH58" s="116" t="s">
        <v>352</v>
      </c>
      <c r="AI58" s="116" t="s">
        <v>352</v>
      </c>
      <c r="AJ58" s="150">
        <v>4.42</v>
      </c>
      <c r="AK58" s="150">
        <v>402.49</v>
      </c>
      <c r="AL58" s="123" t="s">
        <v>351</v>
      </c>
      <c r="AM58" s="123" t="s">
        <v>351</v>
      </c>
      <c r="AN58" s="122">
        <v>1.0086680135365573</v>
      </c>
      <c r="AO58" s="116" t="s">
        <v>352</v>
      </c>
      <c r="AP58" s="125">
        <v>0</v>
      </c>
      <c r="AQ58" s="126">
        <v>675.22</v>
      </c>
      <c r="AR58" s="54">
        <v>215.47</v>
      </c>
      <c r="AS58" s="200">
        <v>1.4919130237502453E-2</v>
      </c>
      <c r="AT58" s="116" t="s">
        <v>352</v>
      </c>
      <c r="AU58" s="116" t="s">
        <v>352</v>
      </c>
      <c r="AV58" s="163">
        <v>663.03404713150314</v>
      </c>
      <c r="AW58" s="165">
        <v>21.123863862535661</v>
      </c>
      <c r="AX58" s="164">
        <v>4.43</v>
      </c>
      <c r="AY58" s="134">
        <v>47.8</v>
      </c>
      <c r="AZ58" s="116" t="s">
        <v>352</v>
      </c>
      <c r="BA58" s="57">
        <v>12.14</v>
      </c>
      <c r="BB58" s="60">
        <v>1089</v>
      </c>
      <c r="BC58" s="168">
        <v>5.23</v>
      </c>
      <c r="BD58" s="168">
        <v>1.02</v>
      </c>
      <c r="BE58" s="116" t="s">
        <v>352</v>
      </c>
      <c r="BF58" s="116" t="s">
        <v>352</v>
      </c>
      <c r="BG58" s="169">
        <v>13.89</v>
      </c>
      <c r="BH58" s="170">
        <v>15.27</v>
      </c>
      <c r="BI58" s="116" t="s">
        <v>352</v>
      </c>
      <c r="BJ58" s="173">
        <v>57.142857142857146</v>
      </c>
      <c r="BK58" s="119">
        <v>0.39886458115364237</v>
      </c>
      <c r="BL58" s="162">
        <v>56.39222450739733</v>
      </c>
      <c r="BM58" s="162">
        <v>58.71425728123134</v>
      </c>
      <c r="BN58" s="162">
        <v>46.661801455140541</v>
      </c>
      <c r="BO58" s="60">
        <v>2506</v>
      </c>
      <c r="BP58" s="59">
        <v>0</v>
      </c>
      <c r="BQ58" s="182" t="s">
        <v>358</v>
      </c>
      <c r="BR58" s="116" t="s">
        <v>352</v>
      </c>
      <c r="BS58" s="184">
        <v>27.34</v>
      </c>
      <c r="BT58" s="124" t="s">
        <v>353</v>
      </c>
      <c r="BU58" s="131">
        <v>56.44</v>
      </c>
      <c r="BV58" s="54">
        <v>0</v>
      </c>
      <c r="BW58" s="189" t="s">
        <v>355</v>
      </c>
      <c r="BX58" s="189" t="s">
        <v>355</v>
      </c>
      <c r="BY58" s="189" t="s">
        <v>355</v>
      </c>
      <c r="BZ58" s="190" t="s">
        <v>359</v>
      </c>
      <c r="CA58" s="190" t="s">
        <v>359</v>
      </c>
      <c r="CB58" s="124" t="s">
        <v>355</v>
      </c>
      <c r="CC58" s="41">
        <v>1073.5999999999999</v>
      </c>
      <c r="CD58" s="199">
        <v>37.22</v>
      </c>
    </row>
    <row r="59" spans="1:82">
      <c r="A59" s="3" t="s">
        <v>418</v>
      </c>
      <c r="B59" s="3" t="s">
        <v>419</v>
      </c>
      <c r="C59" s="27" t="s">
        <v>420</v>
      </c>
      <c r="D59" s="3" t="s">
        <v>420</v>
      </c>
      <c r="E59" s="29">
        <v>8001</v>
      </c>
      <c r="F59" s="3" t="s">
        <v>423</v>
      </c>
      <c r="G59" s="4">
        <v>8105</v>
      </c>
      <c r="H59" s="39">
        <v>397.34</v>
      </c>
      <c r="I59" s="40">
        <v>3.87</v>
      </c>
      <c r="J59" s="42" t="s">
        <v>351</v>
      </c>
      <c r="K59" s="55" t="s">
        <v>351</v>
      </c>
      <c r="L59" s="54">
        <v>65.209999999999994</v>
      </c>
      <c r="M59" s="56" t="s">
        <v>351</v>
      </c>
      <c r="N59" s="54">
        <v>2.52</v>
      </c>
      <c r="O59" s="58">
        <v>719.65</v>
      </c>
      <c r="P59" s="59">
        <v>15.35</v>
      </c>
      <c r="Q59" s="60">
        <v>621.47</v>
      </c>
      <c r="R59" s="61">
        <v>0.83</v>
      </c>
      <c r="S59" s="62">
        <v>578.53</v>
      </c>
      <c r="T59" s="60">
        <v>168</v>
      </c>
      <c r="U59" s="125">
        <v>3.3</v>
      </c>
      <c r="V59" s="124" t="s">
        <v>351</v>
      </c>
      <c r="W59" s="124" t="s">
        <v>351</v>
      </c>
      <c r="X59" s="126">
        <v>1</v>
      </c>
      <c r="Y59" s="31">
        <v>62.75</v>
      </c>
      <c r="Z59" s="116" t="s">
        <v>352</v>
      </c>
      <c r="AA59" s="127" t="s">
        <v>351</v>
      </c>
      <c r="AB59" s="124" t="s">
        <v>351</v>
      </c>
      <c r="AC59" s="124" t="s">
        <v>351</v>
      </c>
      <c r="AD59" s="139" t="s">
        <v>351</v>
      </c>
      <c r="AE59" s="127" t="s">
        <v>351</v>
      </c>
      <c r="AF59" s="116" t="s">
        <v>352</v>
      </c>
      <c r="AG59" s="116" t="s">
        <v>352</v>
      </c>
      <c r="AH59" s="116" t="s">
        <v>352</v>
      </c>
      <c r="AI59" s="116" t="s">
        <v>352</v>
      </c>
      <c r="AJ59" s="150">
        <v>19.399999999999999</v>
      </c>
      <c r="AK59" s="150">
        <v>197.84</v>
      </c>
      <c r="AL59" s="123" t="s">
        <v>351</v>
      </c>
      <c r="AM59" s="123" t="s">
        <v>351</v>
      </c>
      <c r="AN59" s="122">
        <v>0.79513166690934289</v>
      </c>
      <c r="AO59" s="116" t="s">
        <v>352</v>
      </c>
      <c r="AP59" s="123" t="s">
        <v>351</v>
      </c>
      <c r="AQ59" s="126">
        <v>519.32000000000005</v>
      </c>
      <c r="AR59" s="54">
        <v>225.97</v>
      </c>
      <c r="AS59" s="200" t="s">
        <v>351</v>
      </c>
      <c r="AT59" s="116" t="s">
        <v>352</v>
      </c>
      <c r="AU59" s="116" t="s">
        <v>352</v>
      </c>
      <c r="AV59" s="163">
        <v>413.30847554854438</v>
      </c>
      <c r="AW59" s="165">
        <v>11.180076033827294</v>
      </c>
      <c r="AX59" s="164">
        <v>21.19</v>
      </c>
      <c r="AY59" s="134">
        <v>30.22</v>
      </c>
      <c r="AZ59" s="116" t="s">
        <v>352</v>
      </c>
      <c r="BA59" s="57">
        <v>20.56</v>
      </c>
      <c r="BB59" s="60">
        <v>357</v>
      </c>
      <c r="BC59" s="168">
        <v>8.15</v>
      </c>
      <c r="BD59" s="168">
        <v>1.03</v>
      </c>
      <c r="BE59" s="116" t="s">
        <v>352</v>
      </c>
      <c r="BF59" s="116" t="s">
        <v>352</v>
      </c>
      <c r="BG59" s="169">
        <v>17.27</v>
      </c>
      <c r="BH59" s="170">
        <v>26.24</v>
      </c>
      <c r="BI59" s="116" t="s">
        <v>352</v>
      </c>
      <c r="BJ59" s="174" t="s">
        <v>351</v>
      </c>
      <c r="BK59" s="119" t="s">
        <v>351</v>
      </c>
      <c r="BL59" s="162">
        <v>51.982310497323297</v>
      </c>
      <c r="BM59" s="162">
        <v>110.17146403910311</v>
      </c>
      <c r="BN59" s="162">
        <v>43.835829001474131</v>
      </c>
      <c r="BO59" s="60">
        <v>1387</v>
      </c>
      <c r="BP59" s="59">
        <v>0.03</v>
      </c>
      <c r="BQ59" s="182" t="s">
        <v>358</v>
      </c>
      <c r="BR59" s="116" t="s">
        <v>352</v>
      </c>
      <c r="BS59" s="184">
        <v>51.27</v>
      </c>
      <c r="BT59" s="124" t="s">
        <v>353</v>
      </c>
      <c r="BU59" s="131">
        <v>78.28</v>
      </c>
      <c r="BV59" s="54">
        <v>0</v>
      </c>
      <c r="BW59" s="177" t="s">
        <v>354</v>
      </c>
      <c r="BX59" s="177" t="s">
        <v>354</v>
      </c>
      <c r="BY59" s="189" t="s">
        <v>355</v>
      </c>
      <c r="BZ59" s="190" t="s">
        <v>359</v>
      </c>
      <c r="CA59" s="190" t="s">
        <v>359</v>
      </c>
      <c r="CB59" s="124" t="s">
        <v>351</v>
      </c>
      <c r="CC59" s="39" t="s">
        <v>351</v>
      </c>
      <c r="CD59" s="199">
        <v>46.73</v>
      </c>
    </row>
    <row r="60" spans="1:82">
      <c r="A60" s="3" t="s">
        <v>418</v>
      </c>
      <c r="B60" s="3" t="s">
        <v>419</v>
      </c>
      <c r="C60" s="27" t="s">
        <v>420</v>
      </c>
      <c r="D60" s="3" t="s">
        <v>420</v>
      </c>
      <c r="E60" s="29">
        <v>8001</v>
      </c>
      <c r="F60" s="3" t="s">
        <v>424</v>
      </c>
      <c r="G60" s="4">
        <v>8106</v>
      </c>
      <c r="H60" s="39">
        <v>630.78</v>
      </c>
      <c r="I60" s="40">
        <v>1.7</v>
      </c>
      <c r="J60" s="41">
        <v>2447.3200000000002</v>
      </c>
      <c r="K60" s="54">
        <v>6.24</v>
      </c>
      <c r="L60" s="54">
        <v>58.47</v>
      </c>
      <c r="M60" s="57">
        <v>69.650000000000006</v>
      </c>
      <c r="N60" s="54">
        <v>5.34</v>
      </c>
      <c r="O60" s="58">
        <v>1193.67</v>
      </c>
      <c r="P60" s="59">
        <v>18.489999999999998</v>
      </c>
      <c r="Q60" s="60">
        <v>503.64</v>
      </c>
      <c r="R60" s="61">
        <v>1.05</v>
      </c>
      <c r="S60" s="62">
        <v>458.68</v>
      </c>
      <c r="T60" s="5" t="s">
        <v>351</v>
      </c>
      <c r="U60" s="124" t="s">
        <v>351</v>
      </c>
      <c r="V60" s="124" t="s">
        <v>351</v>
      </c>
      <c r="W60" s="124" t="s">
        <v>351</v>
      </c>
      <c r="X60" s="126">
        <v>0.13</v>
      </c>
      <c r="Y60" s="31">
        <v>23.66</v>
      </c>
      <c r="Z60" s="116" t="s">
        <v>352</v>
      </c>
      <c r="AA60" s="127" t="s">
        <v>351</v>
      </c>
      <c r="AB60" s="124" t="s">
        <v>351</v>
      </c>
      <c r="AC60" s="124" t="s">
        <v>351</v>
      </c>
      <c r="AD60" s="139" t="s">
        <v>351</v>
      </c>
      <c r="AE60" s="127" t="s">
        <v>351</v>
      </c>
      <c r="AF60" s="116" t="s">
        <v>352</v>
      </c>
      <c r="AG60" s="116" t="s">
        <v>352</v>
      </c>
      <c r="AH60" s="116" t="s">
        <v>352</v>
      </c>
      <c r="AI60" s="116" t="s">
        <v>352</v>
      </c>
      <c r="AJ60" s="150">
        <v>8.73</v>
      </c>
      <c r="AK60" s="150">
        <v>357.73</v>
      </c>
      <c r="AL60" s="123" t="s">
        <v>351</v>
      </c>
      <c r="AM60" s="123" t="s">
        <v>351</v>
      </c>
      <c r="AN60" s="122">
        <v>9.5092068718747062E-4</v>
      </c>
      <c r="AO60" s="116" t="s">
        <v>352</v>
      </c>
      <c r="AP60" s="123" t="s">
        <v>351</v>
      </c>
      <c r="AQ60" s="126">
        <v>523.02</v>
      </c>
      <c r="AR60" s="54">
        <v>256.82</v>
      </c>
      <c r="AS60" s="200" t="s">
        <v>351</v>
      </c>
      <c r="AT60" s="116" t="s">
        <v>352</v>
      </c>
      <c r="AU60" s="116" t="s">
        <v>352</v>
      </c>
      <c r="AV60" s="163">
        <v>498.69451697127937</v>
      </c>
      <c r="AW60" s="165">
        <v>16.664848947540627</v>
      </c>
      <c r="AX60" s="164">
        <v>22.38</v>
      </c>
      <c r="AY60" s="134">
        <v>19.45</v>
      </c>
      <c r="AZ60" s="116" t="s">
        <v>352</v>
      </c>
      <c r="BA60" s="57">
        <v>24.93</v>
      </c>
      <c r="BB60" s="60">
        <v>913</v>
      </c>
      <c r="BC60" s="168">
        <v>8.3699999999999992</v>
      </c>
      <c r="BD60" s="168">
        <v>1.08</v>
      </c>
      <c r="BE60" s="116" t="s">
        <v>352</v>
      </c>
      <c r="BF60" s="116" t="s">
        <v>352</v>
      </c>
      <c r="BG60" s="169">
        <v>20.05</v>
      </c>
      <c r="BH60" s="170">
        <v>23.15</v>
      </c>
      <c r="BI60" s="116" t="s">
        <v>352</v>
      </c>
      <c r="BJ60" s="174" t="s">
        <v>351</v>
      </c>
      <c r="BK60" s="119" t="s">
        <v>351</v>
      </c>
      <c r="BL60" s="162">
        <v>98.156832806194799</v>
      </c>
      <c r="BM60" s="162">
        <v>142.00021812629512</v>
      </c>
      <c r="BN60" s="162">
        <v>52.568437125095436</v>
      </c>
      <c r="BO60" s="60">
        <v>1785</v>
      </c>
      <c r="BP60" s="59">
        <v>0.02</v>
      </c>
      <c r="BQ60" s="126">
        <v>13.14</v>
      </c>
      <c r="BR60" s="116" t="s">
        <v>352</v>
      </c>
      <c r="BS60" s="184">
        <v>28.77</v>
      </c>
      <c r="BT60" s="124" t="s">
        <v>355</v>
      </c>
      <c r="BU60" s="131">
        <v>77.7</v>
      </c>
      <c r="BV60" s="54">
        <v>2.2599999999999998</v>
      </c>
      <c r="BW60" s="177" t="s">
        <v>354</v>
      </c>
      <c r="BX60" s="177" t="s">
        <v>354</v>
      </c>
      <c r="BY60" s="189" t="s">
        <v>355</v>
      </c>
      <c r="BZ60" s="191">
        <v>0</v>
      </c>
      <c r="CA60" s="191">
        <v>0</v>
      </c>
      <c r="CB60" s="124" t="s">
        <v>351</v>
      </c>
      <c r="CC60" s="39" t="s">
        <v>351</v>
      </c>
      <c r="CD60" s="199">
        <v>50.66</v>
      </c>
    </row>
    <row r="61" spans="1:82">
      <c r="A61" s="3" t="s">
        <v>418</v>
      </c>
      <c r="B61" s="3" t="s">
        <v>419</v>
      </c>
      <c r="C61" s="27" t="s">
        <v>420</v>
      </c>
      <c r="D61" s="3" t="s">
        <v>420</v>
      </c>
      <c r="E61" s="29">
        <v>8001</v>
      </c>
      <c r="F61" s="3" t="s">
        <v>425</v>
      </c>
      <c r="G61" s="4">
        <v>8107</v>
      </c>
      <c r="H61" s="39">
        <v>278.38</v>
      </c>
      <c r="I61" s="40">
        <v>3.38</v>
      </c>
      <c r="J61" s="41">
        <v>10164.1</v>
      </c>
      <c r="K61" s="55" t="s">
        <v>351</v>
      </c>
      <c r="L61" s="54">
        <v>77.099999999999994</v>
      </c>
      <c r="M61" s="56" t="s">
        <v>351</v>
      </c>
      <c r="N61" s="54">
        <v>2.61</v>
      </c>
      <c r="O61" s="58">
        <v>1079.19</v>
      </c>
      <c r="P61" s="59">
        <v>34.5</v>
      </c>
      <c r="Q61" s="60">
        <v>603.08000000000004</v>
      </c>
      <c r="R61" s="61">
        <v>0.8</v>
      </c>
      <c r="S61" s="62">
        <v>540.21</v>
      </c>
      <c r="T61" s="60">
        <v>275</v>
      </c>
      <c r="U61" s="125">
        <v>5.93</v>
      </c>
      <c r="V61" s="124" t="s">
        <v>351</v>
      </c>
      <c r="W61" s="124" t="s">
        <v>351</v>
      </c>
      <c r="X61" s="126" t="s">
        <v>357</v>
      </c>
      <c r="Y61" s="126" t="s">
        <v>351</v>
      </c>
      <c r="Z61" s="116" t="s">
        <v>352</v>
      </c>
      <c r="AA61" s="127" t="s">
        <v>351</v>
      </c>
      <c r="AB61" s="124" t="s">
        <v>351</v>
      </c>
      <c r="AC61" s="124" t="s">
        <v>351</v>
      </c>
      <c r="AD61" s="139" t="s">
        <v>351</v>
      </c>
      <c r="AE61" s="127" t="s">
        <v>351</v>
      </c>
      <c r="AF61" s="116" t="s">
        <v>352</v>
      </c>
      <c r="AG61" s="116" t="s">
        <v>352</v>
      </c>
      <c r="AH61" s="116" t="s">
        <v>352</v>
      </c>
      <c r="AI61" s="116" t="s">
        <v>352</v>
      </c>
      <c r="AJ61" s="150">
        <v>12.11</v>
      </c>
      <c r="AK61" s="150">
        <v>684.42</v>
      </c>
      <c r="AL61" s="123" t="s">
        <v>351</v>
      </c>
      <c r="AM61" s="123" t="s">
        <v>351</v>
      </c>
      <c r="AN61" s="122">
        <v>1.1531104223368622</v>
      </c>
      <c r="AO61" s="116" t="s">
        <v>352</v>
      </c>
      <c r="AP61" s="125">
        <v>0</v>
      </c>
      <c r="AQ61" s="126">
        <v>614.16999999999996</v>
      </c>
      <c r="AR61" s="54">
        <v>498.66</v>
      </c>
      <c r="AS61" s="200">
        <v>2.2300012961714223E-2</v>
      </c>
      <c r="AT61" s="116" t="s">
        <v>352</v>
      </c>
      <c r="AU61" s="116" t="s">
        <v>352</v>
      </c>
      <c r="AV61" s="163">
        <v>471.38681390061708</v>
      </c>
      <c r="AW61" s="165">
        <v>14.65143041731441</v>
      </c>
      <c r="AX61" s="164">
        <v>4.17</v>
      </c>
      <c r="AY61" s="134">
        <v>44.89</v>
      </c>
      <c r="AZ61" s="116" t="s">
        <v>352</v>
      </c>
      <c r="BA61" s="57">
        <v>17.46</v>
      </c>
      <c r="BB61" s="60">
        <v>914</v>
      </c>
      <c r="BC61" s="168">
        <v>8.17</v>
      </c>
      <c r="BD61" s="168">
        <v>1.08</v>
      </c>
      <c r="BE61" s="116" t="s">
        <v>352</v>
      </c>
      <c r="BF61" s="116" t="s">
        <v>352</v>
      </c>
      <c r="BG61" s="169">
        <v>17.309999999999999</v>
      </c>
      <c r="BH61" s="170">
        <v>18.97</v>
      </c>
      <c r="BI61" s="116" t="s">
        <v>352</v>
      </c>
      <c r="BJ61" s="173">
        <v>21.428571428571427</v>
      </c>
      <c r="BK61" s="119">
        <v>0.19166390049831866</v>
      </c>
      <c r="BL61" s="162">
        <v>82.170761745169685</v>
      </c>
      <c r="BM61" s="162">
        <v>123.76087702650865</v>
      </c>
      <c r="BN61" s="162">
        <v>71.26849851608084</v>
      </c>
      <c r="BO61" s="60">
        <v>1797</v>
      </c>
      <c r="BP61" s="59">
        <v>0.02</v>
      </c>
      <c r="BQ61" s="126">
        <v>16.670000000000002</v>
      </c>
      <c r="BR61" s="116" t="s">
        <v>352</v>
      </c>
      <c r="BS61" s="184">
        <v>20.94</v>
      </c>
      <c r="BT61" s="124" t="s">
        <v>353</v>
      </c>
      <c r="BU61" s="131">
        <v>57.44</v>
      </c>
      <c r="BV61" s="54">
        <v>0.84</v>
      </c>
      <c r="BW61" s="177" t="s">
        <v>354</v>
      </c>
      <c r="BX61" s="177" t="s">
        <v>354</v>
      </c>
      <c r="BY61" s="189" t="s">
        <v>353</v>
      </c>
      <c r="BZ61" s="190" t="s">
        <v>359</v>
      </c>
      <c r="CA61" s="190" t="s">
        <v>359</v>
      </c>
      <c r="CB61" s="124" t="s">
        <v>353</v>
      </c>
      <c r="CC61" s="41">
        <v>1161.9000000000001</v>
      </c>
      <c r="CD61" s="199">
        <v>49.63</v>
      </c>
    </row>
    <row r="62" spans="1:82">
      <c r="A62" s="3" t="s">
        <v>418</v>
      </c>
      <c r="B62" s="3" t="s">
        <v>419</v>
      </c>
      <c r="C62" s="27" t="s">
        <v>420</v>
      </c>
      <c r="D62" s="3" t="s">
        <v>420</v>
      </c>
      <c r="E62" s="29">
        <v>8001</v>
      </c>
      <c r="F62" s="3" t="s">
        <v>426</v>
      </c>
      <c r="G62" s="4">
        <v>8108</v>
      </c>
      <c r="H62" s="39">
        <v>250.96</v>
      </c>
      <c r="I62" s="40">
        <v>5.52</v>
      </c>
      <c r="J62" s="41">
        <v>3907.29</v>
      </c>
      <c r="K62" s="54">
        <v>7.34</v>
      </c>
      <c r="L62" s="54">
        <v>83.03</v>
      </c>
      <c r="M62" s="57">
        <v>39.71</v>
      </c>
      <c r="N62" s="54">
        <v>7.5</v>
      </c>
      <c r="O62" s="58">
        <v>1573.08</v>
      </c>
      <c r="P62" s="59">
        <v>10.09</v>
      </c>
      <c r="Q62" s="60">
        <v>977.39</v>
      </c>
      <c r="R62" s="61">
        <v>0.64</v>
      </c>
      <c r="S62" s="62">
        <v>1270.55</v>
      </c>
      <c r="T62" s="60">
        <v>450</v>
      </c>
      <c r="U62" s="125">
        <v>12.55</v>
      </c>
      <c r="V62" s="124" t="s">
        <v>351</v>
      </c>
      <c r="W62" s="124" t="s">
        <v>351</v>
      </c>
      <c r="X62" s="126">
        <v>4.78</v>
      </c>
      <c r="Y62" s="31">
        <v>72.599999999999994</v>
      </c>
      <c r="Z62" s="116" t="s">
        <v>352</v>
      </c>
      <c r="AA62" s="128" t="s">
        <v>351</v>
      </c>
      <c r="AB62" s="124" t="s">
        <v>351</v>
      </c>
      <c r="AC62" s="124" t="s">
        <v>351</v>
      </c>
      <c r="AD62" s="139" t="s">
        <v>351</v>
      </c>
      <c r="AE62" s="128" t="s">
        <v>351</v>
      </c>
      <c r="AF62" s="116" t="s">
        <v>352</v>
      </c>
      <c r="AG62" s="116" t="s">
        <v>352</v>
      </c>
      <c r="AH62" s="116" t="s">
        <v>352</v>
      </c>
      <c r="AI62" s="116" t="s">
        <v>352</v>
      </c>
      <c r="AJ62" s="150">
        <v>5.68</v>
      </c>
      <c r="AK62" s="150">
        <v>232.12</v>
      </c>
      <c r="AL62" s="123" t="s">
        <v>351</v>
      </c>
      <c r="AM62" s="123" t="s">
        <v>351</v>
      </c>
      <c r="AN62" s="122">
        <v>0.88981459683911568</v>
      </c>
      <c r="AO62" s="116" t="s">
        <v>352</v>
      </c>
      <c r="AP62" s="125">
        <v>0</v>
      </c>
      <c r="AQ62" s="126">
        <v>705.05</v>
      </c>
      <c r="AR62" s="54">
        <v>312.94</v>
      </c>
      <c r="AS62" s="200">
        <v>4.5861510621497464E-3</v>
      </c>
      <c r="AT62" s="116" t="s">
        <v>352</v>
      </c>
      <c r="AU62" s="116" t="s">
        <v>352</v>
      </c>
      <c r="AV62" s="163">
        <v>677.14840452473413</v>
      </c>
      <c r="AW62" s="165">
        <v>22.775896704217153</v>
      </c>
      <c r="AX62" s="164">
        <v>5.65</v>
      </c>
      <c r="AY62" s="134">
        <v>39.17</v>
      </c>
      <c r="AZ62" s="116" t="s">
        <v>352</v>
      </c>
      <c r="BA62" s="57">
        <v>11.17</v>
      </c>
      <c r="BB62" s="60">
        <v>1198</v>
      </c>
      <c r="BC62" s="168">
        <v>6.25</v>
      </c>
      <c r="BD62" s="168">
        <v>0.72</v>
      </c>
      <c r="BE62" s="116" t="s">
        <v>352</v>
      </c>
      <c r="BF62" s="116" t="s">
        <v>352</v>
      </c>
      <c r="BG62" s="169">
        <v>14.54</v>
      </c>
      <c r="BH62" s="170">
        <v>17.88</v>
      </c>
      <c r="BI62" s="116" t="s">
        <v>352</v>
      </c>
      <c r="BJ62" s="173">
        <v>46.153846153846153</v>
      </c>
      <c r="BK62" s="119">
        <v>0.48775696303859073</v>
      </c>
      <c r="BL62" s="162">
        <v>68.570455077833856</v>
      </c>
      <c r="BM62" s="162">
        <v>87.168238960227725</v>
      </c>
      <c r="BN62" s="162">
        <v>43.371167756269656</v>
      </c>
      <c r="BO62" s="60">
        <v>2674</v>
      </c>
      <c r="BP62" s="59">
        <v>0.01</v>
      </c>
      <c r="BQ62" s="180" t="s">
        <v>351</v>
      </c>
      <c r="BR62" s="116" t="s">
        <v>352</v>
      </c>
      <c r="BS62" s="184">
        <v>15.27</v>
      </c>
      <c r="BT62" s="124" t="s">
        <v>353</v>
      </c>
      <c r="BU62" s="131">
        <v>23.95</v>
      </c>
      <c r="BV62" s="54">
        <v>0</v>
      </c>
      <c r="BW62" s="189" t="s">
        <v>353</v>
      </c>
      <c r="BX62" s="189" t="s">
        <v>355</v>
      </c>
      <c r="BY62" s="189" t="s">
        <v>353</v>
      </c>
      <c r="BZ62" s="190" t="s">
        <v>359</v>
      </c>
      <c r="CA62" s="190" t="s">
        <v>359</v>
      </c>
      <c r="CB62" s="124" t="s">
        <v>353</v>
      </c>
      <c r="CC62" s="41">
        <v>32.799999999999997</v>
      </c>
      <c r="CD62" s="199">
        <v>33.65</v>
      </c>
    </row>
    <row r="63" spans="1:82">
      <c r="A63" s="3" t="s">
        <v>418</v>
      </c>
      <c r="B63" s="3" t="s">
        <v>419</v>
      </c>
      <c r="C63" s="27" t="s">
        <v>420</v>
      </c>
      <c r="D63" s="3" t="s">
        <v>420</v>
      </c>
      <c r="E63" s="29">
        <v>8001</v>
      </c>
      <c r="F63" s="3" t="s">
        <v>427</v>
      </c>
      <c r="G63" s="4">
        <v>8109</v>
      </c>
      <c r="H63" s="39">
        <v>269.13</v>
      </c>
      <c r="I63" s="40">
        <v>5.89</v>
      </c>
      <c r="J63" s="41">
        <v>1311.6</v>
      </c>
      <c r="K63" s="54">
        <v>2.29</v>
      </c>
      <c r="L63" s="54">
        <v>80.260000000000005</v>
      </c>
      <c r="M63" s="57">
        <v>100</v>
      </c>
      <c r="N63" s="54">
        <v>7.02</v>
      </c>
      <c r="O63" s="58" t="s">
        <v>351</v>
      </c>
      <c r="P63" s="59" t="s">
        <v>351</v>
      </c>
      <c r="Q63" s="60">
        <v>557.96</v>
      </c>
      <c r="R63" s="61">
        <v>1.03</v>
      </c>
      <c r="S63" s="62">
        <v>441.99</v>
      </c>
      <c r="T63" s="5" t="s">
        <v>351</v>
      </c>
      <c r="U63" s="124" t="s">
        <v>351</v>
      </c>
      <c r="V63" s="124" t="s">
        <v>351</v>
      </c>
      <c r="W63" s="124" t="s">
        <v>351</v>
      </c>
      <c r="X63" s="126" t="s">
        <v>357</v>
      </c>
      <c r="Y63" s="126" t="s">
        <v>351</v>
      </c>
      <c r="Z63" s="116" t="s">
        <v>352</v>
      </c>
      <c r="AA63" s="129" t="s">
        <v>351</v>
      </c>
      <c r="AB63" s="124" t="s">
        <v>351</v>
      </c>
      <c r="AC63" s="124" t="s">
        <v>351</v>
      </c>
      <c r="AD63" s="139" t="s">
        <v>351</v>
      </c>
      <c r="AE63" s="129" t="s">
        <v>351</v>
      </c>
      <c r="AF63" s="116" t="s">
        <v>352</v>
      </c>
      <c r="AG63" s="116" t="s">
        <v>352</v>
      </c>
      <c r="AH63" s="116" t="s">
        <v>352</v>
      </c>
      <c r="AI63" s="116" t="s">
        <v>352</v>
      </c>
      <c r="AJ63" s="150">
        <v>20.46</v>
      </c>
      <c r="AK63" s="150">
        <v>381.94</v>
      </c>
      <c r="AL63" s="123" t="s">
        <v>351</v>
      </c>
      <c r="AM63" s="123" t="s">
        <v>351</v>
      </c>
      <c r="AN63" s="122">
        <v>0.68371692362887571</v>
      </c>
      <c r="AO63" s="116" t="s">
        <v>352</v>
      </c>
      <c r="AP63" s="125">
        <v>0</v>
      </c>
      <c r="AQ63" s="126">
        <v>484.12</v>
      </c>
      <c r="AR63" s="54">
        <v>324.25</v>
      </c>
      <c r="AS63" s="200">
        <v>4.2651008247859848E-2</v>
      </c>
      <c r="AT63" s="116" t="s">
        <v>352</v>
      </c>
      <c r="AU63" s="116" t="s">
        <v>352</v>
      </c>
      <c r="AV63" s="163">
        <v>72.3702664796634</v>
      </c>
      <c r="AW63" s="165">
        <v>1.7596507979811757</v>
      </c>
      <c r="AX63" s="164">
        <v>75.489999999999995</v>
      </c>
      <c r="AY63" s="134">
        <v>54.92</v>
      </c>
      <c r="AZ63" s="116" t="s">
        <v>352</v>
      </c>
      <c r="BA63" s="57">
        <v>17.62</v>
      </c>
      <c r="BB63" s="60">
        <v>85</v>
      </c>
      <c r="BC63" s="168">
        <v>6.5</v>
      </c>
      <c r="BD63" s="168">
        <v>0.51</v>
      </c>
      <c r="BE63" s="116" t="s">
        <v>352</v>
      </c>
      <c r="BF63" s="116" t="s">
        <v>352</v>
      </c>
      <c r="BG63" s="169">
        <v>24.06</v>
      </c>
      <c r="BH63" s="170">
        <v>30.78</v>
      </c>
      <c r="BI63" s="116" t="s">
        <v>352</v>
      </c>
      <c r="BJ63" s="174" t="s">
        <v>351</v>
      </c>
      <c r="BK63" s="119" t="s">
        <v>351</v>
      </c>
      <c r="BL63" s="162">
        <v>45.696357932069297</v>
      </c>
      <c r="BM63" s="162">
        <v>146.63756649843131</v>
      </c>
      <c r="BN63" s="162">
        <v>66.839448915564034</v>
      </c>
      <c r="BO63" s="60">
        <v>1465</v>
      </c>
      <c r="BP63" s="59">
        <v>0.02</v>
      </c>
      <c r="BQ63" s="180" t="s">
        <v>358</v>
      </c>
      <c r="BR63" s="116" t="s">
        <v>352</v>
      </c>
      <c r="BS63" s="184">
        <v>40.58</v>
      </c>
      <c r="BT63" s="124" t="s">
        <v>353</v>
      </c>
      <c r="BU63" s="131">
        <v>77.540000000000006</v>
      </c>
      <c r="BV63" s="54">
        <v>31.62</v>
      </c>
      <c r="BW63" s="189" t="s">
        <v>355</v>
      </c>
      <c r="BX63" s="189" t="s">
        <v>355</v>
      </c>
      <c r="BY63" s="189" t="s">
        <v>353</v>
      </c>
      <c r="BZ63" s="190" t="s">
        <v>359</v>
      </c>
      <c r="CA63" s="190" t="s">
        <v>359</v>
      </c>
      <c r="CB63" s="124" t="s">
        <v>355</v>
      </c>
      <c r="CC63" s="41">
        <v>4202.8999999999996</v>
      </c>
      <c r="CD63" s="199">
        <v>54.12</v>
      </c>
    </row>
    <row r="64" spans="1:82">
      <c r="A64" s="3" t="s">
        <v>418</v>
      </c>
      <c r="B64" s="3" t="s">
        <v>419</v>
      </c>
      <c r="C64" s="27" t="s">
        <v>420</v>
      </c>
      <c r="D64" s="3" t="s">
        <v>420</v>
      </c>
      <c r="E64" s="29">
        <v>8001</v>
      </c>
      <c r="F64" s="3" t="s">
        <v>428</v>
      </c>
      <c r="G64" s="4">
        <v>8110</v>
      </c>
      <c r="H64" s="39">
        <v>361.94</v>
      </c>
      <c r="I64" s="40">
        <v>4.37</v>
      </c>
      <c r="J64" s="41">
        <v>2013.76</v>
      </c>
      <c r="K64" s="54">
        <v>1.76</v>
      </c>
      <c r="L64" s="54">
        <v>67.17</v>
      </c>
      <c r="M64" s="57">
        <v>75.28</v>
      </c>
      <c r="N64" s="54">
        <v>4.26</v>
      </c>
      <c r="O64" s="58">
        <v>1132.08</v>
      </c>
      <c r="P64" s="59">
        <v>12.17</v>
      </c>
      <c r="Q64" s="60">
        <v>598.70000000000005</v>
      </c>
      <c r="R64" s="61">
        <v>0.8</v>
      </c>
      <c r="S64" s="62">
        <v>830.8</v>
      </c>
      <c r="T64" s="60">
        <v>243</v>
      </c>
      <c r="U64" s="125">
        <v>17.04</v>
      </c>
      <c r="V64" s="124" t="s">
        <v>351</v>
      </c>
      <c r="W64" s="124" t="s">
        <v>351</v>
      </c>
      <c r="X64" s="126">
        <v>2.5499999999999998</v>
      </c>
      <c r="Y64" s="31">
        <v>49.76</v>
      </c>
      <c r="Z64" s="116" t="s">
        <v>352</v>
      </c>
      <c r="AA64" s="130" t="s">
        <v>351</v>
      </c>
      <c r="AB64" s="124" t="s">
        <v>351</v>
      </c>
      <c r="AC64" s="124" t="s">
        <v>351</v>
      </c>
      <c r="AD64" s="139" t="s">
        <v>351</v>
      </c>
      <c r="AE64" s="130" t="s">
        <v>351</v>
      </c>
      <c r="AF64" s="116" t="s">
        <v>352</v>
      </c>
      <c r="AG64" s="116" t="s">
        <v>352</v>
      </c>
      <c r="AH64" s="116" t="s">
        <v>352</v>
      </c>
      <c r="AI64" s="116" t="s">
        <v>352</v>
      </c>
      <c r="AJ64" s="150">
        <v>5.69</v>
      </c>
      <c r="AK64" s="150">
        <v>232.78</v>
      </c>
      <c r="AL64" s="123" t="s">
        <v>351</v>
      </c>
      <c r="AM64" s="123" t="s">
        <v>351</v>
      </c>
      <c r="AN64" s="122">
        <v>1.0778474588857827</v>
      </c>
      <c r="AO64" s="116" t="s">
        <v>352</v>
      </c>
      <c r="AP64" s="123" t="s">
        <v>351</v>
      </c>
      <c r="AQ64" s="126">
        <v>645.86</v>
      </c>
      <c r="AR64" s="54">
        <v>607.1</v>
      </c>
      <c r="AS64" s="200" t="s">
        <v>351</v>
      </c>
      <c r="AT64" s="116" t="s">
        <v>352</v>
      </c>
      <c r="AU64" s="116" t="s">
        <v>352</v>
      </c>
      <c r="AV64" s="163">
        <v>814.16316700833943</v>
      </c>
      <c r="AW64" s="165">
        <v>25.875625446747673</v>
      </c>
      <c r="AX64" s="164">
        <v>3.77</v>
      </c>
      <c r="AY64" s="134">
        <v>42.4</v>
      </c>
      <c r="AZ64" s="116" t="s">
        <v>352</v>
      </c>
      <c r="BA64" s="57">
        <v>12.69</v>
      </c>
      <c r="BB64" s="60">
        <v>2547</v>
      </c>
      <c r="BC64" s="168">
        <v>5.88</v>
      </c>
      <c r="BD64" s="168">
        <v>1.59</v>
      </c>
      <c r="BE64" s="116" t="s">
        <v>352</v>
      </c>
      <c r="BF64" s="116" t="s">
        <v>352</v>
      </c>
      <c r="BG64" s="169">
        <v>12.9</v>
      </c>
      <c r="BH64" s="170">
        <v>11.44</v>
      </c>
      <c r="BI64" s="116" t="s">
        <v>352</v>
      </c>
      <c r="BJ64" s="173">
        <v>47.727272727272727</v>
      </c>
      <c r="BK64" s="119">
        <v>0.40598167356042242</v>
      </c>
      <c r="BL64" s="162">
        <v>88.305806296532921</v>
      </c>
      <c r="BM64" s="162">
        <v>157.57146381422885</v>
      </c>
      <c r="BN64" s="162">
        <v>50.352021355329661</v>
      </c>
      <c r="BO64" s="60">
        <v>2208</v>
      </c>
      <c r="BP64" s="59">
        <v>0</v>
      </c>
      <c r="BQ64" s="126">
        <v>43.22</v>
      </c>
      <c r="BR64" s="116" t="s">
        <v>352</v>
      </c>
      <c r="BS64" s="184">
        <v>2.39</v>
      </c>
      <c r="BT64" s="124" t="s">
        <v>353</v>
      </c>
      <c r="BU64" s="131">
        <v>28.07</v>
      </c>
      <c r="BV64" s="54">
        <v>0</v>
      </c>
      <c r="BW64" s="189" t="s">
        <v>353</v>
      </c>
      <c r="BX64" s="189" t="s">
        <v>355</v>
      </c>
      <c r="BY64" s="189" t="s">
        <v>353</v>
      </c>
      <c r="BZ64" s="190" t="s">
        <v>359</v>
      </c>
      <c r="CA64" s="190" t="s">
        <v>359</v>
      </c>
      <c r="CB64" s="124" t="s">
        <v>351</v>
      </c>
      <c r="CC64" s="39" t="s">
        <v>351</v>
      </c>
      <c r="CD64" s="199">
        <v>26.7</v>
      </c>
    </row>
    <row r="65" spans="1:82">
      <c r="A65" s="3" t="s">
        <v>418</v>
      </c>
      <c r="B65" s="3" t="s">
        <v>419</v>
      </c>
      <c r="C65" s="27" t="s">
        <v>420</v>
      </c>
      <c r="D65" s="3" t="s">
        <v>420</v>
      </c>
      <c r="E65" s="29">
        <v>8001</v>
      </c>
      <c r="F65" s="3" t="s">
        <v>429</v>
      </c>
      <c r="G65" s="4">
        <v>8111</v>
      </c>
      <c r="H65" s="39">
        <v>842.69</v>
      </c>
      <c r="I65" s="40">
        <v>5.23</v>
      </c>
      <c r="J65" s="41">
        <v>92.28</v>
      </c>
      <c r="K65" s="54">
        <v>9.14</v>
      </c>
      <c r="L65" s="54">
        <v>24.74</v>
      </c>
      <c r="M65" s="57">
        <v>8.2200000000000006</v>
      </c>
      <c r="N65" s="54">
        <v>2.0499999999999998</v>
      </c>
      <c r="O65" s="58">
        <v>984.54</v>
      </c>
      <c r="P65" s="59">
        <v>14.63</v>
      </c>
      <c r="Q65" s="60">
        <v>729.13</v>
      </c>
      <c r="R65" s="61">
        <v>0.94</v>
      </c>
      <c r="S65" s="62">
        <v>693.09</v>
      </c>
      <c r="T65" s="5" t="s">
        <v>351</v>
      </c>
      <c r="U65" s="124" t="s">
        <v>351</v>
      </c>
      <c r="V65" s="124" t="s">
        <v>351</v>
      </c>
      <c r="W65" s="124" t="s">
        <v>351</v>
      </c>
      <c r="X65" s="126">
        <v>1.89</v>
      </c>
      <c r="Y65" s="31">
        <v>29.81</v>
      </c>
      <c r="Z65" s="116" t="s">
        <v>352</v>
      </c>
      <c r="AA65" s="127" t="s">
        <v>351</v>
      </c>
      <c r="AB65" s="124" t="s">
        <v>351</v>
      </c>
      <c r="AC65" s="124" t="s">
        <v>351</v>
      </c>
      <c r="AD65" s="139" t="s">
        <v>351</v>
      </c>
      <c r="AE65" s="127" t="s">
        <v>351</v>
      </c>
      <c r="AF65" s="116" t="s">
        <v>352</v>
      </c>
      <c r="AG65" s="116" t="s">
        <v>352</v>
      </c>
      <c r="AH65" s="116" t="s">
        <v>352</v>
      </c>
      <c r="AI65" s="116" t="s">
        <v>352</v>
      </c>
      <c r="AJ65" s="150">
        <v>1.72</v>
      </c>
      <c r="AK65" s="150">
        <v>265.89</v>
      </c>
      <c r="AL65" s="123" t="s">
        <v>351</v>
      </c>
      <c r="AM65" s="123" t="s">
        <v>351</v>
      </c>
      <c r="AN65" s="122">
        <v>0.88065643636343127</v>
      </c>
      <c r="AO65" s="116" t="s">
        <v>352</v>
      </c>
      <c r="AP65" s="125">
        <v>4.8</v>
      </c>
      <c r="AQ65" s="126">
        <v>658.53</v>
      </c>
      <c r="AR65" s="54">
        <v>330.47</v>
      </c>
      <c r="AS65" s="200" t="s">
        <v>351</v>
      </c>
      <c r="AT65" s="116" t="s">
        <v>352</v>
      </c>
      <c r="AU65" s="116" t="s">
        <v>352</v>
      </c>
      <c r="AV65" s="163">
        <v>452.97066560778279</v>
      </c>
      <c r="AW65" s="165">
        <v>15.655127457371258</v>
      </c>
      <c r="AX65" s="164">
        <v>7.39</v>
      </c>
      <c r="AY65" s="134">
        <v>20.55</v>
      </c>
      <c r="AZ65" s="116" t="s">
        <v>352</v>
      </c>
      <c r="BA65" s="57">
        <v>18.43</v>
      </c>
      <c r="BB65" s="60">
        <v>908</v>
      </c>
      <c r="BC65" s="168">
        <v>6.08</v>
      </c>
      <c r="BD65" s="168">
        <v>0.98</v>
      </c>
      <c r="BE65" s="116" t="s">
        <v>352</v>
      </c>
      <c r="BF65" s="116" t="s">
        <v>352</v>
      </c>
      <c r="BG65" s="169">
        <v>11.87</v>
      </c>
      <c r="BH65" s="170">
        <v>19.920000000000002</v>
      </c>
      <c r="BI65" s="116" t="s">
        <v>352</v>
      </c>
      <c r="BJ65" s="174" t="s">
        <v>351</v>
      </c>
      <c r="BK65" s="119" t="s">
        <v>351</v>
      </c>
      <c r="BL65" s="162">
        <v>52.492537825505195</v>
      </c>
      <c r="BM65" s="162">
        <v>97.094040553058633</v>
      </c>
      <c r="BN65" s="162">
        <v>79.76807218581672</v>
      </c>
      <c r="BO65" s="60">
        <v>1781</v>
      </c>
      <c r="BP65" s="59">
        <v>0</v>
      </c>
      <c r="BQ65" s="126">
        <v>9.33</v>
      </c>
      <c r="BR65" s="116" t="s">
        <v>352</v>
      </c>
      <c r="BS65" s="184">
        <v>27.98</v>
      </c>
      <c r="BT65" s="124" t="s">
        <v>353</v>
      </c>
      <c r="BU65" s="131">
        <v>73.97</v>
      </c>
      <c r="BV65" s="54">
        <v>0.24</v>
      </c>
      <c r="BW65" s="189" t="s">
        <v>355</v>
      </c>
      <c r="BX65" s="189" t="s">
        <v>355</v>
      </c>
      <c r="BY65" s="189" t="s">
        <v>353</v>
      </c>
      <c r="BZ65" s="190" t="s">
        <v>359</v>
      </c>
      <c r="CA65" s="190" t="s">
        <v>359</v>
      </c>
      <c r="CB65" s="124" t="s">
        <v>355</v>
      </c>
      <c r="CC65" s="41">
        <v>478.1</v>
      </c>
      <c r="CD65" s="199">
        <v>45.52</v>
      </c>
    </row>
    <row r="66" spans="1:82">
      <c r="A66" s="3" t="s">
        <v>418</v>
      </c>
      <c r="B66" s="3" t="s">
        <v>419</v>
      </c>
      <c r="C66" s="27" t="s">
        <v>420</v>
      </c>
      <c r="D66" s="3" t="s">
        <v>420</v>
      </c>
      <c r="E66" s="29">
        <v>8001</v>
      </c>
      <c r="F66" s="3" t="s">
        <v>430</v>
      </c>
      <c r="G66" s="4">
        <v>8112</v>
      </c>
      <c r="H66" s="39">
        <v>174.37</v>
      </c>
      <c r="I66" s="40">
        <v>3.47</v>
      </c>
      <c r="J66" s="41">
        <v>1100.54</v>
      </c>
      <c r="K66" s="54">
        <v>0.91</v>
      </c>
      <c r="L66" s="54">
        <v>95.08</v>
      </c>
      <c r="M66" s="57">
        <v>99.28</v>
      </c>
      <c r="N66" s="54">
        <v>4.2</v>
      </c>
      <c r="O66" s="58">
        <v>632.14</v>
      </c>
      <c r="P66" s="59">
        <v>12.35</v>
      </c>
      <c r="Q66" s="60">
        <v>568.88</v>
      </c>
      <c r="R66" s="61">
        <v>0.7</v>
      </c>
      <c r="S66" s="62">
        <v>499.99</v>
      </c>
      <c r="T66" s="60">
        <v>168</v>
      </c>
      <c r="U66" s="125">
        <v>20.36</v>
      </c>
      <c r="V66" s="124" t="s">
        <v>351</v>
      </c>
      <c r="W66" s="124" t="s">
        <v>351</v>
      </c>
      <c r="X66" s="126">
        <v>3.41</v>
      </c>
      <c r="Y66" s="31">
        <v>91.7</v>
      </c>
      <c r="Z66" s="116" t="s">
        <v>352</v>
      </c>
      <c r="AA66" s="127" t="s">
        <v>351</v>
      </c>
      <c r="AB66" s="124" t="s">
        <v>351</v>
      </c>
      <c r="AC66" s="124" t="s">
        <v>351</v>
      </c>
      <c r="AD66" s="139" t="s">
        <v>351</v>
      </c>
      <c r="AE66" s="127" t="s">
        <v>351</v>
      </c>
      <c r="AF66" s="116" t="s">
        <v>352</v>
      </c>
      <c r="AG66" s="116" t="s">
        <v>352</v>
      </c>
      <c r="AH66" s="116" t="s">
        <v>352</v>
      </c>
      <c r="AI66" s="116" t="s">
        <v>352</v>
      </c>
      <c r="AJ66" s="150">
        <v>10.36</v>
      </c>
      <c r="AK66" s="150">
        <v>318.14</v>
      </c>
      <c r="AL66" s="123" t="s">
        <v>351</v>
      </c>
      <c r="AM66" s="123" t="s">
        <v>351</v>
      </c>
      <c r="AN66" s="122">
        <v>1.0029204646453147</v>
      </c>
      <c r="AO66" s="116" t="s">
        <v>352</v>
      </c>
      <c r="AP66" s="123" t="s">
        <v>351</v>
      </c>
      <c r="AQ66" s="126">
        <v>623.91999999999996</v>
      </c>
      <c r="AR66" s="54">
        <v>399.64</v>
      </c>
      <c r="AS66" s="200" t="s">
        <v>351</v>
      </c>
      <c r="AT66" s="116" t="s">
        <v>352</v>
      </c>
      <c r="AU66" s="116" t="s">
        <v>352</v>
      </c>
      <c r="AV66" s="163">
        <v>432.48493628790624</v>
      </c>
      <c r="AW66" s="165">
        <v>13.611540015958715</v>
      </c>
      <c r="AX66" s="164">
        <v>2.95</v>
      </c>
      <c r="AY66" s="134">
        <v>28.36</v>
      </c>
      <c r="AZ66" s="116" t="s">
        <v>352</v>
      </c>
      <c r="BA66" s="57">
        <v>11.31</v>
      </c>
      <c r="BB66" s="60">
        <v>1205</v>
      </c>
      <c r="BC66" s="168">
        <v>5.76</v>
      </c>
      <c r="BD66" s="168">
        <v>1.67</v>
      </c>
      <c r="BE66" s="116" t="s">
        <v>352</v>
      </c>
      <c r="BF66" s="116" t="s">
        <v>352</v>
      </c>
      <c r="BG66" s="169">
        <v>10.19</v>
      </c>
      <c r="BH66" s="170">
        <v>17.14</v>
      </c>
      <c r="BI66" s="116" t="s">
        <v>352</v>
      </c>
      <c r="BJ66" s="173">
        <v>35</v>
      </c>
      <c r="BK66" s="119">
        <v>0.29532368584637309</v>
      </c>
      <c r="BL66" s="162">
        <v>69.119887252717646</v>
      </c>
      <c r="BM66" s="162">
        <v>143.11029129835543</v>
      </c>
      <c r="BN66" s="162">
        <v>56.995409278852627</v>
      </c>
      <c r="BO66" s="60">
        <v>1780</v>
      </c>
      <c r="BP66" s="59">
        <v>0.01</v>
      </c>
      <c r="BQ66" s="126">
        <v>14.24</v>
      </c>
      <c r="BR66" s="116" t="s">
        <v>352</v>
      </c>
      <c r="BS66" s="184">
        <v>23.33</v>
      </c>
      <c r="BT66" s="124" t="s">
        <v>355</v>
      </c>
      <c r="BU66" s="131">
        <v>40.78</v>
      </c>
      <c r="BV66" s="54">
        <v>0</v>
      </c>
      <c r="BW66" s="189" t="s">
        <v>353</v>
      </c>
      <c r="BX66" s="189" t="s">
        <v>355</v>
      </c>
      <c r="BY66" s="189" t="s">
        <v>355</v>
      </c>
      <c r="BZ66" s="190" t="s">
        <v>359</v>
      </c>
      <c r="CA66" s="190" t="s">
        <v>359</v>
      </c>
      <c r="CB66" s="124" t="s">
        <v>351</v>
      </c>
      <c r="CC66" s="39" t="s">
        <v>351</v>
      </c>
      <c r="CD66" s="199">
        <v>36.39</v>
      </c>
    </row>
    <row r="67" spans="1:82">
      <c r="A67" s="3" t="s">
        <v>418</v>
      </c>
      <c r="B67" s="3" t="s">
        <v>418</v>
      </c>
      <c r="C67" s="27" t="s">
        <v>349</v>
      </c>
      <c r="D67" s="3" t="s">
        <v>431</v>
      </c>
      <c r="E67" s="29">
        <v>8301</v>
      </c>
      <c r="F67" s="3" t="s">
        <v>432</v>
      </c>
      <c r="G67" s="4">
        <v>8301</v>
      </c>
      <c r="H67" s="39">
        <v>268.58</v>
      </c>
      <c r="I67" s="40">
        <v>4.5199999999999996</v>
      </c>
      <c r="J67" s="41">
        <v>1167.5899999999999</v>
      </c>
      <c r="K67" s="54">
        <v>2.06</v>
      </c>
      <c r="L67" s="54">
        <v>78.41</v>
      </c>
      <c r="M67" s="57">
        <v>87.11</v>
      </c>
      <c r="N67" s="54">
        <v>5.34</v>
      </c>
      <c r="O67" s="58">
        <v>769.61</v>
      </c>
      <c r="P67" s="59">
        <v>13.37</v>
      </c>
      <c r="Q67" s="60">
        <v>658.05</v>
      </c>
      <c r="R67" s="61">
        <v>0.93</v>
      </c>
      <c r="S67" s="62">
        <v>653.02</v>
      </c>
      <c r="T67" s="60">
        <v>249</v>
      </c>
      <c r="U67" s="124" t="s">
        <v>351</v>
      </c>
      <c r="V67" s="124" t="s">
        <v>351</v>
      </c>
      <c r="W67" s="124" t="s">
        <v>351</v>
      </c>
      <c r="X67" s="126">
        <v>4.53</v>
      </c>
      <c r="Y67" s="31">
        <v>76.3</v>
      </c>
      <c r="Z67" s="116" t="s">
        <v>352</v>
      </c>
      <c r="AA67" s="127" t="s">
        <v>351</v>
      </c>
      <c r="AB67" s="124" t="s">
        <v>351</v>
      </c>
      <c r="AC67" s="124" t="s">
        <v>351</v>
      </c>
      <c r="AD67" s="139" t="s">
        <v>351</v>
      </c>
      <c r="AE67" s="127" t="s">
        <v>351</v>
      </c>
      <c r="AF67" s="116" t="s">
        <v>352</v>
      </c>
      <c r="AG67" s="116" t="s">
        <v>352</v>
      </c>
      <c r="AH67" s="116" t="s">
        <v>352</v>
      </c>
      <c r="AI67" s="116" t="s">
        <v>352</v>
      </c>
      <c r="AJ67" s="150">
        <v>9.7799999999999994</v>
      </c>
      <c r="AK67" s="150">
        <v>489.76</v>
      </c>
      <c r="AL67" s="123" t="s">
        <v>351</v>
      </c>
      <c r="AM67" s="123" t="s">
        <v>351</v>
      </c>
      <c r="AN67" s="122">
        <v>1.127418324885699</v>
      </c>
      <c r="AO67" s="116" t="s">
        <v>352</v>
      </c>
      <c r="AP67" s="123" t="s">
        <v>351</v>
      </c>
      <c r="AQ67" s="126">
        <v>704.3</v>
      </c>
      <c r="AR67" s="54">
        <v>852.07</v>
      </c>
      <c r="AS67" s="200">
        <v>9.2832304172191134E-3</v>
      </c>
      <c r="AT67" s="116" t="s">
        <v>352</v>
      </c>
      <c r="AU67" s="116" t="s">
        <v>352</v>
      </c>
      <c r="AV67" s="163">
        <v>495.44400416339499</v>
      </c>
      <c r="AW67" s="165">
        <v>12.631343721339485</v>
      </c>
      <c r="AX67" s="164">
        <v>5.47</v>
      </c>
      <c r="AY67" s="134">
        <v>57.1</v>
      </c>
      <c r="AZ67" s="116" t="s">
        <v>352</v>
      </c>
      <c r="BA67" s="57">
        <v>13.73</v>
      </c>
      <c r="BB67" s="60">
        <v>1796</v>
      </c>
      <c r="BC67" s="168">
        <v>6.76</v>
      </c>
      <c r="BD67" s="168">
        <v>0.91</v>
      </c>
      <c r="BE67" s="116" t="s">
        <v>352</v>
      </c>
      <c r="BF67" s="116" t="s">
        <v>352</v>
      </c>
      <c r="BG67" s="169">
        <v>19.579999999999998</v>
      </c>
      <c r="BH67" s="170">
        <v>19.37</v>
      </c>
      <c r="BI67" s="116" t="s">
        <v>352</v>
      </c>
      <c r="BJ67" s="174" t="s">
        <v>351</v>
      </c>
      <c r="BK67" s="119" t="s">
        <v>351</v>
      </c>
      <c r="BL67" s="162">
        <v>69.925837643564449</v>
      </c>
      <c r="BM67" s="162">
        <v>154.93554439266478</v>
      </c>
      <c r="BN67" s="162">
        <v>52.467655808453486</v>
      </c>
      <c r="BO67" s="60">
        <v>1149</v>
      </c>
      <c r="BP67" s="59">
        <v>0</v>
      </c>
      <c r="BQ67" s="180" t="s">
        <v>358</v>
      </c>
      <c r="BR67" s="116" t="s">
        <v>352</v>
      </c>
      <c r="BS67" s="184">
        <v>34.409999999999997</v>
      </c>
      <c r="BT67" s="124" t="s">
        <v>355</v>
      </c>
      <c r="BU67" s="131">
        <v>44.93</v>
      </c>
      <c r="BV67" s="54">
        <v>0.09</v>
      </c>
      <c r="BW67" s="189" t="s">
        <v>353</v>
      </c>
      <c r="BX67" s="189" t="s">
        <v>355</v>
      </c>
      <c r="BY67" s="189" t="s">
        <v>353</v>
      </c>
      <c r="BZ67" s="190" t="s">
        <v>359</v>
      </c>
      <c r="CA67" s="190" t="s">
        <v>359</v>
      </c>
      <c r="CB67" s="124" t="s">
        <v>351</v>
      </c>
      <c r="CC67" s="39" t="s">
        <v>351</v>
      </c>
      <c r="CD67" s="199">
        <v>30.45</v>
      </c>
    </row>
    <row r="68" spans="1:82">
      <c r="A68" s="3" t="s">
        <v>418</v>
      </c>
      <c r="B68" s="3" t="s">
        <v>418</v>
      </c>
      <c r="C68" s="27" t="s">
        <v>349</v>
      </c>
      <c r="D68" s="3" t="s">
        <v>431</v>
      </c>
      <c r="E68" s="29">
        <v>8301</v>
      </c>
      <c r="F68" s="6" t="s">
        <v>433</v>
      </c>
      <c r="G68" s="4">
        <v>8306</v>
      </c>
      <c r="H68" s="39">
        <v>241.55</v>
      </c>
      <c r="I68" s="40">
        <v>5.66</v>
      </c>
      <c r="J68" s="41">
        <v>1727.49</v>
      </c>
      <c r="K68" s="54">
        <v>0.96</v>
      </c>
      <c r="L68" s="54">
        <v>75</v>
      </c>
      <c r="M68" s="57">
        <v>95.53</v>
      </c>
      <c r="N68" s="54">
        <v>5.16</v>
      </c>
      <c r="O68" s="58">
        <v>924.9</v>
      </c>
      <c r="P68" s="59" t="s">
        <v>351</v>
      </c>
      <c r="Q68" s="60">
        <v>575.83000000000004</v>
      </c>
      <c r="R68" s="61">
        <v>0.98</v>
      </c>
      <c r="S68" s="62">
        <v>563.86</v>
      </c>
      <c r="T68" s="5" t="s">
        <v>351</v>
      </c>
      <c r="U68" s="124" t="s">
        <v>351</v>
      </c>
      <c r="V68" s="124" t="s">
        <v>351</v>
      </c>
      <c r="W68" s="124" t="s">
        <v>351</v>
      </c>
      <c r="X68" s="126" t="s">
        <v>357</v>
      </c>
      <c r="Y68" s="126" t="s">
        <v>351</v>
      </c>
      <c r="Z68" s="116" t="s">
        <v>352</v>
      </c>
      <c r="AA68" s="127" t="s">
        <v>351</v>
      </c>
      <c r="AB68" s="124" t="s">
        <v>351</v>
      </c>
      <c r="AC68" s="124" t="s">
        <v>351</v>
      </c>
      <c r="AD68" s="139" t="s">
        <v>351</v>
      </c>
      <c r="AE68" s="127" t="s">
        <v>351</v>
      </c>
      <c r="AF68" s="116" t="s">
        <v>352</v>
      </c>
      <c r="AG68" s="116" t="s">
        <v>352</v>
      </c>
      <c r="AH68" s="116" t="s">
        <v>352</v>
      </c>
      <c r="AI68" s="116" t="s">
        <v>352</v>
      </c>
      <c r="AJ68" s="150">
        <v>7.19</v>
      </c>
      <c r="AK68" s="150">
        <v>359.53</v>
      </c>
      <c r="AL68" s="123" t="s">
        <v>351</v>
      </c>
      <c r="AM68" s="123" t="s">
        <v>351</v>
      </c>
      <c r="AN68" s="122">
        <v>0.6900417745670604</v>
      </c>
      <c r="AO68" s="116" t="s">
        <v>352</v>
      </c>
      <c r="AP68" s="125">
        <v>0</v>
      </c>
      <c r="AQ68" s="126">
        <v>483</v>
      </c>
      <c r="AR68" s="54">
        <v>282.27999999999997</v>
      </c>
      <c r="AS68" s="200">
        <v>1.5649772619016695E-2</v>
      </c>
      <c r="AT68" s="116" t="s">
        <v>352</v>
      </c>
      <c r="AU68" s="116" t="s">
        <v>352</v>
      </c>
      <c r="AV68" s="163">
        <v>370.99556431739774</v>
      </c>
      <c r="AW68" s="165">
        <v>10.825483569425469</v>
      </c>
      <c r="AX68" s="164">
        <v>24.06</v>
      </c>
      <c r="AY68" s="134">
        <v>56.64</v>
      </c>
      <c r="AZ68" s="116" t="s">
        <v>352</v>
      </c>
      <c r="BA68" s="57">
        <v>19.649999999999999</v>
      </c>
      <c r="BB68" s="60">
        <v>318</v>
      </c>
      <c r="BC68" s="168">
        <v>7.65</v>
      </c>
      <c r="BD68" s="168">
        <v>0.75</v>
      </c>
      <c r="BE68" s="116" t="s">
        <v>352</v>
      </c>
      <c r="BF68" s="116" t="s">
        <v>352</v>
      </c>
      <c r="BG68" s="169">
        <v>18.5</v>
      </c>
      <c r="BH68" s="170">
        <v>21.7</v>
      </c>
      <c r="BI68" s="116" t="s">
        <v>352</v>
      </c>
      <c r="BJ68" s="174" t="s">
        <v>351</v>
      </c>
      <c r="BK68" s="119" t="s">
        <v>351</v>
      </c>
      <c r="BL68" s="162">
        <v>44.222334076364419</v>
      </c>
      <c r="BM68" s="162">
        <v>56.446393902351332</v>
      </c>
      <c r="BN68" s="162">
        <v>44.941396419069534</v>
      </c>
      <c r="BO68" s="60">
        <v>1615</v>
      </c>
      <c r="BP68" s="59">
        <v>0.04</v>
      </c>
      <c r="BQ68" s="180" t="s">
        <v>358</v>
      </c>
      <c r="BR68" s="116" t="s">
        <v>352</v>
      </c>
      <c r="BS68" s="184">
        <v>40.590000000000003</v>
      </c>
      <c r="BT68" s="124" t="s">
        <v>353</v>
      </c>
      <c r="BU68" s="131">
        <v>59.47</v>
      </c>
      <c r="BV68" s="54">
        <v>1.71</v>
      </c>
      <c r="BW68" s="189" t="s">
        <v>355</v>
      </c>
      <c r="BX68" s="189" t="s">
        <v>355</v>
      </c>
      <c r="BY68" s="189" t="s">
        <v>353</v>
      </c>
      <c r="BZ68" s="190" t="s">
        <v>359</v>
      </c>
      <c r="CA68" s="190" t="s">
        <v>359</v>
      </c>
      <c r="CB68" s="124" t="s">
        <v>353</v>
      </c>
      <c r="CC68" s="41">
        <v>1775.4</v>
      </c>
      <c r="CD68" s="199">
        <v>49.54</v>
      </c>
    </row>
    <row r="69" spans="1:82">
      <c r="A69" s="3" t="s">
        <v>434</v>
      </c>
      <c r="B69" s="3" t="s">
        <v>435</v>
      </c>
      <c r="C69" s="27" t="s">
        <v>349</v>
      </c>
      <c r="D69" s="3" t="s">
        <v>436</v>
      </c>
      <c r="E69" s="29">
        <v>9001</v>
      </c>
      <c r="F69" s="3" t="s">
        <v>437</v>
      </c>
      <c r="G69" s="4">
        <v>9101</v>
      </c>
      <c r="H69" s="39">
        <v>249.8</v>
      </c>
      <c r="I69" s="40">
        <v>5.73</v>
      </c>
      <c r="J69" s="41">
        <v>871.92</v>
      </c>
      <c r="K69" s="54">
        <v>5.0999999999999996</v>
      </c>
      <c r="L69" s="54">
        <v>84.74</v>
      </c>
      <c r="M69" s="57">
        <v>88.45</v>
      </c>
      <c r="N69" s="54">
        <v>9.36</v>
      </c>
      <c r="O69" s="58">
        <v>1202.05</v>
      </c>
      <c r="P69" s="59">
        <v>10.72</v>
      </c>
      <c r="Q69" s="60">
        <v>841.97</v>
      </c>
      <c r="R69" s="61">
        <v>0.94</v>
      </c>
      <c r="S69" s="62">
        <v>767.24</v>
      </c>
      <c r="T69" s="60">
        <v>234</v>
      </c>
      <c r="U69" s="125">
        <v>11.26</v>
      </c>
      <c r="V69" s="124" t="s">
        <v>351</v>
      </c>
      <c r="W69" s="124" t="s">
        <v>351</v>
      </c>
      <c r="X69" s="126">
        <v>6.07</v>
      </c>
      <c r="Y69" s="31">
        <v>85.39</v>
      </c>
      <c r="Z69" s="116" t="s">
        <v>352</v>
      </c>
      <c r="AA69" s="131">
        <v>1.1299999999999999</v>
      </c>
      <c r="AB69" s="125">
        <v>36.799999999999997</v>
      </c>
      <c r="AC69" s="125">
        <v>62.4</v>
      </c>
      <c r="AD69" s="137">
        <v>45</v>
      </c>
      <c r="AE69" s="140">
        <v>50</v>
      </c>
      <c r="AF69" s="116" t="s">
        <v>352</v>
      </c>
      <c r="AG69" s="116" t="s">
        <v>352</v>
      </c>
      <c r="AH69" s="116" t="s">
        <v>352</v>
      </c>
      <c r="AI69" s="116" t="s">
        <v>352</v>
      </c>
      <c r="AJ69" s="150">
        <v>3.35</v>
      </c>
      <c r="AK69" s="150">
        <v>414.1</v>
      </c>
      <c r="AL69" s="123">
        <v>8.4</v>
      </c>
      <c r="AM69" s="123">
        <v>2.82</v>
      </c>
      <c r="AN69" s="122">
        <v>1.0167537325378511</v>
      </c>
      <c r="AO69" s="116" t="s">
        <v>352</v>
      </c>
      <c r="AP69" s="125">
        <v>6.27</v>
      </c>
      <c r="AQ69" s="126">
        <v>733.28</v>
      </c>
      <c r="AR69" s="54">
        <v>706.78</v>
      </c>
      <c r="AS69" s="200">
        <v>8.9726432327634636E-3</v>
      </c>
      <c r="AT69" s="116" t="s">
        <v>352</v>
      </c>
      <c r="AU69" s="116" t="s">
        <v>352</v>
      </c>
      <c r="AV69" s="163">
        <v>663.4139281985548</v>
      </c>
      <c r="AW69" s="165">
        <v>21.51898309744869</v>
      </c>
      <c r="AX69" s="164">
        <v>6.84</v>
      </c>
      <c r="AY69" s="134">
        <v>45.16</v>
      </c>
      <c r="AZ69" s="116" t="s">
        <v>352</v>
      </c>
      <c r="BA69" s="57">
        <v>12.6</v>
      </c>
      <c r="BB69" s="60">
        <v>5051</v>
      </c>
      <c r="BC69" s="168">
        <v>6.29</v>
      </c>
      <c r="BD69" s="168">
        <v>1.84</v>
      </c>
      <c r="BE69" s="116" t="s">
        <v>352</v>
      </c>
      <c r="BF69" s="116" t="s">
        <v>352</v>
      </c>
      <c r="BG69" s="169">
        <v>14.44</v>
      </c>
      <c r="BH69" s="170">
        <v>18.97</v>
      </c>
      <c r="BI69" s="116" t="s">
        <v>352</v>
      </c>
      <c r="BJ69" s="173">
        <v>47.5</v>
      </c>
      <c r="BK69" s="119">
        <v>0.4140223275249727</v>
      </c>
      <c r="BL69" s="162">
        <v>94.957399937633909</v>
      </c>
      <c r="BM69" s="162">
        <v>212.51412457793919</v>
      </c>
      <c r="BN69" s="162">
        <v>72.324545079617351</v>
      </c>
      <c r="BO69" s="60">
        <v>2738</v>
      </c>
      <c r="BP69" s="59">
        <v>0</v>
      </c>
      <c r="BQ69" s="180" t="s">
        <v>358</v>
      </c>
      <c r="BR69" s="116" t="s">
        <v>352</v>
      </c>
      <c r="BS69" s="184">
        <v>6.55</v>
      </c>
      <c r="BT69" s="124" t="s">
        <v>353</v>
      </c>
      <c r="BU69" s="131">
        <v>37.93</v>
      </c>
      <c r="BV69" s="54">
        <v>0.06</v>
      </c>
      <c r="BW69" s="189" t="s">
        <v>355</v>
      </c>
      <c r="BX69" s="189" t="s">
        <v>355</v>
      </c>
      <c r="BY69" s="189" t="s">
        <v>353</v>
      </c>
      <c r="BZ69" s="190" t="s">
        <v>359</v>
      </c>
      <c r="CA69" s="190" t="s">
        <v>359</v>
      </c>
      <c r="CB69" s="124" t="s">
        <v>353</v>
      </c>
      <c r="CC69" s="41">
        <v>1140</v>
      </c>
      <c r="CD69" s="199">
        <v>26.65</v>
      </c>
    </row>
    <row r="70" spans="1:82">
      <c r="A70" s="3" t="s">
        <v>434</v>
      </c>
      <c r="B70" s="3" t="s">
        <v>435</v>
      </c>
      <c r="C70" s="27" t="s">
        <v>349</v>
      </c>
      <c r="D70" s="3" t="s">
        <v>436</v>
      </c>
      <c r="E70" s="29">
        <v>9001</v>
      </c>
      <c r="F70" s="3" t="s">
        <v>438</v>
      </c>
      <c r="G70" s="4">
        <v>9112</v>
      </c>
      <c r="H70" s="39">
        <v>242.14</v>
      </c>
      <c r="I70" s="40">
        <v>6.52</v>
      </c>
      <c r="J70" s="41">
        <v>1479.23</v>
      </c>
      <c r="K70" s="54">
        <v>1.22</v>
      </c>
      <c r="L70" s="54">
        <v>84.78</v>
      </c>
      <c r="M70" s="57">
        <v>88.96</v>
      </c>
      <c r="N70" s="54">
        <v>6.61</v>
      </c>
      <c r="O70" s="58">
        <v>686.87</v>
      </c>
      <c r="P70" s="59">
        <v>26.47</v>
      </c>
      <c r="Q70" s="60">
        <v>721.43</v>
      </c>
      <c r="R70" s="61">
        <v>0.69</v>
      </c>
      <c r="S70" s="62">
        <v>383.11</v>
      </c>
      <c r="T70" s="60">
        <v>207</v>
      </c>
      <c r="U70" s="125">
        <v>4.9400000000000004</v>
      </c>
      <c r="V70" s="124" t="s">
        <v>351</v>
      </c>
      <c r="W70" s="124" t="s">
        <v>351</v>
      </c>
      <c r="X70" s="126">
        <v>11.84</v>
      </c>
      <c r="Y70" s="31">
        <v>92.29</v>
      </c>
      <c r="Z70" s="116" t="s">
        <v>352</v>
      </c>
      <c r="AA70" s="131">
        <v>1.25</v>
      </c>
      <c r="AB70" s="125">
        <v>31.3</v>
      </c>
      <c r="AC70" s="125">
        <v>68.2</v>
      </c>
      <c r="AD70" s="137">
        <v>50</v>
      </c>
      <c r="AE70" s="140">
        <v>50</v>
      </c>
      <c r="AF70" s="116" t="s">
        <v>352</v>
      </c>
      <c r="AG70" s="116" t="s">
        <v>352</v>
      </c>
      <c r="AH70" s="116" t="s">
        <v>352</v>
      </c>
      <c r="AI70" s="116" t="s">
        <v>352</v>
      </c>
      <c r="AJ70" s="150">
        <v>8.74</v>
      </c>
      <c r="AK70" s="150">
        <v>400.91</v>
      </c>
      <c r="AL70" s="123">
        <v>11.94</v>
      </c>
      <c r="AM70" s="123">
        <v>4.43</v>
      </c>
      <c r="AN70" s="122">
        <v>0.59708281985070377</v>
      </c>
      <c r="AO70" s="116" t="s">
        <v>352</v>
      </c>
      <c r="AP70" s="125">
        <v>0.62</v>
      </c>
      <c r="AQ70" s="126">
        <v>443.39</v>
      </c>
      <c r="AR70" s="54">
        <v>349.97</v>
      </c>
      <c r="AS70" s="200">
        <v>5.1818546188941135E-3</v>
      </c>
      <c r="AT70" s="116" t="s">
        <v>352</v>
      </c>
      <c r="AU70" s="116" t="s">
        <v>352</v>
      </c>
      <c r="AV70" s="163">
        <v>221.63819535698642</v>
      </c>
      <c r="AW70" s="165">
        <v>4.4237950716275121</v>
      </c>
      <c r="AX70" s="164">
        <v>20.71</v>
      </c>
      <c r="AY70" s="134">
        <v>47.11</v>
      </c>
      <c r="AZ70" s="116" t="s">
        <v>352</v>
      </c>
      <c r="BA70" s="57">
        <v>18.25</v>
      </c>
      <c r="BB70" s="60">
        <v>619</v>
      </c>
      <c r="BC70" s="168">
        <v>7.26</v>
      </c>
      <c r="BD70" s="168">
        <v>1.02</v>
      </c>
      <c r="BE70" s="116" t="s">
        <v>352</v>
      </c>
      <c r="BF70" s="116" t="s">
        <v>352</v>
      </c>
      <c r="BG70" s="169">
        <v>25.08</v>
      </c>
      <c r="BH70" s="170">
        <v>44.71</v>
      </c>
      <c r="BI70" s="116" t="s">
        <v>352</v>
      </c>
      <c r="BJ70" s="173">
        <v>75</v>
      </c>
      <c r="BK70" s="119">
        <v>0.16433811730201925</v>
      </c>
      <c r="BL70" s="162">
        <v>40.840795833489459</v>
      </c>
      <c r="BM70" s="162">
        <v>82.680754867798214</v>
      </c>
      <c r="BN70" s="162">
        <v>65.819875853972306</v>
      </c>
      <c r="BO70" s="60">
        <v>1603</v>
      </c>
      <c r="BP70" s="59">
        <v>0.01</v>
      </c>
      <c r="BQ70" s="180" t="s">
        <v>358</v>
      </c>
      <c r="BR70" s="116" t="s">
        <v>352</v>
      </c>
      <c r="BS70" s="184">
        <v>2.4300000000000002</v>
      </c>
      <c r="BT70" s="124" t="s">
        <v>355</v>
      </c>
      <c r="BU70" s="131">
        <v>64.040000000000006</v>
      </c>
      <c r="BV70" s="54">
        <v>0</v>
      </c>
      <c r="BW70" s="189" t="s">
        <v>355</v>
      </c>
      <c r="BX70" s="189" t="s">
        <v>355</v>
      </c>
      <c r="BY70" s="189" t="s">
        <v>355</v>
      </c>
      <c r="BZ70" s="190" t="s">
        <v>359</v>
      </c>
      <c r="CA70" s="190" t="s">
        <v>359</v>
      </c>
      <c r="CB70" s="124" t="s">
        <v>355</v>
      </c>
      <c r="CC70" s="41">
        <v>3016.7</v>
      </c>
      <c r="CD70" s="199">
        <v>29.84</v>
      </c>
    </row>
    <row r="71" spans="1:82">
      <c r="A71" s="3" t="s">
        <v>434</v>
      </c>
      <c r="B71" s="5" t="s">
        <v>435</v>
      </c>
      <c r="C71" s="27" t="s">
        <v>349</v>
      </c>
      <c r="D71" s="5" t="s">
        <v>439</v>
      </c>
      <c r="E71" s="29">
        <v>9120</v>
      </c>
      <c r="F71" s="5" t="s">
        <v>439</v>
      </c>
      <c r="G71" s="4">
        <v>9120</v>
      </c>
      <c r="H71" s="39">
        <v>405.63</v>
      </c>
      <c r="I71" s="40">
        <v>7.68</v>
      </c>
      <c r="J71" s="41">
        <v>1857.45</v>
      </c>
      <c r="K71" s="54">
        <v>9.57</v>
      </c>
      <c r="L71" s="54">
        <v>62.69</v>
      </c>
      <c r="M71" s="57">
        <v>81.48</v>
      </c>
      <c r="N71" s="54">
        <v>12.61</v>
      </c>
      <c r="O71" s="58">
        <v>791.25</v>
      </c>
      <c r="P71" s="59">
        <v>31.63</v>
      </c>
      <c r="Q71" s="60">
        <v>568.6</v>
      </c>
      <c r="R71" s="61">
        <v>1.24</v>
      </c>
      <c r="S71" s="62">
        <v>425.98</v>
      </c>
      <c r="T71" s="60">
        <v>238</v>
      </c>
      <c r="U71" s="124" t="s">
        <v>351</v>
      </c>
      <c r="V71" s="124" t="s">
        <v>351</v>
      </c>
      <c r="W71" s="124" t="s">
        <v>351</v>
      </c>
      <c r="X71" s="126">
        <v>3.63</v>
      </c>
      <c r="Y71" s="31">
        <v>46.58</v>
      </c>
      <c r="Z71" s="116" t="s">
        <v>352</v>
      </c>
      <c r="AA71" s="127" t="s">
        <v>351</v>
      </c>
      <c r="AB71" s="124" t="s">
        <v>351</v>
      </c>
      <c r="AC71" s="124" t="s">
        <v>351</v>
      </c>
      <c r="AD71" s="139" t="s">
        <v>351</v>
      </c>
      <c r="AE71" s="127" t="s">
        <v>351</v>
      </c>
      <c r="AF71" s="116" t="s">
        <v>352</v>
      </c>
      <c r="AG71" s="116" t="s">
        <v>352</v>
      </c>
      <c r="AH71" s="116" t="s">
        <v>352</v>
      </c>
      <c r="AI71" s="116" t="s">
        <v>352</v>
      </c>
      <c r="AJ71" s="150">
        <v>10.34</v>
      </c>
      <c r="AK71" s="150">
        <v>592.85</v>
      </c>
      <c r="AL71" s="123" t="s">
        <v>351</v>
      </c>
      <c r="AM71" s="123" t="s">
        <v>351</v>
      </c>
      <c r="AN71" s="122">
        <v>0.81268702082829192</v>
      </c>
      <c r="AO71" s="116" t="s">
        <v>352</v>
      </c>
      <c r="AP71" s="123" t="s">
        <v>351</v>
      </c>
      <c r="AQ71" s="126">
        <v>777.99</v>
      </c>
      <c r="AR71" s="54">
        <v>727.14</v>
      </c>
      <c r="AS71" s="200">
        <v>0.19257568233991898</v>
      </c>
      <c r="AT71" s="116" t="s">
        <v>352</v>
      </c>
      <c r="AU71" s="116" t="s">
        <v>352</v>
      </c>
      <c r="AV71" s="163">
        <v>207.87008119925045</v>
      </c>
      <c r="AW71" s="165">
        <v>5.7354588539422666</v>
      </c>
      <c r="AX71" s="164">
        <v>21.83</v>
      </c>
      <c r="AY71" s="134">
        <v>26.9</v>
      </c>
      <c r="AZ71" s="116" t="s">
        <v>352</v>
      </c>
      <c r="BA71" s="57">
        <v>21.4</v>
      </c>
      <c r="BB71" s="60">
        <v>814</v>
      </c>
      <c r="BC71" s="168">
        <v>8.4700000000000006</v>
      </c>
      <c r="BD71" s="168">
        <v>1.17</v>
      </c>
      <c r="BE71" s="116" t="s">
        <v>352</v>
      </c>
      <c r="BF71" s="116" t="s">
        <v>352</v>
      </c>
      <c r="BG71" s="169">
        <v>16.38</v>
      </c>
      <c r="BH71" s="170">
        <v>22.97</v>
      </c>
      <c r="BI71" s="116" t="s">
        <v>352</v>
      </c>
      <c r="BJ71" s="174" t="s">
        <v>351</v>
      </c>
      <c r="BK71" s="119" t="s">
        <v>351</v>
      </c>
      <c r="BL71" s="162">
        <v>50.15079707022835</v>
      </c>
      <c r="BM71" s="162">
        <v>155.10555794915985</v>
      </c>
      <c r="BN71" s="162">
        <v>73.071951744937522</v>
      </c>
      <c r="BO71" s="60">
        <v>1710</v>
      </c>
      <c r="BP71" s="59">
        <v>0.01</v>
      </c>
      <c r="BQ71" s="180" t="s">
        <v>358</v>
      </c>
      <c r="BR71" s="116" t="s">
        <v>352</v>
      </c>
      <c r="BS71" s="184">
        <v>28.05</v>
      </c>
      <c r="BT71" s="124" t="s">
        <v>353</v>
      </c>
      <c r="BU71" s="131">
        <v>42.32</v>
      </c>
      <c r="BV71" s="54">
        <v>0</v>
      </c>
      <c r="BW71" s="189" t="s">
        <v>355</v>
      </c>
      <c r="BX71" s="189" t="s">
        <v>355</v>
      </c>
      <c r="BY71" s="189" t="s">
        <v>355</v>
      </c>
      <c r="BZ71" s="190" t="s">
        <v>359</v>
      </c>
      <c r="CA71" s="190" t="s">
        <v>359</v>
      </c>
      <c r="CB71" s="124" t="s">
        <v>351</v>
      </c>
      <c r="CC71" s="39" t="s">
        <v>351</v>
      </c>
      <c r="CD71" s="199">
        <v>32.33</v>
      </c>
    </row>
    <row r="72" spans="1:82">
      <c r="A72" s="3" t="s">
        <v>434</v>
      </c>
      <c r="B72" s="5" t="s">
        <v>440</v>
      </c>
      <c r="C72" s="27" t="s">
        <v>349</v>
      </c>
      <c r="D72" s="5" t="s">
        <v>441</v>
      </c>
      <c r="E72" s="29">
        <v>9201</v>
      </c>
      <c r="F72" s="5" t="s">
        <v>441</v>
      </c>
      <c r="G72" s="4">
        <v>9201</v>
      </c>
      <c r="H72" s="39">
        <v>342.34</v>
      </c>
      <c r="I72" s="40">
        <v>5.48</v>
      </c>
      <c r="J72" s="41">
        <v>1922.12</v>
      </c>
      <c r="K72" s="54">
        <v>2.2400000000000002</v>
      </c>
      <c r="L72" s="54">
        <v>74.900000000000006</v>
      </c>
      <c r="M72" s="57">
        <v>86.45</v>
      </c>
      <c r="N72" s="54">
        <v>6.04</v>
      </c>
      <c r="O72" s="58">
        <v>984.42</v>
      </c>
      <c r="P72" s="59">
        <v>32.92</v>
      </c>
      <c r="Q72" s="60">
        <v>769.48</v>
      </c>
      <c r="R72" s="61">
        <v>0.96</v>
      </c>
      <c r="S72" s="62">
        <v>437.27</v>
      </c>
      <c r="T72" s="5" t="s">
        <v>351</v>
      </c>
      <c r="U72" s="124" t="s">
        <v>351</v>
      </c>
      <c r="V72" s="124" t="s">
        <v>351</v>
      </c>
      <c r="W72" s="124" t="s">
        <v>351</v>
      </c>
      <c r="X72" s="126">
        <v>4.55</v>
      </c>
      <c r="Y72" s="31">
        <v>76.03</v>
      </c>
      <c r="Z72" s="116" t="s">
        <v>352</v>
      </c>
      <c r="AA72" s="127" t="s">
        <v>351</v>
      </c>
      <c r="AB72" s="124" t="s">
        <v>351</v>
      </c>
      <c r="AC72" s="124" t="s">
        <v>351</v>
      </c>
      <c r="AD72" s="139" t="s">
        <v>351</v>
      </c>
      <c r="AE72" s="127" t="s">
        <v>351</v>
      </c>
      <c r="AF72" s="116" t="s">
        <v>352</v>
      </c>
      <c r="AG72" s="116" t="s">
        <v>352</v>
      </c>
      <c r="AH72" s="116" t="s">
        <v>352</v>
      </c>
      <c r="AI72" s="116" t="s">
        <v>352</v>
      </c>
      <c r="AJ72" s="150">
        <v>16.23</v>
      </c>
      <c r="AK72" s="150">
        <v>458.06</v>
      </c>
      <c r="AL72" s="123" t="s">
        <v>351</v>
      </c>
      <c r="AM72" s="123" t="s">
        <v>351</v>
      </c>
      <c r="AN72" s="122">
        <v>1.2806567713862147</v>
      </c>
      <c r="AO72" s="116" t="s">
        <v>352</v>
      </c>
      <c r="AP72" s="123" t="s">
        <v>351</v>
      </c>
      <c r="AQ72" s="126">
        <v>683.69</v>
      </c>
      <c r="AR72" s="54">
        <v>417.24</v>
      </c>
      <c r="AS72" s="200">
        <v>1.1091123571860897E-2</v>
      </c>
      <c r="AT72" s="116" t="s">
        <v>352</v>
      </c>
      <c r="AU72" s="116" t="s">
        <v>352</v>
      </c>
      <c r="AV72" s="163">
        <v>328.54588452442749</v>
      </c>
      <c r="AW72" s="165">
        <v>10.272132152711402</v>
      </c>
      <c r="AX72" s="164">
        <v>22.5</v>
      </c>
      <c r="AY72" s="134">
        <v>31.15</v>
      </c>
      <c r="AZ72" s="116" t="s">
        <v>352</v>
      </c>
      <c r="BA72" s="57">
        <v>20.239999999999998</v>
      </c>
      <c r="BB72" s="60">
        <v>819</v>
      </c>
      <c r="BC72" s="168">
        <v>6.46</v>
      </c>
      <c r="BD72" s="168">
        <v>1.22</v>
      </c>
      <c r="BE72" s="116" t="s">
        <v>352</v>
      </c>
      <c r="BF72" s="116" t="s">
        <v>352</v>
      </c>
      <c r="BG72" s="169">
        <v>22.22</v>
      </c>
      <c r="BH72" s="170">
        <v>16.82</v>
      </c>
      <c r="BI72" s="116" t="s">
        <v>352</v>
      </c>
      <c r="BJ72" s="174" t="s">
        <v>351</v>
      </c>
      <c r="BK72" s="119" t="s">
        <v>351</v>
      </c>
      <c r="BL72" s="162">
        <v>76.644244468088942</v>
      </c>
      <c r="BM72" s="162">
        <v>184.12652612216192</v>
      </c>
      <c r="BN72" s="162">
        <v>80.611711240554726</v>
      </c>
      <c r="BO72" s="60">
        <v>2627</v>
      </c>
      <c r="BP72" s="59">
        <v>0.02</v>
      </c>
      <c r="BQ72" s="180" t="s">
        <v>358</v>
      </c>
      <c r="BR72" s="116" t="s">
        <v>352</v>
      </c>
      <c r="BS72" s="184">
        <v>4.78</v>
      </c>
      <c r="BT72" s="124" t="s">
        <v>355</v>
      </c>
      <c r="BU72" s="131">
        <v>67.3</v>
      </c>
      <c r="BV72" s="54">
        <v>0</v>
      </c>
      <c r="BW72" s="177" t="s">
        <v>354</v>
      </c>
      <c r="BX72" s="177" t="s">
        <v>354</v>
      </c>
      <c r="BY72" s="189" t="s">
        <v>355</v>
      </c>
      <c r="BZ72" s="190" t="s">
        <v>359</v>
      </c>
      <c r="CA72" s="190" t="s">
        <v>359</v>
      </c>
      <c r="CB72" s="124" t="s">
        <v>351</v>
      </c>
      <c r="CC72" s="39" t="s">
        <v>351</v>
      </c>
      <c r="CD72" s="199">
        <v>39.880000000000003</v>
      </c>
    </row>
    <row r="73" spans="1:82">
      <c r="A73" s="3" t="s">
        <v>442</v>
      </c>
      <c r="B73" s="3" t="s">
        <v>443</v>
      </c>
      <c r="C73" s="27" t="s">
        <v>349</v>
      </c>
      <c r="D73" s="3" t="s">
        <v>444</v>
      </c>
      <c r="E73" s="29">
        <v>10001</v>
      </c>
      <c r="F73" s="3" t="s">
        <v>445</v>
      </c>
      <c r="G73" s="4">
        <v>10101</v>
      </c>
      <c r="H73" s="39">
        <v>269.89999999999998</v>
      </c>
      <c r="I73" s="40">
        <v>7.38</v>
      </c>
      <c r="J73" s="41">
        <v>2242.1</v>
      </c>
      <c r="K73" s="54">
        <v>2.91</v>
      </c>
      <c r="L73" s="54">
        <v>79.430000000000007</v>
      </c>
      <c r="M73" s="57">
        <v>70.69</v>
      </c>
      <c r="N73" s="54">
        <v>7.92</v>
      </c>
      <c r="O73" s="58">
        <v>1271.79</v>
      </c>
      <c r="P73" s="59">
        <v>10.98</v>
      </c>
      <c r="Q73" s="60">
        <v>644.19000000000005</v>
      </c>
      <c r="R73" s="61">
        <v>0.9</v>
      </c>
      <c r="S73" s="62">
        <v>577.38</v>
      </c>
      <c r="T73" s="60">
        <v>358</v>
      </c>
      <c r="U73" s="125">
        <v>4.29</v>
      </c>
      <c r="V73" s="124" t="s">
        <v>351</v>
      </c>
      <c r="W73" s="124" t="s">
        <v>351</v>
      </c>
      <c r="X73" s="126">
        <v>2.39</v>
      </c>
      <c r="Y73" s="31">
        <v>64.87</v>
      </c>
      <c r="Z73" s="116" t="s">
        <v>352</v>
      </c>
      <c r="AA73" s="131">
        <v>1</v>
      </c>
      <c r="AB73" s="125">
        <v>33.299999999999997</v>
      </c>
      <c r="AC73" s="125">
        <v>52.9</v>
      </c>
      <c r="AD73" s="137">
        <v>60</v>
      </c>
      <c r="AE73" s="140">
        <v>75</v>
      </c>
      <c r="AF73" s="116" t="s">
        <v>352</v>
      </c>
      <c r="AG73" s="116" t="s">
        <v>352</v>
      </c>
      <c r="AH73" s="116" t="s">
        <v>352</v>
      </c>
      <c r="AI73" s="116" t="s">
        <v>352</v>
      </c>
      <c r="AJ73" s="150">
        <v>11.06</v>
      </c>
      <c r="AK73" s="150">
        <v>330.61</v>
      </c>
      <c r="AL73" s="123" t="s">
        <v>351</v>
      </c>
      <c r="AM73" s="123" t="s">
        <v>351</v>
      </c>
      <c r="AN73" s="122">
        <v>0.96525130609591525</v>
      </c>
      <c r="AO73" s="116" t="s">
        <v>352</v>
      </c>
      <c r="AP73" s="125">
        <v>0.04</v>
      </c>
      <c r="AQ73" s="126">
        <v>735.47</v>
      </c>
      <c r="AR73" s="54">
        <v>917.53</v>
      </c>
      <c r="AS73" s="200" t="s">
        <v>351</v>
      </c>
      <c r="AT73" s="116" t="s">
        <v>352</v>
      </c>
      <c r="AU73" s="116" t="s">
        <v>352</v>
      </c>
      <c r="AV73" s="163">
        <v>490.32122922237147</v>
      </c>
      <c r="AW73" s="165">
        <v>15.173978531525863</v>
      </c>
      <c r="AX73" s="164">
        <v>12.46</v>
      </c>
      <c r="AY73" s="134">
        <v>59.38</v>
      </c>
      <c r="AZ73" s="116" t="s">
        <v>352</v>
      </c>
      <c r="BA73" s="57">
        <v>18.63</v>
      </c>
      <c r="BB73" s="60">
        <v>6032</v>
      </c>
      <c r="BC73" s="168">
        <v>6.43</v>
      </c>
      <c r="BD73" s="168">
        <v>1.1000000000000001</v>
      </c>
      <c r="BE73" s="116" t="s">
        <v>352</v>
      </c>
      <c r="BF73" s="116" t="s">
        <v>352</v>
      </c>
      <c r="BG73" s="169">
        <v>11.98</v>
      </c>
      <c r="BH73" s="170">
        <v>17.84</v>
      </c>
      <c r="BI73" s="116" t="s">
        <v>352</v>
      </c>
      <c r="BJ73" s="173">
        <v>52.173913043478258</v>
      </c>
      <c r="BK73" s="119">
        <v>0.44752700656350503</v>
      </c>
      <c r="BL73" s="162">
        <v>77.484794752998155</v>
      </c>
      <c r="BM73" s="162">
        <v>173.46374573395107</v>
      </c>
      <c r="BN73" s="162">
        <v>101.24120574272149</v>
      </c>
      <c r="BO73" s="60">
        <v>1696</v>
      </c>
      <c r="BP73" s="59">
        <v>0</v>
      </c>
      <c r="BQ73" s="180" t="s">
        <v>351</v>
      </c>
      <c r="BR73" s="116" t="s">
        <v>352</v>
      </c>
      <c r="BS73" s="184">
        <v>20.440000000000001</v>
      </c>
      <c r="BT73" s="124" t="s">
        <v>353</v>
      </c>
      <c r="BU73" s="131">
        <v>35.39</v>
      </c>
      <c r="BV73" s="54">
        <v>0</v>
      </c>
      <c r="BW73" s="189" t="s">
        <v>355</v>
      </c>
      <c r="BX73" s="189" t="s">
        <v>355</v>
      </c>
      <c r="BY73" s="189" t="s">
        <v>353</v>
      </c>
      <c r="BZ73" s="191">
        <v>0</v>
      </c>
      <c r="CA73" s="191">
        <v>0</v>
      </c>
      <c r="CB73" s="124" t="s">
        <v>353</v>
      </c>
      <c r="CC73" s="41">
        <v>841</v>
      </c>
      <c r="CD73" s="199">
        <v>25.75</v>
      </c>
    </row>
    <row r="74" spans="1:82">
      <c r="A74" s="3" t="s">
        <v>442</v>
      </c>
      <c r="B74" s="3" t="s">
        <v>443</v>
      </c>
      <c r="C74" s="27" t="s">
        <v>349</v>
      </c>
      <c r="D74" s="3" t="s">
        <v>444</v>
      </c>
      <c r="E74" s="29">
        <v>10001</v>
      </c>
      <c r="F74" s="3" t="s">
        <v>446</v>
      </c>
      <c r="G74" s="4">
        <v>10109</v>
      </c>
      <c r="H74" s="39">
        <v>211.65</v>
      </c>
      <c r="I74" s="40">
        <v>6.54</v>
      </c>
      <c r="J74" s="41">
        <v>1438.51</v>
      </c>
      <c r="K74" s="54">
        <v>5.68</v>
      </c>
      <c r="L74" s="54">
        <v>88.71</v>
      </c>
      <c r="M74" s="57">
        <v>88.01</v>
      </c>
      <c r="N74" s="54">
        <v>10.8</v>
      </c>
      <c r="O74" s="58">
        <v>1257.48</v>
      </c>
      <c r="P74" s="59">
        <v>16.809999999999999</v>
      </c>
      <c r="Q74" s="60">
        <v>709.74</v>
      </c>
      <c r="R74" s="61">
        <v>0.8</v>
      </c>
      <c r="S74" s="62">
        <v>728.87</v>
      </c>
      <c r="T74" s="60">
        <v>663</v>
      </c>
      <c r="U74" s="125">
        <v>1.1200000000000001</v>
      </c>
      <c r="V74" s="124" t="s">
        <v>351</v>
      </c>
      <c r="W74" s="124" t="s">
        <v>351</v>
      </c>
      <c r="X74" s="126" t="s">
        <v>357</v>
      </c>
      <c r="Y74" s="126" t="s">
        <v>351</v>
      </c>
      <c r="Z74" s="116" t="s">
        <v>352</v>
      </c>
      <c r="AA74" s="127" t="s">
        <v>351</v>
      </c>
      <c r="AB74" s="124" t="s">
        <v>351</v>
      </c>
      <c r="AC74" s="124" t="s">
        <v>351</v>
      </c>
      <c r="AD74" s="139" t="s">
        <v>351</v>
      </c>
      <c r="AE74" s="127" t="s">
        <v>351</v>
      </c>
      <c r="AF74" s="116" t="s">
        <v>352</v>
      </c>
      <c r="AG74" s="116" t="s">
        <v>352</v>
      </c>
      <c r="AH74" s="116" t="s">
        <v>352</v>
      </c>
      <c r="AI74" s="116" t="s">
        <v>352</v>
      </c>
      <c r="AJ74" s="150">
        <v>10.62</v>
      </c>
      <c r="AK74" s="150">
        <v>422.84</v>
      </c>
      <c r="AL74" s="123" t="s">
        <v>351</v>
      </c>
      <c r="AM74" s="123" t="s">
        <v>351</v>
      </c>
      <c r="AN74" s="122">
        <v>0.94795114330863417</v>
      </c>
      <c r="AO74" s="116" t="s">
        <v>352</v>
      </c>
      <c r="AP74" s="123" t="s">
        <v>351</v>
      </c>
      <c r="AQ74" s="126">
        <v>1030.6099999999999</v>
      </c>
      <c r="AR74" s="54">
        <v>1300.26</v>
      </c>
      <c r="AS74" s="200">
        <v>1.5049822575080229E-2</v>
      </c>
      <c r="AT74" s="116" t="s">
        <v>352</v>
      </c>
      <c r="AU74" s="116" t="s">
        <v>352</v>
      </c>
      <c r="AV74" s="163">
        <v>660.576841749133</v>
      </c>
      <c r="AW74" s="165">
        <v>16.594777213522299</v>
      </c>
      <c r="AX74" s="164">
        <v>10.59</v>
      </c>
      <c r="AY74" s="134">
        <v>43.81</v>
      </c>
      <c r="AZ74" s="116" t="s">
        <v>352</v>
      </c>
      <c r="BA74" s="57">
        <v>16.399999999999999</v>
      </c>
      <c r="BB74" s="60">
        <v>914</v>
      </c>
      <c r="BC74" s="168">
        <v>6.03</v>
      </c>
      <c r="BD74" s="168">
        <v>0.97</v>
      </c>
      <c r="BE74" s="116" t="s">
        <v>352</v>
      </c>
      <c r="BF74" s="116" t="s">
        <v>352</v>
      </c>
      <c r="BG74" s="169">
        <v>14.32</v>
      </c>
      <c r="BH74" s="170">
        <v>15.14</v>
      </c>
      <c r="BI74" s="116" t="s">
        <v>352</v>
      </c>
      <c r="BJ74" s="174" t="s">
        <v>351</v>
      </c>
      <c r="BK74" s="119" t="s">
        <v>351</v>
      </c>
      <c r="BL74" s="162">
        <v>56.30750270913456</v>
      </c>
      <c r="BM74" s="162">
        <v>178.05919724624439</v>
      </c>
      <c r="BN74" s="162">
        <v>71.393663812336655</v>
      </c>
      <c r="BO74" s="60">
        <v>1677</v>
      </c>
      <c r="BP74" s="59">
        <v>0</v>
      </c>
      <c r="BQ74" s="180" t="s">
        <v>358</v>
      </c>
      <c r="BR74" s="116" t="s">
        <v>352</v>
      </c>
      <c r="BS74" s="184">
        <v>23.27</v>
      </c>
      <c r="BT74" s="124" t="s">
        <v>355</v>
      </c>
      <c r="BU74" s="131">
        <v>14.33</v>
      </c>
      <c r="BV74" s="54">
        <v>0.17</v>
      </c>
      <c r="BW74" s="177" t="s">
        <v>354</v>
      </c>
      <c r="BX74" s="177" t="s">
        <v>354</v>
      </c>
      <c r="BY74" s="189" t="s">
        <v>355</v>
      </c>
      <c r="BZ74" s="191">
        <v>0</v>
      </c>
      <c r="CA74" s="191">
        <v>0</v>
      </c>
      <c r="CB74" s="124" t="s">
        <v>351</v>
      </c>
      <c r="CC74" s="39" t="s">
        <v>351</v>
      </c>
      <c r="CD74" s="199">
        <v>42.9</v>
      </c>
    </row>
    <row r="75" spans="1:82">
      <c r="A75" s="3" t="s">
        <v>442</v>
      </c>
      <c r="B75" s="5" t="s">
        <v>447</v>
      </c>
      <c r="C75" s="27" t="s">
        <v>349</v>
      </c>
      <c r="D75" s="5" t="s">
        <v>448</v>
      </c>
      <c r="E75" s="29">
        <v>10201</v>
      </c>
      <c r="F75" s="5" t="s">
        <v>448</v>
      </c>
      <c r="G75" s="4">
        <v>10201</v>
      </c>
      <c r="H75" s="39">
        <v>459.62</v>
      </c>
      <c r="I75" s="40">
        <v>6.52</v>
      </c>
      <c r="J75" s="41">
        <v>3445.35</v>
      </c>
      <c r="K75" s="54">
        <v>10.19</v>
      </c>
      <c r="L75" s="54">
        <v>65.8</v>
      </c>
      <c r="M75" s="57">
        <v>47.86</v>
      </c>
      <c r="N75" s="54">
        <v>9.17</v>
      </c>
      <c r="O75" s="58">
        <v>819.93</v>
      </c>
      <c r="P75" s="59">
        <v>16.760000000000002</v>
      </c>
      <c r="Q75" s="60">
        <v>735.87</v>
      </c>
      <c r="R75" s="61">
        <v>1.22</v>
      </c>
      <c r="S75" s="62">
        <v>695.13</v>
      </c>
      <c r="T75" s="60">
        <v>518</v>
      </c>
      <c r="U75" s="125">
        <v>0.56999999999999995</v>
      </c>
      <c r="V75" s="124" t="s">
        <v>351</v>
      </c>
      <c r="W75" s="124" t="s">
        <v>351</v>
      </c>
      <c r="X75" s="126" t="s">
        <v>357</v>
      </c>
      <c r="Y75" s="126" t="s">
        <v>351</v>
      </c>
      <c r="Z75" s="116" t="s">
        <v>352</v>
      </c>
      <c r="AA75" s="127" t="s">
        <v>351</v>
      </c>
      <c r="AB75" s="124" t="s">
        <v>351</v>
      </c>
      <c r="AC75" s="124" t="s">
        <v>351</v>
      </c>
      <c r="AD75" s="139" t="s">
        <v>351</v>
      </c>
      <c r="AE75" s="127" t="s">
        <v>351</v>
      </c>
      <c r="AF75" s="116" t="s">
        <v>352</v>
      </c>
      <c r="AG75" s="116" t="s">
        <v>352</v>
      </c>
      <c r="AH75" s="116" t="s">
        <v>352</v>
      </c>
      <c r="AI75" s="116" t="s">
        <v>352</v>
      </c>
      <c r="AJ75" s="150">
        <v>12.82</v>
      </c>
      <c r="AK75" s="150">
        <v>348.25</v>
      </c>
      <c r="AL75" s="123" t="s">
        <v>351</v>
      </c>
      <c r="AM75" s="123" t="s">
        <v>351</v>
      </c>
      <c r="AN75" s="122">
        <v>1.61339746807287</v>
      </c>
      <c r="AO75" s="116" t="s">
        <v>352</v>
      </c>
      <c r="AP75" s="123" t="s">
        <v>351</v>
      </c>
      <c r="AQ75" s="126">
        <v>804.49</v>
      </c>
      <c r="AR75" s="54">
        <v>631.5</v>
      </c>
      <c r="AS75" s="122" t="s">
        <v>351</v>
      </c>
      <c r="AT75" s="116" t="s">
        <v>352</v>
      </c>
      <c r="AU75" s="116" t="s">
        <v>352</v>
      </c>
      <c r="AV75" s="163">
        <v>582.90453882190309</v>
      </c>
      <c r="AW75" s="165">
        <v>16.216216216216218</v>
      </c>
      <c r="AX75" s="164">
        <v>11.06</v>
      </c>
      <c r="AY75" s="134">
        <v>45.22</v>
      </c>
      <c r="AZ75" s="116" t="s">
        <v>352</v>
      </c>
      <c r="BA75" s="57">
        <v>18.75</v>
      </c>
      <c r="BB75" s="60">
        <v>1257</v>
      </c>
      <c r="BC75" s="168">
        <v>5.37</v>
      </c>
      <c r="BD75" s="168">
        <v>0.89</v>
      </c>
      <c r="BE75" s="116" t="s">
        <v>352</v>
      </c>
      <c r="BF75" s="116" t="s">
        <v>352</v>
      </c>
      <c r="BG75" s="169">
        <v>13.92</v>
      </c>
      <c r="BH75" s="170">
        <v>21.33</v>
      </c>
      <c r="BI75" s="116" t="s">
        <v>352</v>
      </c>
      <c r="BJ75" s="174" t="s">
        <v>351</v>
      </c>
      <c r="BK75" s="119" t="s">
        <v>351</v>
      </c>
      <c r="BL75" s="162">
        <v>67.300502083110786</v>
      </c>
      <c r="BM75" s="162">
        <v>179.46800555496208</v>
      </c>
      <c r="BN75" s="162">
        <v>61.104582843713274</v>
      </c>
      <c r="BO75" s="60">
        <v>2290</v>
      </c>
      <c r="BP75" s="59">
        <v>0.12</v>
      </c>
      <c r="BQ75" s="183" t="s">
        <v>351</v>
      </c>
      <c r="BR75" s="116" t="s">
        <v>352</v>
      </c>
      <c r="BS75" s="184">
        <v>39.28</v>
      </c>
      <c r="BT75" s="124" t="s">
        <v>353</v>
      </c>
      <c r="BU75" s="131">
        <v>64.58</v>
      </c>
      <c r="BV75" s="54">
        <v>0</v>
      </c>
      <c r="BW75" s="177" t="s">
        <v>354</v>
      </c>
      <c r="BX75" s="177" t="s">
        <v>354</v>
      </c>
      <c r="BY75" s="189" t="s">
        <v>353</v>
      </c>
      <c r="BZ75" s="191">
        <v>0</v>
      </c>
      <c r="CA75" s="191">
        <v>0</v>
      </c>
      <c r="CB75" s="124" t="s">
        <v>351</v>
      </c>
      <c r="CC75" s="39" t="s">
        <v>351</v>
      </c>
      <c r="CD75" s="199">
        <v>35.119999999999997</v>
      </c>
    </row>
    <row r="76" spans="1:82">
      <c r="A76" s="3" t="s">
        <v>442</v>
      </c>
      <c r="B76" s="3" t="s">
        <v>449</v>
      </c>
      <c r="C76" s="27" t="s">
        <v>349</v>
      </c>
      <c r="D76" s="3" t="s">
        <v>449</v>
      </c>
      <c r="E76" s="29">
        <v>10301</v>
      </c>
      <c r="F76" s="3" t="s">
        <v>449</v>
      </c>
      <c r="G76" s="4">
        <v>10301</v>
      </c>
      <c r="H76" s="39">
        <v>203.42</v>
      </c>
      <c r="I76" s="40">
        <v>7.1</v>
      </c>
      <c r="J76" s="41">
        <v>1091.3</v>
      </c>
      <c r="K76" s="54">
        <v>8.99</v>
      </c>
      <c r="L76" s="54">
        <v>90.15</v>
      </c>
      <c r="M76" s="57">
        <v>99.8</v>
      </c>
      <c r="N76" s="54">
        <v>15.37</v>
      </c>
      <c r="O76" s="58">
        <v>1144.25</v>
      </c>
      <c r="P76" s="59">
        <v>20.72</v>
      </c>
      <c r="Q76" s="60">
        <v>577.17999999999995</v>
      </c>
      <c r="R76" s="61">
        <v>0.85</v>
      </c>
      <c r="S76" s="62">
        <v>680.16</v>
      </c>
      <c r="T76" s="60">
        <v>295</v>
      </c>
      <c r="U76" s="125">
        <v>5.68</v>
      </c>
      <c r="V76" s="124" t="s">
        <v>351</v>
      </c>
      <c r="W76" s="124" t="s">
        <v>351</v>
      </c>
      <c r="X76" s="126">
        <v>3.04</v>
      </c>
      <c r="Y76" s="31">
        <v>45.91</v>
      </c>
      <c r="Z76" s="116" t="s">
        <v>352</v>
      </c>
      <c r="AA76" s="131">
        <v>1.25</v>
      </c>
      <c r="AB76" s="125">
        <v>31.3</v>
      </c>
      <c r="AC76" s="125">
        <v>53.2</v>
      </c>
      <c r="AD76" s="137">
        <v>50</v>
      </c>
      <c r="AE76" s="141">
        <v>55</v>
      </c>
      <c r="AF76" s="116" t="s">
        <v>352</v>
      </c>
      <c r="AG76" s="116" t="s">
        <v>352</v>
      </c>
      <c r="AH76" s="116" t="s">
        <v>352</v>
      </c>
      <c r="AI76" s="116" t="s">
        <v>352</v>
      </c>
      <c r="AJ76" s="150">
        <v>13.43</v>
      </c>
      <c r="AK76" s="150">
        <v>505.16</v>
      </c>
      <c r="AL76" s="123" t="s">
        <v>351</v>
      </c>
      <c r="AM76" s="123" t="s">
        <v>351</v>
      </c>
      <c r="AN76" s="122">
        <v>1.2896150714771484</v>
      </c>
      <c r="AO76" s="116" t="s">
        <v>352</v>
      </c>
      <c r="AP76" s="125">
        <v>7.01</v>
      </c>
      <c r="AQ76" s="126">
        <v>787.44</v>
      </c>
      <c r="AR76" s="54">
        <v>745.91</v>
      </c>
      <c r="AS76" s="200">
        <v>5.0675137857578607E-3</v>
      </c>
      <c r="AT76" s="116" t="s">
        <v>352</v>
      </c>
      <c r="AU76" s="116" t="s">
        <v>352</v>
      </c>
      <c r="AV76" s="163">
        <v>612.04656100150078</v>
      </c>
      <c r="AW76" s="165">
        <v>19.529529938738442</v>
      </c>
      <c r="AX76" s="164">
        <v>11.99</v>
      </c>
      <c r="AY76" s="134">
        <v>74.14</v>
      </c>
      <c r="AZ76" s="116" t="s">
        <v>352</v>
      </c>
      <c r="BA76" s="57">
        <v>19.66</v>
      </c>
      <c r="BB76" s="60">
        <v>3639</v>
      </c>
      <c r="BC76" s="168">
        <v>7.77</v>
      </c>
      <c r="BD76" s="168">
        <v>0.89</v>
      </c>
      <c r="BE76" s="116" t="s">
        <v>352</v>
      </c>
      <c r="BF76" s="116" t="s">
        <v>352</v>
      </c>
      <c r="BG76" s="169">
        <v>15.8</v>
      </c>
      <c r="BH76" s="170">
        <v>20.27</v>
      </c>
      <c r="BI76" s="116" t="s">
        <v>352</v>
      </c>
      <c r="BJ76" s="174" t="s">
        <v>351</v>
      </c>
      <c r="BK76" s="119" t="s">
        <v>351</v>
      </c>
      <c r="BL76" s="162">
        <v>55.947159718045008</v>
      </c>
      <c r="BM76" s="162">
        <v>147.69349366068457</v>
      </c>
      <c r="BN76" s="162">
        <v>54.13676102153206</v>
      </c>
      <c r="BO76" s="60">
        <v>1695</v>
      </c>
      <c r="BP76" s="59">
        <v>0</v>
      </c>
      <c r="BQ76" s="180" t="s">
        <v>358</v>
      </c>
      <c r="BR76" s="116" t="s">
        <v>352</v>
      </c>
      <c r="BS76" s="184">
        <v>27.99</v>
      </c>
      <c r="BT76" s="124" t="s">
        <v>355</v>
      </c>
      <c r="BU76" s="131">
        <v>33.06</v>
      </c>
      <c r="BV76" s="54">
        <v>0</v>
      </c>
      <c r="BW76" s="189" t="s">
        <v>355</v>
      </c>
      <c r="BX76" s="189" t="s">
        <v>355</v>
      </c>
      <c r="BY76" s="189" t="s">
        <v>353</v>
      </c>
      <c r="BZ76" s="191">
        <v>0</v>
      </c>
      <c r="CA76" s="191">
        <v>0</v>
      </c>
      <c r="CB76" s="124" t="s">
        <v>353</v>
      </c>
      <c r="CC76" s="41">
        <v>1115.4000000000001</v>
      </c>
      <c r="CD76" s="199">
        <v>27.01</v>
      </c>
    </row>
    <row r="77" spans="1:82">
      <c r="A77" s="3" t="s">
        <v>450</v>
      </c>
      <c r="B77" s="5" t="s">
        <v>451</v>
      </c>
      <c r="C77" s="27" t="s">
        <v>349</v>
      </c>
      <c r="D77" s="5" t="s">
        <v>451</v>
      </c>
      <c r="E77" s="29">
        <v>11101</v>
      </c>
      <c r="F77" s="5" t="s">
        <v>451</v>
      </c>
      <c r="G77" s="4">
        <v>11101</v>
      </c>
      <c r="H77" s="39">
        <v>223.62</v>
      </c>
      <c r="I77" s="40">
        <v>5.92</v>
      </c>
      <c r="J77" s="41">
        <v>1118.82</v>
      </c>
      <c r="K77" s="54">
        <v>1.89</v>
      </c>
      <c r="L77" s="54">
        <v>87.3</v>
      </c>
      <c r="M77" s="57">
        <v>100</v>
      </c>
      <c r="N77" s="54">
        <v>7.06</v>
      </c>
      <c r="O77" s="58">
        <v>1063.0899999999999</v>
      </c>
      <c r="P77" s="59" t="s">
        <v>351</v>
      </c>
      <c r="Q77" s="60">
        <v>805.33</v>
      </c>
      <c r="R77" s="61">
        <v>1</v>
      </c>
      <c r="S77" s="62">
        <v>530.29</v>
      </c>
      <c r="T77" s="60">
        <v>1966</v>
      </c>
      <c r="U77" s="124" t="s">
        <v>351</v>
      </c>
      <c r="V77" s="124" t="s">
        <v>351</v>
      </c>
      <c r="W77" s="124" t="s">
        <v>351</v>
      </c>
      <c r="X77" s="126" t="s">
        <v>357</v>
      </c>
      <c r="Y77" s="126" t="s">
        <v>351</v>
      </c>
      <c r="Z77" s="116" t="s">
        <v>352</v>
      </c>
      <c r="AA77" s="127" t="s">
        <v>351</v>
      </c>
      <c r="AB77" s="124" t="s">
        <v>351</v>
      </c>
      <c r="AC77" s="124" t="s">
        <v>351</v>
      </c>
      <c r="AD77" s="139" t="s">
        <v>351</v>
      </c>
      <c r="AE77" s="127" t="s">
        <v>351</v>
      </c>
      <c r="AF77" s="116" t="s">
        <v>352</v>
      </c>
      <c r="AG77" s="116" t="s">
        <v>352</v>
      </c>
      <c r="AH77" s="116" t="s">
        <v>352</v>
      </c>
      <c r="AI77" s="116" t="s">
        <v>352</v>
      </c>
      <c r="AJ77" s="150">
        <v>0</v>
      </c>
      <c r="AK77" s="150">
        <v>486.67</v>
      </c>
      <c r="AL77" s="123" t="s">
        <v>351</v>
      </c>
      <c r="AM77" s="123" t="s">
        <v>351</v>
      </c>
      <c r="AN77" s="122">
        <v>1.3139891109382689</v>
      </c>
      <c r="AO77" s="116" t="s">
        <v>352</v>
      </c>
      <c r="AP77" s="123" t="s">
        <v>351</v>
      </c>
      <c r="AQ77" s="126">
        <v>763.34</v>
      </c>
      <c r="AR77" s="54">
        <v>543.6</v>
      </c>
      <c r="AS77" s="200">
        <v>1.0619102865755147E-3</v>
      </c>
      <c r="AT77" s="116" t="s">
        <v>352</v>
      </c>
      <c r="AU77" s="116" t="s">
        <v>352</v>
      </c>
      <c r="AV77" s="163">
        <v>578.36079560603639</v>
      </c>
      <c r="AW77" s="165">
        <v>17.953981128952158</v>
      </c>
      <c r="AX77" s="164">
        <v>12.22</v>
      </c>
      <c r="AY77" s="134">
        <v>41.74</v>
      </c>
      <c r="AZ77" s="116" t="s">
        <v>352</v>
      </c>
      <c r="BA77" s="57">
        <v>15.04</v>
      </c>
      <c r="BB77" s="60">
        <v>690</v>
      </c>
      <c r="BC77" s="168">
        <v>7.91</v>
      </c>
      <c r="BD77" s="168">
        <v>0.46</v>
      </c>
      <c r="BE77" s="116" t="s">
        <v>352</v>
      </c>
      <c r="BF77" s="116" t="s">
        <v>352</v>
      </c>
      <c r="BG77" s="169">
        <v>6.55</v>
      </c>
      <c r="BH77" s="170">
        <v>13.47</v>
      </c>
      <c r="BI77" s="116" t="s">
        <v>352</v>
      </c>
      <c r="BJ77" s="173">
        <v>66.666666666666671</v>
      </c>
      <c r="BK77" s="119">
        <v>0.30190622508706227</v>
      </c>
      <c r="BL77" s="162">
        <v>62.241350769740109</v>
      </c>
      <c r="BM77" s="162">
        <v>113.88842906803509</v>
      </c>
      <c r="BN77" s="162">
        <v>84.754179771560999</v>
      </c>
      <c r="BO77" s="60">
        <v>2307</v>
      </c>
      <c r="BP77" s="59">
        <v>0.01</v>
      </c>
      <c r="BQ77" s="180" t="s">
        <v>358</v>
      </c>
      <c r="BR77" s="116" t="s">
        <v>352</v>
      </c>
      <c r="BS77" s="184">
        <v>16.02</v>
      </c>
      <c r="BT77" s="124" t="s">
        <v>355</v>
      </c>
      <c r="BU77" s="131">
        <v>52.65</v>
      </c>
      <c r="BV77" s="54">
        <v>8.5</v>
      </c>
      <c r="BW77" s="177" t="s">
        <v>354</v>
      </c>
      <c r="BX77" s="177" t="s">
        <v>354</v>
      </c>
      <c r="BY77" s="189" t="s">
        <v>355</v>
      </c>
      <c r="BZ77" s="190" t="s">
        <v>359</v>
      </c>
      <c r="CA77" s="190" t="s">
        <v>359</v>
      </c>
      <c r="CB77" s="124" t="s">
        <v>351</v>
      </c>
      <c r="CC77" s="39" t="s">
        <v>351</v>
      </c>
      <c r="CD77" s="199">
        <v>28.84</v>
      </c>
    </row>
    <row r="78" spans="1:82">
      <c r="A78" s="3" t="s">
        <v>452</v>
      </c>
      <c r="B78" s="3" t="s">
        <v>452</v>
      </c>
      <c r="C78" s="27" t="s">
        <v>349</v>
      </c>
      <c r="D78" s="3" t="s">
        <v>453</v>
      </c>
      <c r="E78" s="29">
        <v>12101</v>
      </c>
      <c r="F78" s="6" t="s">
        <v>453</v>
      </c>
      <c r="G78" s="4">
        <v>12101</v>
      </c>
      <c r="H78" s="39">
        <v>302.26</v>
      </c>
      <c r="I78" s="40">
        <v>6.15</v>
      </c>
      <c r="J78" s="41">
        <v>833.51</v>
      </c>
      <c r="K78" s="54">
        <v>6.47</v>
      </c>
      <c r="L78" s="54">
        <v>76.52</v>
      </c>
      <c r="M78" s="57">
        <v>99.11</v>
      </c>
      <c r="N78" s="54">
        <v>11.12</v>
      </c>
      <c r="O78" s="58">
        <v>1058.2</v>
      </c>
      <c r="P78" s="59">
        <v>10.53</v>
      </c>
      <c r="Q78" s="60">
        <v>798.4</v>
      </c>
      <c r="R78" s="61">
        <v>0.8</v>
      </c>
      <c r="S78" s="62">
        <v>674.07</v>
      </c>
      <c r="T78" s="60">
        <v>299</v>
      </c>
      <c r="U78" s="124" t="s">
        <v>351</v>
      </c>
      <c r="V78" s="124" t="s">
        <v>351</v>
      </c>
      <c r="W78" s="124" t="s">
        <v>351</v>
      </c>
      <c r="X78" s="126">
        <v>3.47</v>
      </c>
      <c r="Y78" s="31">
        <v>81.510000000000005</v>
      </c>
      <c r="Z78" s="116" t="s">
        <v>352</v>
      </c>
      <c r="AA78" s="127" t="s">
        <v>351</v>
      </c>
      <c r="AB78" s="124" t="s">
        <v>351</v>
      </c>
      <c r="AC78" s="124" t="s">
        <v>351</v>
      </c>
      <c r="AD78" s="139" t="s">
        <v>351</v>
      </c>
      <c r="AE78" s="127" t="s">
        <v>351</v>
      </c>
      <c r="AF78" s="116" t="s">
        <v>352</v>
      </c>
      <c r="AG78" s="116" t="s">
        <v>352</v>
      </c>
      <c r="AH78" s="116" t="s">
        <v>352</v>
      </c>
      <c r="AI78" s="116" t="s">
        <v>352</v>
      </c>
      <c r="AJ78" s="150">
        <v>4.34</v>
      </c>
      <c r="AK78" s="150">
        <v>499.1</v>
      </c>
      <c r="AL78" s="123" t="s">
        <v>351</v>
      </c>
      <c r="AM78" s="123" t="s">
        <v>351</v>
      </c>
      <c r="AN78" s="122">
        <v>1.2155641677889963</v>
      </c>
      <c r="AO78" s="116" t="s">
        <v>352</v>
      </c>
      <c r="AP78" s="125">
        <v>1.0900000000000001</v>
      </c>
      <c r="AQ78" s="126">
        <v>759.96</v>
      </c>
      <c r="AR78" s="54">
        <v>963.27</v>
      </c>
      <c r="AS78" s="200" t="s">
        <v>351</v>
      </c>
      <c r="AT78" s="116" t="s">
        <v>352</v>
      </c>
      <c r="AU78" s="116" t="s">
        <v>352</v>
      </c>
      <c r="AV78" s="163">
        <v>619.99264976111726</v>
      </c>
      <c r="AW78" s="165">
        <v>20.744603900237255</v>
      </c>
      <c r="AX78" s="164">
        <v>7.02</v>
      </c>
      <c r="AY78" s="134">
        <v>53.43</v>
      </c>
      <c r="AZ78" s="116" t="s">
        <v>352</v>
      </c>
      <c r="BA78" s="57">
        <v>11.32</v>
      </c>
      <c r="BB78" s="60">
        <v>2677</v>
      </c>
      <c r="BC78" s="168">
        <v>5.14</v>
      </c>
      <c r="BD78" s="168">
        <v>1.1399999999999999</v>
      </c>
      <c r="BE78" s="116" t="s">
        <v>352</v>
      </c>
      <c r="BF78" s="116" t="s">
        <v>352</v>
      </c>
      <c r="BG78" s="169">
        <v>4.42</v>
      </c>
      <c r="BH78" s="170">
        <v>7.62</v>
      </c>
      <c r="BI78" s="116" t="s">
        <v>352</v>
      </c>
      <c r="BJ78" s="173">
        <v>66</v>
      </c>
      <c r="BK78" s="119">
        <v>0.30450728705139135</v>
      </c>
      <c r="BL78" s="162">
        <v>45.931948382616746</v>
      </c>
      <c r="BM78" s="162">
        <v>76.16746716046525</v>
      </c>
      <c r="BN78" s="162">
        <v>51.790984318037154</v>
      </c>
      <c r="BO78" s="60">
        <v>2793</v>
      </c>
      <c r="BP78" s="59">
        <v>0</v>
      </c>
      <c r="BQ78" s="126">
        <v>0.27</v>
      </c>
      <c r="BR78" s="116" t="s">
        <v>352</v>
      </c>
      <c r="BS78" s="184">
        <v>9.2100000000000009</v>
      </c>
      <c r="BT78" s="124" t="s">
        <v>353</v>
      </c>
      <c r="BU78" s="131">
        <v>26.67</v>
      </c>
      <c r="BV78" s="54">
        <v>0.33</v>
      </c>
      <c r="BW78" s="189" t="s">
        <v>355</v>
      </c>
      <c r="BX78" s="189" t="s">
        <v>355</v>
      </c>
      <c r="BY78" s="189" t="s">
        <v>353</v>
      </c>
      <c r="BZ78" s="191">
        <v>0</v>
      </c>
      <c r="CA78" s="191">
        <v>0</v>
      </c>
      <c r="CB78" s="124" t="s">
        <v>351</v>
      </c>
      <c r="CC78" s="41">
        <v>580.20000000000005</v>
      </c>
      <c r="CD78" s="199">
        <v>27.51</v>
      </c>
    </row>
    <row r="79" spans="1:82">
      <c r="A79" s="3" t="s">
        <v>454</v>
      </c>
      <c r="B79" s="3" t="s">
        <v>455</v>
      </c>
      <c r="C79" s="27" t="s">
        <v>456</v>
      </c>
      <c r="D79" s="3" t="s">
        <v>456</v>
      </c>
      <c r="E79" s="29">
        <v>13001</v>
      </c>
      <c r="F79" s="3" t="s">
        <v>455</v>
      </c>
      <c r="G79" s="4">
        <v>13101</v>
      </c>
      <c r="H79" s="39">
        <v>355.57</v>
      </c>
      <c r="I79" s="40">
        <v>1.1499999999999999</v>
      </c>
      <c r="J79" s="41">
        <v>850.96</v>
      </c>
      <c r="K79" s="54">
        <v>3.86</v>
      </c>
      <c r="L79" s="54">
        <v>67.739999999999995</v>
      </c>
      <c r="M79" s="57">
        <v>100</v>
      </c>
      <c r="N79" s="54">
        <v>4.6399999999999997</v>
      </c>
      <c r="O79" s="58">
        <v>1136.51</v>
      </c>
      <c r="P79" s="59">
        <v>1.79</v>
      </c>
      <c r="Q79" s="60">
        <v>376.29</v>
      </c>
      <c r="R79" s="61">
        <v>1.24</v>
      </c>
      <c r="S79" s="62">
        <v>600.70000000000005</v>
      </c>
      <c r="T79" s="60">
        <v>158</v>
      </c>
      <c r="U79" s="125">
        <v>16.46</v>
      </c>
      <c r="V79" s="125">
        <v>16.43</v>
      </c>
      <c r="W79" s="125">
        <v>1.27</v>
      </c>
      <c r="X79" s="126">
        <v>11.37</v>
      </c>
      <c r="Y79" s="31">
        <v>98.66</v>
      </c>
      <c r="Z79" s="116" t="s">
        <v>352</v>
      </c>
      <c r="AA79" s="131">
        <v>0.8</v>
      </c>
      <c r="AB79" s="125">
        <v>42.8</v>
      </c>
      <c r="AC79" s="125">
        <v>78</v>
      </c>
      <c r="AD79" s="137">
        <v>60</v>
      </c>
      <c r="AE79" s="141">
        <v>85</v>
      </c>
      <c r="AF79" s="116" t="s">
        <v>352</v>
      </c>
      <c r="AG79" s="116" t="s">
        <v>352</v>
      </c>
      <c r="AH79" s="116" t="s">
        <v>352</v>
      </c>
      <c r="AI79" s="116" t="s">
        <v>352</v>
      </c>
      <c r="AJ79" s="150">
        <v>2.99</v>
      </c>
      <c r="AK79" s="150">
        <v>170.99</v>
      </c>
      <c r="AL79" s="123">
        <v>24.91</v>
      </c>
      <c r="AM79" s="123">
        <v>40.869999999999997</v>
      </c>
      <c r="AN79" s="122">
        <v>1.2262563738603323</v>
      </c>
      <c r="AO79" s="116" t="s">
        <v>352</v>
      </c>
      <c r="AP79" s="125">
        <v>0.02</v>
      </c>
      <c r="AQ79" s="126">
        <v>1090.97</v>
      </c>
      <c r="AR79" s="54">
        <v>1853.48</v>
      </c>
      <c r="AS79" s="200">
        <v>6.7330495509997082E-3</v>
      </c>
      <c r="AT79" s="116" t="s">
        <v>352</v>
      </c>
      <c r="AU79" s="116" t="s">
        <v>352</v>
      </c>
      <c r="AV79" s="163">
        <v>647.62433173797388</v>
      </c>
      <c r="AW79" s="165">
        <v>26.694666196445553</v>
      </c>
      <c r="AX79" s="164">
        <v>4.34</v>
      </c>
      <c r="AY79" s="134">
        <v>38.57</v>
      </c>
      <c r="AZ79" s="116" t="s">
        <v>352</v>
      </c>
      <c r="BA79" s="57">
        <v>9.48</v>
      </c>
      <c r="BB79" s="60">
        <v>14405</v>
      </c>
      <c r="BC79" s="168">
        <v>10.62</v>
      </c>
      <c r="BD79" s="168">
        <v>3.37</v>
      </c>
      <c r="BE79" s="116" t="s">
        <v>352</v>
      </c>
      <c r="BF79" s="116" t="s">
        <v>352</v>
      </c>
      <c r="BG79" s="169">
        <v>5.93</v>
      </c>
      <c r="BH79" s="170">
        <v>11.64</v>
      </c>
      <c r="BI79" s="116" t="s">
        <v>352</v>
      </c>
      <c r="BJ79" s="173">
        <v>52</v>
      </c>
      <c r="BK79" s="119">
        <v>0.41506411431710105</v>
      </c>
      <c r="BL79" s="162">
        <v>274.16028127771898</v>
      </c>
      <c r="BM79" s="162">
        <v>315.49699165357526</v>
      </c>
      <c r="BN79" s="162">
        <v>42.469515779124322</v>
      </c>
      <c r="BO79" s="60">
        <v>1232</v>
      </c>
      <c r="BP79" s="59">
        <v>0.03</v>
      </c>
      <c r="BQ79" s="180" t="s">
        <v>358</v>
      </c>
      <c r="BR79" s="116" t="s">
        <v>352</v>
      </c>
      <c r="BS79" s="184">
        <v>26.66</v>
      </c>
      <c r="BT79" s="124" t="s">
        <v>353</v>
      </c>
      <c r="BU79" s="131">
        <v>2.54</v>
      </c>
      <c r="BV79" s="54">
        <v>3.87</v>
      </c>
      <c r="BW79" s="189" t="s">
        <v>355</v>
      </c>
      <c r="BX79" s="189" t="s">
        <v>355</v>
      </c>
      <c r="BY79" s="189" t="s">
        <v>353</v>
      </c>
      <c r="BZ79" s="194">
        <v>0</v>
      </c>
      <c r="CA79" s="194">
        <v>0</v>
      </c>
      <c r="CB79" s="124" t="s">
        <v>353</v>
      </c>
      <c r="CC79" s="41">
        <v>251.5</v>
      </c>
      <c r="CD79" s="199">
        <v>22.31</v>
      </c>
    </row>
    <row r="80" spans="1:82">
      <c r="A80" s="3" t="s">
        <v>454</v>
      </c>
      <c r="B80" s="3" t="s">
        <v>455</v>
      </c>
      <c r="C80" s="27" t="s">
        <v>456</v>
      </c>
      <c r="D80" s="3" t="s">
        <v>456</v>
      </c>
      <c r="E80" s="29">
        <v>13001</v>
      </c>
      <c r="F80" s="3" t="s">
        <v>457</v>
      </c>
      <c r="G80" s="4">
        <v>13102</v>
      </c>
      <c r="H80" s="39">
        <v>241.34</v>
      </c>
      <c r="I80" s="40">
        <v>4.42</v>
      </c>
      <c r="J80" s="41">
        <v>804.34</v>
      </c>
      <c r="K80" s="54">
        <v>10.8</v>
      </c>
      <c r="L80" s="54">
        <v>85.57</v>
      </c>
      <c r="M80" s="57">
        <v>100</v>
      </c>
      <c r="N80" s="54">
        <v>14.58</v>
      </c>
      <c r="O80" s="58">
        <v>1158.1099999999999</v>
      </c>
      <c r="P80" s="59">
        <v>7.93</v>
      </c>
      <c r="Q80" s="60">
        <v>722.04</v>
      </c>
      <c r="R80" s="61">
        <v>0.72</v>
      </c>
      <c r="S80" s="62">
        <v>533.76</v>
      </c>
      <c r="T80" s="60">
        <v>252</v>
      </c>
      <c r="U80" s="125">
        <v>5.86</v>
      </c>
      <c r="V80" s="125">
        <v>5.79</v>
      </c>
      <c r="W80" s="134">
        <v>0.22</v>
      </c>
      <c r="X80" s="126">
        <v>3.11</v>
      </c>
      <c r="Y80" s="31">
        <v>37.67</v>
      </c>
      <c r="Z80" s="116" t="s">
        <v>352</v>
      </c>
      <c r="AA80" s="131">
        <v>1.1499999999999999</v>
      </c>
      <c r="AB80" s="125">
        <v>31</v>
      </c>
      <c r="AC80" s="125">
        <v>68.599999999999994</v>
      </c>
      <c r="AD80" s="138">
        <v>75</v>
      </c>
      <c r="AE80" s="140">
        <v>90</v>
      </c>
      <c r="AF80" s="116" t="s">
        <v>352</v>
      </c>
      <c r="AG80" s="116" t="s">
        <v>352</v>
      </c>
      <c r="AH80" s="116" t="s">
        <v>352</v>
      </c>
      <c r="AI80" s="116" t="s">
        <v>352</v>
      </c>
      <c r="AJ80" s="150">
        <v>13.88</v>
      </c>
      <c r="AK80" s="150">
        <v>427.99</v>
      </c>
      <c r="AL80" s="123">
        <v>14.82</v>
      </c>
      <c r="AM80" s="123">
        <v>38.520000000000003</v>
      </c>
      <c r="AN80" s="122">
        <v>1.3849733232365535</v>
      </c>
      <c r="AO80" s="116" t="s">
        <v>352</v>
      </c>
      <c r="AP80" s="125">
        <v>0</v>
      </c>
      <c r="AQ80" s="126">
        <v>710.41</v>
      </c>
      <c r="AR80" s="54">
        <v>1426.67</v>
      </c>
      <c r="AS80" s="200">
        <v>1.0269656976979145E-2</v>
      </c>
      <c r="AT80" s="116" t="s">
        <v>352</v>
      </c>
      <c r="AU80" s="116" t="s">
        <v>352</v>
      </c>
      <c r="AV80" s="163">
        <v>520.80953158152442</v>
      </c>
      <c r="AW80" s="165">
        <v>14.76443303142821</v>
      </c>
      <c r="AX80" s="164">
        <v>4.58</v>
      </c>
      <c r="AY80" s="134">
        <v>41.53</v>
      </c>
      <c r="AZ80" s="116" t="s">
        <v>352</v>
      </c>
      <c r="BA80" s="57">
        <v>9.5399999999999991</v>
      </c>
      <c r="BB80" s="60">
        <v>1847</v>
      </c>
      <c r="BC80" s="168">
        <v>8.6999999999999993</v>
      </c>
      <c r="BD80" s="168">
        <v>2.35</v>
      </c>
      <c r="BE80" s="116" t="s">
        <v>352</v>
      </c>
      <c r="BF80" s="116" t="s">
        <v>352</v>
      </c>
      <c r="BG80" s="169">
        <v>8.11</v>
      </c>
      <c r="BH80" s="170">
        <v>19.66</v>
      </c>
      <c r="BI80" s="116" t="s">
        <v>352</v>
      </c>
      <c r="BJ80" s="173">
        <v>60</v>
      </c>
      <c r="BK80" s="119">
        <v>0.31188394227582666</v>
      </c>
      <c r="BL80" s="162">
        <v>151.87794241824849</v>
      </c>
      <c r="BM80" s="162">
        <v>243.37485974713999</v>
      </c>
      <c r="BN80" s="162">
        <v>75.302772668910706</v>
      </c>
      <c r="BO80" s="60">
        <v>1790</v>
      </c>
      <c r="BP80" s="59">
        <v>0.25</v>
      </c>
      <c r="BQ80" s="180" t="s">
        <v>358</v>
      </c>
      <c r="BR80" s="116" t="s">
        <v>352</v>
      </c>
      <c r="BS80" s="184">
        <v>52.38</v>
      </c>
      <c r="BT80" s="124" t="s">
        <v>355</v>
      </c>
      <c r="BU80" s="131">
        <v>17.989999999999998</v>
      </c>
      <c r="BV80" s="54">
        <v>0</v>
      </c>
      <c r="BW80" s="177" t="s">
        <v>354</v>
      </c>
      <c r="BX80" s="177" t="s">
        <v>354</v>
      </c>
      <c r="BY80" s="189" t="s">
        <v>355</v>
      </c>
      <c r="BZ80" s="190" t="s">
        <v>359</v>
      </c>
      <c r="CA80" s="190" t="s">
        <v>359</v>
      </c>
      <c r="CB80" s="124" t="s">
        <v>355</v>
      </c>
      <c r="CC80" s="41">
        <v>345.3</v>
      </c>
      <c r="CD80" s="199">
        <v>32.08</v>
      </c>
    </row>
    <row r="81" spans="1:82">
      <c r="A81" s="3" t="s">
        <v>454</v>
      </c>
      <c r="B81" s="3" t="s">
        <v>455</v>
      </c>
      <c r="C81" s="27" t="s">
        <v>456</v>
      </c>
      <c r="D81" s="3" t="s">
        <v>456</v>
      </c>
      <c r="E81" s="29">
        <v>13001</v>
      </c>
      <c r="F81" s="3" t="s">
        <v>458</v>
      </c>
      <c r="G81" s="4">
        <v>13103</v>
      </c>
      <c r="H81" s="39">
        <v>207.37</v>
      </c>
      <c r="I81" s="40">
        <v>2.35</v>
      </c>
      <c r="J81" s="41">
        <v>697.24</v>
      </c>
      <c r="K81" s="54">
        <v>3.73</v>
      </c>
      <c r="L81" s="54">
        <v>93.83</v>
      </c>
      <c r="M81" s="57">
        <v>100</v>
      </c>
      <c r="N81" s="54">
        <v>5.94</v>
      </c>
      <c r="O81" s="58">
        <v>745.28</v>
      </c>
      <c r="P81" s="59">
        <v>8.67</v>
      </c>
      <c r="Q81" s="60">
        <v>360.13</v>
      </c>
      <c r="R81" s="61">
        <v>0.72</v>
      </c>
      <c r="S81" s="62">
        <v>421.25</v>
      </c>
      <c r="T81" s="60">
        <v>190</v>
      </c>
      <c r="U81" s="125">
        <v>7.69</v>
      </c>
      <c r="V81" s="125">
        <v>7.67</v>
      </c>
      <c r="W81" s="134">
        <v>0.16</v>
      </c>
      <c r="X81" s="126">
        <v>1.2</v>
      </c>
      <c r="Y81" s="31">
        <v>45.13</v>
      </c>
      <c r="Z81" s="116" t="s">
        <v>352</v>
      </c>
      <c r="AA81" s="131">
        <v>1.55</v>
      </c>
      <c r="AB81" s="125">
        <v>27.9</v>
      </c>
      <c r="AC81" s="125">
        <v>83.8</v>
      </c>
      <c r="AD81" s="138">
        <v>85</v>
      </c>
      <c r="AE81" s="141">
        <v>110</v>
      </c>
      <c r="AF81" s="116" t="s">
        <v>352</v>
      </c>
      <c r="AG81" s="116" t="s">
        <v>352</v>
      </c>
      <c r="AH81" s="116" t="s">
        <v>352</v>
      </c>
      <c r="AI81" s="116" t="s">
        <v>352</v>
      </c>
      <c r="AJ81" s="150">
        <v>2.85</v>
      </c>
      <c r="AK81" s="150">
        <v>69.819999999999993</v>
      </c>
      <c r="AL81" s="123">
        <v>6.67</v>
      </c>
      <c r="AM81" s="123">
        <v>13.12</v>
      </c>
      <c r="AN81" s="122">
        <v>1.3335070611067923</v>
      </c>
      <c r="AO81" s="116" t="s">
        <v>352</v>
      </c>
      <c r="AP81" s="123" t="s">
        <v>351</v>
      </c>
      <c r="AQ81" s="126">
        <v>627.73</v>
      </c>
      <c r="AR81" s="54">
        <v>80.180000000000007</v>
      </c>
      <c r="AS81" s="200" t="s">
        <v>351</v>
      </c>
      <c r="AT81" s="116" t="s">
        <v>352</v>
      </c>
      <c r="AU81" s="116" t="s">
        <v>352</v>
      </c>
      <c r="AV81" s="163">
        <v>225.19033694249057</v>
      </c>
      <c r="AW81" s="165">
        <v>6.0902710982864878</v>
      </c>
      <c r="AX81" s="164">
        <v>10.07</v>
      </c>
      <c r="AY81" s="134">
        <v>28.76</v>
      </c>
      <c r="AZ81" s="116" t="s">
        <v>352</v>
      </c>
      <c r="BA81" s="57">
        <v>17.489999999999998</v>
      </c>
      <c r="BB81" s="60">
        <v>4872</v>
      </c>
      <c r="BC81" s="168">
        <v>12.84</v>
      </c>
      <c r="BD81" s="168">
        <v>4.4800000000000004</v>
      </c>
      <c r="BE81" s="116" t="s">
        <v>352</v>
      </c>
      <c r="BF81" s="116" t="s">
        <v>352</v>
      </c>
      <c r="BG81" s="169">
        <v>12.07</v>
      </c>
      <c r="BH81" s="170">
        <v>35.56</v>
      </c>
      <c r="BI81" s="116" t="s">
        <v>352</v>
      </c>
      <c r="BJ81" s="173">
        <v>24.137931034482758</v>
      </c>
      <c r="BK81" s="119">
        <v>0.26431505203488564</v>
      </c>
      <c r="BL81" s="162">
        <v>104.73442342631185</v>
      </c>
      <c r="BM81" s="162">
        <v>66.331801503330837</v>
      </c>
      <c r="BN81" s="162">
        <v>70.962915464358232</v>
      </c>
      <c r="BO81" s="60">
        <v>1410</v>
      </c>
      <c r="BP81" s="59">
        <v>0.01</v>
      </c>
      <c r="BQ81" s="180" t="s">
        <v>358</v>
      </c>
      <c r="BR81" s="116" t="s">
        <v>352</v>
      </c>
      <c r="BS81" s="184">
        <v>1.1499999999999999</v>
      </c>
      <c r="BT81" s="124" t="s">
        <v>355</v>
      </c>
      <c r="BU81" s="131">
        <v>78.23</v>
      </c>
      <c r="BV81" s="54">
        <v>0</v>
      </c>
      <c r="BW81" s="189" t="s">
        <v>353</v>
      </c>
      <c r="BX81" s="189" t="s">
        <v>355</v>
      </c>
      <c r="BY81" s="189" t="s">
        <v>355</v>
      </c>
      <c r="BZ81" s="190" t="s">
        <v>359</v>
      </c>
      <c r="CA81" s="190" t="s">
        <v>359</v>
      </c>
      <c r="CB81" s="124" t="s">
        <v>351</v>
      </c>
      <c r="CC81" s="39" t="s">
        <v>351</v>
      </c>
      <c r="CD81" s="199">
        <v>31.38</v>
      </c>
    </row>
    <row r="82" spans="1:82">
      <c r="A82" s="3" t="s">
        <v>454</v>
      </c>
      <c r="B82" s="3" t="s">
        <v>455</v>
      </c>
      <c r="C82" s="27" t="s">
        <v>456</v>
      </c>
      <c r="D82" s="3" t="s">
        <v>456</v>
      </c>
      <c r="E82" s="29">
        <v>13001</v>
      </c>
      <c r="F82" s="3" t="s">
        <v>459</v>
      </c>
      <c r="G82" s="4">
        <v>13104</v>
      </c>
      <c r="H82" s="39">
        <v>198.72</v>
      </c>
      <c r="I82" s="40">
        <v>2.86</v>
      </c>
      <c r="J82" s="41">
        <v>850.04</v>
      </c>
      <c r="K82" s="54">
        <v>0.61</v>
      </c>
      <c r="L82" s="54">
        <v>93.83</v>
      </c>
      <c r="M82" s="57">
        <v>100</v>
      </c>
      <c r="N82" s="54">
        <v>3.3</v>
      </c>
      <c r="O82" s="58">
        <v>692.77</v>
      </c>
      <c r="P82" s="59">
        <v>11.89</v>
      </c>
      <c r="Q82" s="60">
        <v>365.41</v>
      </c>
      <c r="R82" s="61">
        <v>0.97</v>
      </c>
      <c r="S82" s="62">
        <v>545.70000000000005</v>
      </c>
      <c r="T82" s="60">
        <v>190</v>
      </c>
      <c r="U82" s="125">
        <v>7.94</v>
      </c>
      <c r="V82" s="125">
        <v>7.93</v>
      </c>
      <c r="W82" s="134">
        <v>0.2</v>
      </c>
      <c r="X82" s="126">
        <v>1.02</v>
      </c>
      <c r="Y82" s="31">
        <v>46.99</v>
      </c>
      <c r="Z82" s="116" t="s">
        <v>352</v>
      </c>
      <c r="AA82" s="131">
        <v>1.27</v>
      </c>
      <c r="AB82" s="125">
        <v>40.799999999999997</v>
      </c>
      <c r="AC82" s="125">
        <v>78.2</v>
      </c>
      <c r="AD82" s="138">
        <v>75</v>
      </c>
      <c r="AE82" s="141">
        <v>80</v>
      </c>
      <c r="AF82" s="116" t="s">
        <v>352</v>
      </c>
      <c r="AG82" s="116" t="s">
        <v>352</v>
      </c>
      <c r="AH82" s="116" t="s">
        <v>352</v>
      </c>
      <c r="AI82" s="116" t="s">
        <v>352</v>
      </c>
      <c r="AJ82" s="150">
        <v>3.7</v>
      </c>
      <c r="AK82" s="150">
        <v>101.41</v>
      </c>
      <c r="AL82" s="123">
        <v>13.07</v>
      </c>
      <c r="AM82" s="123">
        <v>24.1</v>
      </c>
      <c r="AN82" s="122">
        <v>1.3260607365861687</v>
      </c>
      <c r="AO82" s="116" t="s">
        <v>352</v>
      </c>
      <c r="AP82" s="123" t="s">
        <v>351</v>
      </c>
      <c r="AQ82" s="126">
        <v>695.72</v>
      </c>
      <c r="AR82" s="54">
        <v>407.81</v>
      </c>
      <c r="AS82" s="200" t="s">
        <v>351</v>
      </c>
      <c r="AT82" s="116" t="s">
        <v>352</v>
      </c>
      <c r="AU82" s="116" t="s">
        <v>352</v>
      </c>
      <c r="AV82" s="163">
        <v>518.55585325092181</v>
      </c>
      <c r="AW82" s="165">
        <v>14.469389114649257</v>
      </c>
      <c r="AX82" s="164">
        <v>14.6</v>
      </c>
      <c r="AY82" s="134">
        <v>16.28</v>
      </c>
      <c r="AZ82" s="116" t="s">
        <v>352</v>
      </c>
      <c r="BA82" s="57">
        <v>16.670000000000002</v>
      </c>
      <c r="BB82" s="60">
        <v>4409</v>
      </c>
      <c r="BC82" s="168">
        <v>10.44</v>
      </c>
      <c r="BD82" s="168">
        <v>4.46</v>
      </c>
      <c r="BE82" s="116" t="s">
        <v>352</v>
      </c>
      <c r="BF82" s="116" t="s">
        <v>352</v>
      </c>
      <c r="BG82" s="169">
        <v>10.17</v>
      </c>
      <c r="BH82" s="170">
        <v>21.62</v>
      </c>
      <c r="BI82" s="116" t="s">
        <v>352</v>
      </c>
      <c r="BJ82" s="173">
        <v>65</v>
      </c>
      <c r="BK82" s="119">
        <v>0.19662379490237517</v>
      </c>
      <c r="BL82" s="162">
        <v>142.11800235382941</v>
      </c>
      <c r="BM82" s="162">
        <v>92.672780701559589</v>
      </c>
      <c r="BN82" s="162">
        <v>56.995240527317002</v>
      </c>
      <c r="BO82" s="60">
        <v>1830</v>
      </c>
      <c r="BP82" s="59">
        <v>0</v>
      </c>
      <c r="BQ82" s="180" t="s">
        <v>358</v>
      </c>
      <c r="BR82" s="116" t="s">
        <v>352</v>
      </c>
      <c r="BS82" s="184">
        <v>21.29</v>
      </c>
      <c r="BT82" s="124" t="s">
        <v>353</v>
      </c>
      <c r="BU82" s="131">
        <v>42.49</v>
      </c>
      <c r="BV82" s="54">
        <v>0</v>
      </c>
      <c r="BW82" s="177" t="s">
        <v>354</v>
      </c>
      <c r="BX82" s="177" t="s">
        <v>354</v>
      </c>
      <c r="BY82" s="189" t="s">
        <v>353</v>
      </c>
      <c r="BZ82" s="190" t="s">
        <v>359</v>
      </c>
      <c r="CA82" s="190" t="s">
        <v>359</v>
      </c>
      <c r="CB82" s="124" t="s">
        <v>351</v>
      </c>
      <c r="CC82" s="39" t="s">
        <v>351</v>
      </c>
      <c r="CD82" s="199">
        <v>25.87</v>
      </c>
    </row>
    <row r="83" spans="1:82">
      <c r="A83" s="3" t="s">
        <v>454</v>
      </c>
      <c r="B83" s="3" t="s">
        <v>455</v>
      </c>
      <c r="C83" s="27" t="s">
        <v>456</v>
      </c>
      <c r="D83" s="3" t="s">
        <v>456</v>
      </c>
      <c r="E83" s="29">
        <v>13001</v>
      </c>
      <c r="F83" s="3" t="s">
        <v>460</v>
      </c>
      <c r="G83" s="4">
        <v>13105</v>
      </c>
      <c r="H83" s="39">
        <v>260.57</v>
      </c>
      <c r="I83" s="40">
        <v>2.16</v>
      </c>
      <c r="J83" s="41">
        <v>1390.02</v>
      </c>
      <c r="K83" s="54">
        <v>0.31</v>
      </c>
      <c r="L83" s="54">
        <v>79.83</v>
      </c>
      <c r="M83" s="57">
        <v>98.99</v>
      </c>
      <c r="N83" s="54">
        <v>2.0299999999999998</v>
      </c>
      <c r="O83" s="58">
        <v>708.32</v>
      </c>
      <c r="P83" s="59">
        <v>19.829999999999998</v>
      </c>
      <c r="Q83" s="60">
        <v>379.76</v>
      </c>
      <c r="R83" s="61">
        <v>1.03</v>
      </c>
      <c r="S83" s="62">
        <v>435.52</v>
      </c>
      <c r="T83" s="60">
        <v>211</v>
      </c>
      <c r="U83" s="125">
        <v>8.23</v>
      </c>
      <c r="V83" s="125">
        <v>8.23</v>
      </c>
      <c r="W83" s="134">
        <v>0.48</v>
      </c>
      <c r="X83" s="126">
        <v>2.09</v>
      </c>
      <c r="Y83" s="31">
        <v>73.760000000000005</v>
      </c>
      <c r="Z83" s="116" t="s">
        <v>352</v>
      </c>
      <c r="AA83" s="131">
        <v>2</v>
      </c>
      <c r="AB83" s="125">
        <v>21.4</v>
      </c>
      <c r="AC83" s="125">
        <v>78.099999999999994</v>
      </c>
      <c r="AD83" s="137">
        <v>90</v>
      </c>
      <c r="AE83" s="140">
        <v>105</v>
      </c>
      <c r="AF83" s="116" t="s">
        <v>352</v>
      </c>
      <c r="AG83" s="116" t="s">
        <v>352</v>
      </c>
      <c r="AH83" s="116" t="s">
        <v>352</v>
      </c>
      <c r="AI83" s="116" t="s">
        <v>352</v>
      </c>
      <c r="AJ83" s="150">
        <v>3.51</v>
      </c>
      <c r="AK83" s="150">
        <v>239.14</v>
      </c>
      <c r="AL83" s="123">
        <v>6.21</v>
      </c>
      <c r="AM83" s="123">
        <v>10.89</v>
      </c>
      <c r="AN83" s="122">
        <v>1.3097158138155034</v>
      </c>
      <c r="AO83" s="116" t="s">
        <v>352</v>
      </c>
      <c r="AP83" s="123" t="s">
        <v>351</v>
      </c>
      <c r="AQ83" s="126">
        <v>624.37</v>
      </c>
      <c r="AR83" s="54">
        <v>166.6</v>
      </c>
      <c r="AS83" s="200" t="s">
        <v>351</v>
      </c>
      <c r="AT83" s="116" t="s">
        <v>352</v>
      </c>
      <c r="AU83" s="116" t="s">
        <v>352</v>
      </c>
      <c r="AV83" s="163">
        <v>451.45519503583142</v>
      </c>
      <c r="AW83" s="165">
        <v>12.633893072641378</v>
      </c>
      <c r="AX83" s="164">
        <v>11.78</v>
      </c>
      <c r="AY83" s="134">
        <v>19.809999999999999</v>
      </c>
      <c r="AZ83" s="116" t="s">
        <v>352</v>
      </c>
      <c r="BA83" s="57">
        <v>12.95</v>
      </c>
      <c r="BB83" s="60">
        <v>4084</v>
      </c>
      <c r="BC83" s="168">
        <v>10.220000000000001</v>
      </c>
      <c r="BD83" s="168">
        <v>2.61</v>
      </c>
      <c r="BE83" s="116" t="s">
        <v>352</v>
      </c>
      <c r="BF83" s="116" t="s">
        <v>352</v>
      </c>
      <c r="BG83" s="169">
        <v>14.54</v>
      </c>
      <c r="BH83" s="170">
        <v>27.04</v>
      </c>
      <c r="BI83" s="116" t="s">
        <v>352</v>
      </c>
      <c r="BJ83" s="173">
        <v>53.488372093023258</v>
      </c>
      <c r="BK83" s="119">
        <v>0.33678679377557769</v>
      </c>
      <c r="BL83" s="162">
        <v>145.41138500397585</v>
      </c>
      <c r="BM83" s="162">
        <v>114.48150053791105</v>
      </c>
      <c r="BN83" s="162">
        <v>61.099677253379483</v>
      </c>
      <c r="BO83" s="60">
        <v>1436</v>
      </c>
      <c r="BP83" s="59">
        <v>0.08</v>
      </c>
      <c r="BQ83" s="180" t="s">
        <v>358</v>
      </c>
      <c r="BR83" s="116" t="s">
        <v>352</v>
      </c>
      <c r="BS83" s="184">
        <v>52.58</v>
      </c>
      <c r="BT83" s="124" t="s">
        <v>355</v>
      </c>
      <c r="BU83" s="131">
        <v>70.290000000000006</v>
      </c>
      <c r="BV83" s="54">
        <v>0</v>
      </c>
      <c r="BW83" s="177" t="s">
        <v>354</v>
      </c>
      <c r="BX83" s="177" t="s">
        <v>354</v>
      </c>
      <c r="BY83" s="189" t="s">
        <v>355</v>
      </c>
      <c r="BZ83" s="190" t="s">
        <v>359</v>
      </c>
      <c r="CA83" s="190" t="s">
        <v>359</v>
      </c>
      <c r="CB83" s="124" t="s">
        <v>351</v>
      </c>
      <c r="CC83" s="39" t="s">
        <v>351</v>
      </c>
      <c r="CD83" s="199">
        <v>23.42</v>
      </c>
    </row>
    <row r="84" spans="1:82">
      <c r="A84" s="3" t="s">
        <v>454</v>
      </c>
      <c r="B84" s="3" t="s">
        <v>455</v>
      </c>
      <c r="C84" s="27" t="s">
        <v>456</v>
      </c>
      <c r="D84" s="3" t="s">
        <v>456</v>
      </c>
      <c r="E84" s="29">
        <v>13001</v>
      </c>
      <c r="F84" s="3" t="s">
        <v>461</v>
      </c>
      <c r="G84" s="4">
        <v>13106</v>
      </c>
      <c r="H84" s="39">
        <v>271.98</v>
      </c>
      <c r="I84" s="40">
        <v>2.72</v>
      </c>
      <c r="J84" s="41">
        <v>904.07</v>
      </c>
      <c r="K84" s="54">
        <v>1.68</v>
      </c>
      <c r="L84" s="54">
        <v>77.599999999999994</v>
      </c>
      <c r="M84" s="57">
        <v>100</v>
      </c>
      <c r="N84" s="54">
        <v>3.79</v>
      </c>
      <c r="O84" s="58">
        <v>1027.82</v>
      </c>
      <c r="P84" s="59">
        <v>5.12</v>
      </c>
      <c r="Q84" s="60">
        <v>478.78</v>
      </c>
      <c r="R84" s="61">
        <v>1.07</v>
      </c>
      <c r="S84" s="62">
        <v>614.04999999999995</v>
      </c>
      <c r="T84" s="60">
        <v>213</v>
      </c>
      <c r="U84" s="125">
        <v>9.16</v>
      </c>
      <c r="V84" s="125">
        <v>9.1</v>
      </c>
      <c r="W84" s="134">
        <v>0.72</v>
      </c>
      <c r="X84" s="126">
        <v>2.79</v>
      </c>
      <c r="Y84" s="31">
        <v>77.099999999999994</v>
      </c>
      <c r="Z84" s="116" t="s">
        <v>352</v>
      </c>
      <c r="AA84" s="131">
        <v>1.25</v>
      </c>
      <c r="AB84" s="125">
        <v>30.6</v>
      </c>
      <c r="AC84" s="125">
        <v>71.8</v>
      </c>
      <c r="AD84" s="138">
        <v>75</v>
      </c>
      <c r="AE84" s="141">
        <v>100</v>
      </c>
      <c r="AF84" s="116" t="s">
        <v>352</v>
      </c>
      <c r="AG84" s="116" t="s">
        <v>352</v>
      </c>
      <c r="AH84" s="116" t="s">
        <v>352</v>
      </c>
      <c r="AI84" s="116" t="s">
        <v>352</v>
      </c>
      <c r="AJ84" s="150">
        <v>2.41</v>
      </c>
      <c r="AK84" s="150">
        <v>162.47999999999999</v>
      </c>
      <c r="AL84" s="123">
        <v>12.14</v>
      </c>
      <c r="AM84" s="123">
        <v>30.44</v>
      </c>
      <c r="AN84" s="122">
        <v>1.1960973074765171</v>
      </c>
      <c r="AO84" s="116" t="s">
        <v>352</v>
      </c>
      <c r="AP84" s="125">
        <v>1.68</v>
      </c>
      <c r="AQ84" s="126">
        <v>756.08</v>
      </c>
      <c r="AR84" s="54">
        <v>775.68</v>
      </c>
      <c r="AS84" s="200">
        <v>5.131598206595824E-3</v>
      </c>
      <c r="AT84" s="116" t="s">
        <v>352</v>
      </c>
      <c r="AU84" s="116" t="s">
        <v>352</v>
      </c>
      <c r="AV84" s="163">
        <v>559.68124140039754</v>
      </c>
      <c r="AW84" s="165">
        <v>17.624297423182927</v>
      </c>
      <c r="AX84" s="164">
        <v>10.49</v>
      </c>
      <c r="AY84" s="134">
        <v>21.42</v>
      </c>
      <c r="AZ84" s="116" t="s">
        <v>352</v>
      </c>
      <c r="BA84" s="57">
        <v>13.14</v>
      </c>
      <c r="BB84" s="60">
        <v>5574</v>
      </c>
      <c r="BC84" s="168">
        <v>11.87</v>
      </c>
      <c r="BD84" s="168">
        <v>4.2</v>
      </c>
      <c r="BE84" s="116" t="s">
        <v>352</v>
      </c>
      <c r="BF84" s="116" t="s">
        <v>352</v>
      </c>
      <c r="BG84" s="169">
        <v>6.16</v>
      </c>
      <c r="BH84" s="170">
        <v>14.49</v>
      </c>
      <c r="BI84" s="116" t="s">
        <v>352</v>
      </c>
      <c r="BJ84" s="173">
        <v>58.974358974358971</v>
      </c>
      <c r="BK84" s="119">
        <v>0.3841088527982362</v>
      </c>
      <c r="BL84" s="162">
        <v>225.72724975026176</v>
      </c>
      <c r="BM84" s="162">
        <v>201.53573964639475</v>
      </c>
      <c r="BN84" s="162">
        <v>52.174227015056509</v>
      </c>
      <c r="BO84" s="60">
        <v>1302</v>
      </c>
      <c r="BP84" s="59">
        <v>0.05</v>
      </c>
      <c r="BQ84" s="180" t="s">
        <v>358</v>
      </c>
      <c r="BR84" s="116" t="s">
        <v>352</v>
      </c>
      <c r="BS84" s="184">
        <v>6.79</v>
      </c>
      <c r="BT84" s="124" t="s">
        <v>355</v>
      </c>
      <c r="BU84" s="131">
        <v>14.39</v>
      </c>
      <c r="BV84" s="54">
        <v>0</v>
      </c>
      <c r="BW84" s="189" t="s">
        <v>355</v>
      </c>
      <c r="BX84" s="189" t="s">
        <v>355</v>
      </c>
      <c r="BY84" s="189" t="s">
        <v>355</v>
      </c>
      <c r="BZ84" s="191">
        <v>0</v>
      </c>
      <c r="CA84" s="191">
        <v>0</v>
      </c>
      <c r="CB84" s="124" t="s">
        <v>355</v>
      </c>
      <c r="CC84" s="41">
        <v>631.1</v>
      </c>
      <c r="CD84" s="199">
        <v>26.24</v>
      </c>
    </row>
    <row r="85" spans="1:82">
      <c r="A85" s="3" t="s">
        <v>454</v>
      </c>
      <c r="B85" s="3" t="s">
        <v>455</v>
      </c>
      <c r="C85" s="27" t="s">
        <v>456</v>
      </c>
      <c r="D85" s="3" t="s">
        <v>456</v>
      </c>
      <c r="E85" s="29">
        <v>13001</v>
      </c>
      <c r="F85" s="3" t="s">
        <v>462</v>
      </c>
      <c r="G85" s="4">
        <v>13107</v>
      </c>
      <c r="H85" s="39">
        <v>264.33</v>
      </c>
      <c r="I85" s="40">
        <v>3.56</v>
      </c>
      <c r="J85" s="41">
        <v>2063.77</v>
      </c>
      <c r="K85" s="54">
        <v>9.91</v>
      </c>
      <c r="L85" s="54">
        <v>85.38</v>
      </c>
      <c r="M85" s="57">
        <v>78.12</v>
      </c>
      <c r="N85" s="54">
        <v>10.78</v>
      </c>
      <c r="O85" s="58">
        <v>1279.7</v>
      </c>
      <c r="P85" s="59">
        <v>7.31</v>
      </c>
      <c r="Q85" s="60">
        <v>1325.37</v>
      </c>
      <c r="R85" s="61">
        <v>0.35</v>
      </c>
      <c r="S85" s="62">
        <v>1345.66</v>
      </c>
      <c r="T85" s="60">
        <v>372</v>
      </c>
      <c r="U85" s="125">
        <v>4.1100000000000003</v>
      </c>
      <c r="V85" s="125">
        <v>4.08</v>
      </c>
      <c r="W85" s="134">
        <v>0.03</v>
      </c>
      <c r="X85" s="126">
        <v>0.62</v>
      </c>
      <c r="Y85" s="31">
        <v>40.700000000000003</v>
      </c>
      <c r="Z85" s="116" t="s">
        <v>352</v>
      </c>
      <c r="AA85" s="131">
        <v>1.17</v>
      </c>
      <c r="AB85" s="125">
        <v>22.2</v>
      </c>
      <c r="AC85" s="125">
        <v>63.5</v>
      </c>
      <c r="AD85" s="137">
        <v>70</v>
      </c>
      <c r="AE85" s="140">
        <v>90</v>
      </c>
      <c r="AF85" s="116" t="s">
        <v>352</v>
      </c>
      <c r="AG85" s="116" t="s">
        <v>352</v>
      </c>
      <c r="AH85" s="116" t="s">
        <v>352</v>
      </c>
      <c r="AI85" s="116" t="s">
        <v>352</v>
      </c>
      <c r="AJ85" s="150">
        <v>0.94</v>
      </c>
      <c r="AK85" s="150">
        <v>201.49</v>
      </c>
      <c r="AL85" s="123">
        <v>8.3800000000000008</v>
      </c>
      <c r="AM85" s="123">
        <v>12.35</v>
      </c>
      <c r="AN85" s="122">
        <v>1.3652157547726194</v>
      </c>
      <c r="AO85" s="116" t="s">
        <v>352</v>
      </c>
      <c r="AP85" s="125">
        <v>0</v>
      </c>
      <c r="AQ85" s="126">
        <v>842.7</v>
      </c>
      <c r="AR85" s="54">
        <v>1397.71</v>
      </c>
      <c r="AS85" s="200">
        <v>2.353637525746469E-2</v>
      </c>
      <c r="AT85" s="116" t="s">
        <v>352</v>
      </c>
      <c r="AU85" s="116" t="s">
        <v>352</v>
      </c>
      <c r="AV85" s="163">
        <v>615.60553633218001</v>
      </c>
      <c r="AW85" s="165">
        <v>16.672914362828706</v>
      </c>
      <c r="AX85" s="164">
        <v>15.91</v>
      </c>
      <c r="AY85" s="134">
        <v>44.94</v>
      </c>
      <c r="AZ85" s="116" t="s">
        <v>352</v>
      </c>
      <c r="BA85" s="57">
        <v>12.76</v>
      </c>
      <c r="BB85" s="60">
        <v>2331</v>
      </c>
      <c r="BC85" s="168">
        <v>8.08</v>
      </c>
      <c r="BD85" s="168">
        <v>2.64</v>
      </c>
      <c r="BE85" s="116" t="s">
        <v>352</v>
      </c>
      <c r="BF85" s="116" t="s">
        <v>352</v>
      </c>
      <c r="BG85" s="169">
        <v>6.11</v>
      </c>
      <c r="BH85" s="170">
        <v>23.83</v>
      </c>
      <c r="BI85" s="116" t="s">
        <v>352</v>
      </c>
      <c r="BJ85" s="173">
        <v>15</v>
      </c>
      <c r="BK85" s="119">
        <v>0.64043066702812146</v>
      </c>
      <c r="BL85" s="162">
        <v>109.45963675894514</v>
      </c>
      <c r="BM85" s="162">
        <v>170.09352801154574</v>
      </c>
      <c r="BN85" s="162">
        <v>57.166419882668265</v>
      </c>
      <c r="BO85" s="60">
        <v>2488</v>
      </c>
      <c r="BP85" s="59">
        <v>0.18</v>
      </c>
      <c r="BQ85" s="180" t="s">
        <v>358</v>
      </c>
      <c r="BR85" s="116" t="s">
        <v>352</v>
      </c>
      <c r="BS85" s="184">
        <v>35.24</v>
      </c>
      <c r="BT85" s="124" t="s">
        <v>355</v>
      </c>
      <c r="BU85" s="131">
        <v>7.98</v>
      </c>
      <c r="BV85" s="54">
        <v>0</v>
      </c>
      <c r="BW85" s="177" t="s">
        <v>354</v>
      </c>
      <c r="BX85" s="177" t="s">
        <v>354</v>
      </c>
      <c r="BY85" s="189" t="s">
        <v>355</v>
      </c>
      <c r="BZ85" s="190" t="s">
        <v>359</v>
      </c>
      <c r="CA85" s="190" t="s">
        <v>359</v>
      </c>
      <c r="CB85" s="124" t="s">
        <v>355</v>
      </c>
      <c r="CC85" s="41">
        <v>935.2</v>
      </c>
      <c r="CD85" s="199">
        <v>38.369999999999997</v>
      </c>
    </row>
    <row r="86" spans="1:82">
      <c r="A86" s="3" t="s">
        <v>454</v>
      </c>
      <c r="B86" s="3" t="s">
        <v>455</v>
      </c>
      <c r="C86" s="27" t="s">
        <v>456</v>
      </c>
      <c r="D86" s="3" t="s">
        <v>456</v>
      </c>
      <c r="E86" s="29">
        <v>13001</v>
      </c>
      <c r="F86" s="3" t="s">
        <v>463</v>
      </c>
      <c r="G86" s="4">
        <v>13108</v>
      </c>
      <c r="H86" s="39">
        <v>325.99</v>
      </c>
      <c r="I86" s="40">
        <v>1.79</v>
      </c>
      <c r="J86" s="41">
        <v>1477.51</v>
      </c>
      <c r="K86" s="54">
        <v>0.28000000000000003</v>
      </c>
      <c r="L86" s="54">
        <v>70.69</v>
      </c>
      <c r="M86" s="57">
        <v>100</v>
      </c>
      <c r="N86" s="54">
        <v>1.55</v>
      </c>
      <c r="O86" s="58">
        <v>812.78</v>
      </c>
      <c r="P86" s="59">
        <v>5.6</v>
      </c>
      <c r="Q86" s="60">
        <v>360.57</v>
      </c>
      <c r="R86" s="61">
        <v>1.1599999999999999</v>
      </c>
      <c r="S86" s="62">
        <v>756.64</v>
      </c>
      <c r="T86" s="60">
        <v>202</v>
      </c>
      <c r="U86" s="125">
        <v>6.84</v>
      </c>
      <c r="V86" s="125">
        <v>6.83</v>
      </c>
      <c r="W86" s="134">
        <v>0.57999999999999996</v>
      </c>
      <c r="X86" s="126">
        <v>0.33</v>
      </c>
      <c r="Y86" s="31">
        <v>49.78</v>
      </c>
      <c r="Z86" s="116" t="s">
        <v>352</v>
      </c>
      <c r="AA86" s="131">
        <v>0.8</v>
      </c>
      <c r="AB86" s="125">
        <v>34</v>
      </c>
      <c r="AC86" s="125">
        <v>76.7</v>
      </c>
      <c r="AD86" s="137">
        <v>60</v>
      </c>
      <c r="AE86" s="141">
        <v>90</v>
      </c>
      <c r="AF86" s="116" t="s">
        <v>352</v>
      </c>
      <c r="AG86" s="116" t="s">
        <v>352</v>
      </c>
      <c r="AH86" s="116" t="s">
        <v>352</v>
      </c>
      <c r="AI86" s="116" t="s">
        <v>352</v>
      </c>
      <c r="AJ86" s="150">
        <v>0</v>
      </c>
      <c r="AK86" s="150">
        <v>164.57</v>
      </c>
      <c r="AL86" s="123">
        <v>16.88</v>
      </c>
      <c r="AM86" s="123">
        <v>29.82</v>
      </c>
      <c r="AN86" s="122">
        <v>1.1557229979228429</v>
      </c>
      <c r="AO86" s="116" t="s">
        <v>352</v>
      </c>
      <c r="AP86" s="123" t="s">
        <v>351</v>
      </c>
      <c r="AQ86" s="126">
        <v>775.39</v>
      </c>
      <c r="AR86" s="54">
        <v>857.35</v>
      </c>
      <c r="AS86" s="200">
        <v>7.0900375139583841E-3</v>
      </c>
      <c r="AT86" s="116" t="s">
        <v>352</v>
      </c>
      <c r="AU86" s="116" t="s">
        <v>352</v>
      </c>
      <c r="AV86" s="163">
        <v>667.56024837924338</v>
      </c>
      <c r="AW86" s="165">
        <v>20.808854251046668</v>
      </c>
      <c r="AX86" s="164">
        <v>12.56</v>
      </c>
      <c r="AY86" s="134">
        <v>19.79</v>
      </c>
      <c r="AZ86" s="116" t="s">
        <v>352</v>
      </c>
      <c r="BA86" s="57">
        <v>15.16</v>
      </c>
      <c r="BB86" s="60">
        <v>4403</v>
      </c>
      <c r="BC86" s="168">
        <v>13.56</v>
      </c>
      <c r="BD86" s="168">
        <v>4.37</v>
      </c>
      <c r="BE86" s="116" t="s">
        <v>352</v>
      </c>
      <c r="BF86" s="116" t="s">
        <v>352</v>
      </c>
      <c r="BG86" s="169">
        <v>9.85</v>
      </c>
      <c r="BH86" s="170">
        <v>21.34</v>
      </c>
      <c r="BI86" s="116" t="s">
        <v>352</v>
      </c>
      <c r="BJ86" s="173">
        <v>84</v>
      </c>
      <c r="BK86" s="119">
        <v>0.21723743368969423</v>
      </c>
      <c r="BL86" s="162">
        <v>142.05683978955807</v>
      </c>
      <c r="BM86" s="162">
        <v>139.5840616659703</v>
      </c>
      <c r="BN86" s="162">
        <v>50.734585639127872</v>
      </c>
      <c r="BO86" s="60">
        <v>683</v>
      </c>
      <c r="BP86" s="59">
        <v>0</v>
      </c>
      <c r="BQ86" s="180" t="s">
        <v>358</v>
      </c>
      <c r="BR86" s="116" t="s">
        <v>352</v>
      </c>
      <c r="BS86" s="184">
        <v>27.45</v>
      </c>
      <c r="BT86" s="124" t="s">
        <v>353</v>
      </c>
      <c r="BU86" s="131">
        <v>17.77</v>
      </c>
      <c r="BV86" s="54">
        <v>0</v>
      </c>
      <c r="BW86" s="177" t="s">
        <v>354</v>
      </c>
      <c r="BX86" s="177" t="s">
        <v>354</v>
      </c>
      <c r="BY86" s="189" t="s">
        <v>353</v>
      </c>
      <c r="BZ86" s="191">
        <v>0</v>
      </c>
      <c r="CA86" s="191">
        <v>0</v>
      </c>
      <c r="CB86" s="124" t="s">
        <v>351</v>
      </c>
      <c r="CC86" s="39" t="s">
        <v>351</v>
      </c>
      <c r="CD86" s="199">
        <v>29.76</v>
      </c>
    </row>
    <row r="87" spans="1:82">
      <c r="A87" s="3" t="s">
        <v>454</v>
      </c>
      <c r="B87" s="3" t="s">
        <v>455</v>
      </c>
      <c r="C87" s="27" t="s">
        <v>456</v>
      </c>
      <c r="D87" s="3" t="s">
        <v>456</v>
      </c>
      <c r="E87" s="29">
        <v>13001</v>
      </c>
      <c r="F87" s="3" t="s">
        <v>464</v>
      </c>
      <c r="G87" s="4">
        <v>13109</v>
      </c>
      <c r="H87" s="39">
        <v>379.62</v>
      </c>
      <c r="I87" s="40">
        <v>2.58</v>
      </c>
      <c r="J87" s="41">
        <v>1504.05</v>
      </c>
      <c r="K87" s="54">
        <v>0.36</v>
      </c>
      <c r="L87" s="54">
        <v>55.36</v>
      </c>
      <c r="M87" s="57">
        <v>100</v>
      </c>
      <c r="N87" s="54">
        <v>1.78</v>
      </c>
      <c r="O87" s="58">
        <v>1043.99</v>
      </c>
      <c r="P87" s="59">
        <v>11.57</v>
      </c>
      <c r="Q87" s="60">
        <v>418.17</v>
      </c>
      <c r="R87" s="61">
        <v>1.33</v>
      </c>
      <c r="S87" s="62">
        <v>702.56</v>
      </c>
      <c r="T87" s="60">
        <v>188</v>
      </c>
      <c r="U87" s="125">
        <v>5.15</v>
      </c>
      <c r="V87" s="125">
        <v>5.13</v>
      </c>
      <c r="W87" s="134">
        <v>0.8</v>
      </c>
      <c r="X87" s="126">
        <v>0.89</v>
      </c>
      <c r="Y87" s="31">
        <v>19.43</v>
      </c>
      <c r="Z87" s="116" t="s">
        <v>352</v>
      </c>
      <c r="AA87" s="131">
        <v>1.33</v>
      </c>
      <c r="AB87" s="125">
        <v>24.5</v>
      </c>
      <c r="AC87" s="125">
        <v>73.400000000000006</v>
      </c>
      <c r="AD87" s="138">
        <v>80</v>
      </c>
      <c r="AE87" s="140">
        <v>90</v>
      </c>
      <c r="AF87" s="116" t="s">
        <v>352</v>
      </c>
      <c r="AG87" s="116" t="s">
        <v>352</v>
      </c>
      <c r="AH87" s="116" t="s">
        <v>352</v>
      </c>
      <c r="AI87" s="116" t="s">
        <v>352</v>
      </c>
      <c r="AJ87" s="150">
        <v>3.09</v>
      </c>
      <c r="AK87" s="150">
        <v>283.14</v>
      </c>
      <c r="AL87" s="123">
        <v>13.89</v>
      </c>
      <c r="AM87" s="123">
        <v>45.34</v>
      </c>
      <c r="AN87" s="122">
        <v>1.2758590292836869</v>
      </c>
      <c r="AO87" s="116" t="s">
        <v>352</v>
      </c>
      <c r="AP87" s="123" t="s">
        <v>351</v>
      </c>
      <c r="AQ87" s="126">
        <v>836.6</v>
      </c>
      <c r="AR87" s="54">
        <v>442.61</v>
      </c>
      <c r="AS87" s="200">
        <v>6.6582875889397066E-3</v>
      </c>
      <c r="AT87" s="116" t="s">
        <v>352</v>
      </c>
      <c r="AU87" s="116" t="s">
        <v>352</v>
      </c>
      <c r="AV87" s="163">
        <v>657.67806995149351</v>
      </c>
      <c r="AW87" s="165">
        <v>21.219047619047618</v>
      </c>
      <c r="AX87" s="164">
        <v>5.75</v>
      </c>
      <c r="AY87" s="134">
        <v>20.95</v>
      </c>
      <c r="AZ87" s="116" t="s">
        <v>352</v>
      </c>
      <c r="BA87" s="57">
        <v>11.12</v>
      </c>
      <c r="BB87" s="60">
        <v>1800</v>
      </c>
      <c r="BC87" s="168">
        <v>6.35</v>
      </c>
      <c r="BD87" s="168">
        <v>2.13</v>
      </c>
      <c r="BE87" s="116" t="s">
        <v>352</v>
      </c>
      <c r="BF87" s="116" t="s">
        <v>352</v>
      </c>
      <c r="BG87" s="169">
        <v>3.63</v>
      </c>
      <c r="BH87" s="170">
        <v>20.05</v>
      </c>
      <c r="BI87" s="116" t="s">
        <v>352</v>
      </c>
      <c r="BJ87" s="173">
        <v>93.75</v>
      </c>
      <c r="BK87" s="119">
        <v>0.17529883665380819</v>
      </c>
      <c r="BL87" s="162">
        <v>208.90604890604891</v>
      </c>
      <c r="BM87" s="162">
        <v>202.2136422136422</v>
      </c>
      <c r="BN87" s="162">
        <v>49.523809523809518</v>
      </c>
      <c r="BO87" s="60">
        <v>1441</v>
      </c>
      <c r="BP87" s="59">
        <v>0.16</v>
      </c>
      <c r="BQ87" s="180" t="s">
        <v>358</v>
      </c>
      <c r="BR87" s="116" t="s">
        <v>352</v>
      </c>
      <c r="BS87" s="184">
        <v>64.8</v>
      </c>
      <c r="BT87" s="124" t="s">
        <v>355</v>
      </c>
      <c r="BU87" s="131">
        <v>18.399999999999999</v>
      </c>
      <c r="BV87" s="54">
        <v>0</v>
      </c>
      <c r="BW87" s="177" t="s">
        <v>354</v>
      </c>
      <c r="BX87" s="177" t="s">
        <v>354</v>
      </c>
      <c r="BY87" s="189" t="s">
        <v>355</v>
      </c>
      <c r="BZ87" s="190" t="s">
        <v>359</v>
      </c>
      <c r="CA87" s="190" t="s">
        <v>359</v>
      </c>
      <c r="CB87" s="124" t="s">
        <v>351</v>
      </c>
      <c r="CC87" s="39" t="s">
        <v>351</v>
      </c>
      <c r="CD87" s="199">
        <v>25.61</v>
      </c>
    </row>
    <row r="88" spans="1:82">
      <c r="A88" s="3" t="s">
        <v>454</v>
      </c>
      <c r="B88" s="3" t="s">
        <v>455</v>
      </c>
      <c r="C88" s="27" t="s">
        <v>456</v>
      </c>
      <c r="D88" s="3" t="s">
        <v>456</v>
      </c>
      <c r="E88" s="29">
        <v>13001</v>
      </c>
      <c r="F88" s="3" t="s">
        <v>465</v>
      </c>
      <c r="G88" s="4">
        <v>13110</v>
      </c>
      <c r="H88" s="39">
        <v>206.06</v>
      </c>
      <c r="I88" s="40">
        <v>3.46</v>
      </c>
      <c r="J88" s="41">
        <v>1691.64</v>
      </c>
      <c r="K88" s="54">
        <v>0.63</v>
      </c>
      <c r="L88" s="54">
        <v>91.35</v>
      </c>
      <c r="M88" s="57">
        <v>93.26</v>
      </c>
      <c r="N88" s="54">
        <v>3.76</v>
      </c>
      <c r="O88" s="58">
        <v>1190.76</v>
      </c>
      <c r="P88" s="59">
        <v>6.64</v>
      </c>
      <c r="Q88" s="60">
        <v>535.13</v>
      </c>
      <c r="R88" s="61">
        <v>0.9</v>
      </c>
      <c r="S88" s="62">
        <v>761.23</v>
      </c>
      <c r="T88" s="60">
        <v>249</v>
      </c>
      <c r="U88" s="125">
        <v>5.46</v>
      </c>
      <c r="V88" s="125">
        <v>5.43</v>
      </c>
      <c r="W88" s="134">
        <v>0.69</v>
      </c>
      <c r="X88" s="126">
        <v>1.73</v>
      </c>
      <c r="Y88" s="31">
        <v>47.91</v>
      </c>
      <c r="Z88" s="116" t="s">
        <v>352</v>
      </c>
      <c r="AA88" s="131">
        <v>1.5</v>
      </c>
      <c r="AB88" s="125">
        <v>32</v>
      </c>
      <c r="AC88" s="125">
        <v>62.5</v>
      </c>
      <c r="AD88" s="137">
        <v>90</v>
      </c>
      <c r="AE88" s="140">
        <v>90</v>
      </c>
      <c r="AF88" s="116" t="s">
        <v>352</v>
      </c>
      <c r="AG88" s="116" t="s">
        <v>352</v>
      </c>
      <c r="AH88" s="116" t="s">
        <v>352</v>
      </c>
      <c r="AI88" s="116" t="s">
        <v>352</v>
      </c>
      <c r="AJ88" s="150">
        <v>3.08</v>
      </c>
      <c r="AK88" s="150">
        <v>117.88</v>
      </c>
      <c r="AL88" s="123">
        <v>11.24</v>
      </c>
      <c r="AM88" s="123">
        <v>26.96</v>
      </c>
      <c r="AN88" s="122">
        <v>1.3673970229637007</v>
      </c>
      <c r="AO88" s="116" t="s">
        <v>352</v>
      </c>
      <c r="AP88" s="125">
        <v>0.54</v>
      </c>
      <c r="AQ88" s="126">
        <v>800.22</v>
      </c>
      <c r="AR88" s="54">
        <v>318.62</v>
      </c>
      <c r="AS88" s="200">
        <v>6.5936820602609941E-3</v>
      </c>
      <c r="AT88" s="116" t="s">
        <v>352</v>
      </c>
      <c r="AU88" s="116" t="s">
        <v>352</v>
      </c>
      <c r="AV88" s="163">
        <v>735.98577498768668</v>
      </c>
      <c r="AW88" s="165">
        <v>22.593268378188604</v>
      </c>
      <c r="AX88" s="164">
        <v>4.68</v>
      </c>
      <c r="AY88" s="134">
        <v>52.79</v>
      </c>
      <c r="AZ88" s="116" t="s">
        <v>352</v>
      </c>
      <c r="BA88" s="57">
        <v>7.5</v>
      </c>
      <c r="BB88" s="60">
        <v>6098</v>
      </c>
      <c r="BC88" s="168">
        <v>5.59</v>
      </c>
      <c r="BD88" s="168">
        <v>2.12</v>
      </c>
      <c r="BE88" s="116" t="s">
        <v>352</v>
      </c>
      <c r="BF88" s="116" t="s">
        <v>352</v>
      </c>
      <c r="BG88" s="169">
        <v>3.11</v>
      </c>
      <c r="BH88" s="170">
        <v>17.010000000000002</v>
      </c>
      <c r="BI88" s="116" t="s">
        <v>352</v>
      </c>
      <c r="BJ88" s="173">
        <v>55.555555555555557</v>
      </c>
      <c r="BK88" s="119">
        <v>0.35593131701333125</v>
      </c>
      <c r="BL88" s="162">
        <v>130.31177444402871</v>
      </c>
      <c r="BM88" s="162">
        <v>162.24264385548591</v>
      </c>
      <c r="BN88" s="162">
        <v>53.124151115530289</v>
      </c>
      <c r="BO88" s="60">
        <v>1542</v>
      </c>
      <c r="BP88" s="59">
        <v>0.01</v>
      </c>
      <c r="BQ88" s="180" t="s">
        <v>358</v>
      </c>
      <c r="BR88" s="116" t="s">
        <v>352</v>
      </c>
      <c r="BS88" s="184">
        <v>59.71</v>
      </c>
      <c r="BT88" s="124" t="s">
        <v>353</v>
      </c>
      <c r="BU88" s="131">
        <v>42.1</v>
      </c>
      <c r="BV88" s="54">
        <v>0</v>
      </c>
      <c r="BW88" s="189" t="s">
        <v>353</v>
      </c>
      <c r="BX88" s="189" t="s">
        <v>355</v>
      </c>
      <c r="BY88" s="189" t="s">
        <v>353</v>
      </c>
      <c r="BZ88" s="190" t="s">
        <v>359</v>
      </c>
      <c r="CA88" s="190" t="s">
        <v>359</v>
      </c>
      <c r="CB88" s="124" t="s">
        <v>355</v>
      </c>
      <c r="CC88" s="41">
        <v>67.3</v>
      </c>
      <c r="CD88" s="199">
        <v>28.68</v>
      </c>
    </row>
    <row r="89" spans="1:82">
      <c r="A89" s="3" t="s">
        <v>454</v>
      </c>
      <c r="B89" s="3" t="s">
        <v>455</v>
      </c>
      <c r="C89" s="27" t="s">
        <v>456</v>
      </c>
      <c r="D89" s="3" t="s">
        <v>456</v>
      </c>
      <c r="E89" s="29">
        <v>13001</v>
      </c>
      <c r="F89" s="3" t="s">
        <v>466</v>
      </c>
      <c r="G89" s="4">
        <v>13111</v>
      </c>
      <c r="H89" s="39">
        <v>218.95</v>
      </c>
      <c r="I89" s="40">
        <v>2.48</v>
      </c>
      <c r="J89" s="41">
        <v>1225.67</v>
      </c>
      <c r="K89" s="54">
        <v>5.13</v>
      </c>
      <c r="L89" s="54">
        <v>87.02</v>
      </c>
      <c r="M89" s="57">
        <v>100</v>
      </c>
      <c r="N89" s="54">
        <v>7.29</v>
      </c>
      <c r="O89" s="58">
        <v>667.58</v>
      </c>
      <c r="P89" s="59">
        <v>21.87</v>
      </c>
      <c r="Q89" s="60">
        <v>399.61</v>
      </c>
      <c r="R89" s="61">
        <v>0.91</v>
      </c>
      <c r="S89" s="62">
        <v>405.04</v>
      </c>
      <c r="T89" s="60">
        <v>190</v>
      </c>
      <c r="U89" s="125">
        <v>5.81</v>
      </c>
      <c r="V89" s="125">
        <v>5.8</v>
      </c>
      <c r="W89" s="134">
        <v>0.44</v>
      </c>
      <c r="X89" s="126">
        <v>1.86</v>
      </c>
      <c r="Y89" s="31">
        <v>70.81</v>
      </c>
      <c r="Z89" s="116" t="s">
        <v>352</v>
      </c>
      <c r="AA89" s="131">
        <v>1.8</v>
      </c>
      <c r="AB89" s="125">
        <v>21.3</v>
      </c>
      <c r="AC89" s="125">
        <v>68.599999999999994</v>
      </c>
      <c r="AD89" s="137">
        <v>90</v>
      </c>
      <c r="AE89" s="141">
        <v>100</v>
      </c>
      <c r="AF89" s="116" t="s">
        <v>352</v>
      </c>
      <c r="AG89" s="116" t="s">
        <v>352</v>
      </c>
      <c r="AH89" s="116" t="s">
        <v>352</v>
      </c>
      <c r="AI89" s="116" t="s">
        <v>352</v>
      </c>
      <c r="AJ89" s="150">
        <v>4.09</v>
      </c>
      <c r="AK89" s="150">
        <v>204.26</v>
      </c>
      <c r="AL89" s="123">
        <v>9.58</v>
      </c>
      <c r="AM89" s="123">
        <v>32.86</v>
      </c>
      <c r="AN89" s="122">
        <v>1.5166180617051701</v>
      </c>
      <c r="AO89" s="116" t="s">
        <v>352</v>
      </c>
      <c r="AP89" s="125">
        <v>0.65</v>
      </c>
      <c r="AQ89" s="126">
        <v>671.36</v>
      </c>
      <c r="AR89" s="54">
        <v>267.33</v>
      </c>
      <c r="AS89" s="200" t="s">
        <v>351</v>
      </c>
      <c r="AT89" s="116" t="s">
        <v>352</v>
      </c>
      <c r="AU89" s="116" t="s">
        <v>352</v>
      </c>
      <c r="AV89" s="163">
        <v>407.4235935087259</v>
      </c>
      <c r="AW89" s="165">
        <v>11.425583371462187</v>
      </c>
      <c r="AX89" s="164">
        <v>7.56</v>
      </c>
      <c r="AY89" s="134">
        <v>18.13</v>
      </c>
      <c r="AZ89" s="116" t="s">
        <v>352</v>
      </c>
      <c r="BA89" s="57">
        <v>18.600000000000001</v>
      </c>
      <c r="BB89" s="60">
        <v>3497</v>
      </c>
      <c r="BC89" s="168">
        <v>10.54</v>
      </c>
      <c r="BD89" s="168">
        <v>3.04</v>
      </c>
      <c r="BE89" s="116" t="s">
        <v>352</v>
      </c>
      <c r="BF89" s="116" t="s">
        <v>352</v>
      </c>
      <c r="BG89" s="169">
        <v>7.22</v>
      </c>
      <c r="BH89" s="170">
        <v>24.55</v>
      </c>
      <c r="BI89" s="116" t="s">
        <v>352</v>
      </c>
      <c r="BJ89" s="173">
        <v>47.058823529411768</v>
      </c>
      <c r="BK89" s="119">
        <v>0.21309882436150274</v>
      </c>
      <c r="BL89" s="162">
        <v>190.45362441989673</v>
      </c>
      <c r="BM89" s="162">
        <v>91.509248970520957</v>
      </c>
      <c r="BN89" s="162">
        <v>59.154193084515327</v>
      </c>
      <c r="BO89" s="60">
        <v>1224</v>
      </c>
      <c r="BP89" s="59">
        <v>0.16</v>
      </c>
      <c r="BQ89" s="180" t="s">
        <v>358</v>
      </c>
      <c r="BR89" s="116" t="s">
        <v>352</v>
      </c>
      <c r="BS89" s="184">
        <v>78.319999999999993</v>
      </c>
      <c r="BT89" s="124" t="s">
        <v>353</v>
      </c>
      <c r="BU89" s="131">
        <v>68.569999999999993</v>
      </c>
      <c r="BV89" s="54">
        <v>0</v>
      </c>
      <c r="BW89" s="177" t="s">
        <v>354</v>
      </c>
      <c r="BX89" s="177" t="s">
        <v>354</v>
      </c>
      <c r="BY89" s="189" t="s">
        <v>355</v>
      </c>
      <c r="BZ89" s="190" t="s">
        <v>359</v>
      </c>
      <c r="CA89" s="190" t="s">
        <v>359</v>
      </c>
      <c r="CB89" s="124" t="s">
        <v>351</v>
      </c>
      <c r="CC89" s="39" t="s">
        <v>351</v>
      </c>
      <c r="CD89" s="199">
        <v>21.16</v>
      </c>
    </row>
    <row r="90" spans="1:82">
      <c r="A90" s="3" t="s">
        <v>454</v>
      </c>
      <c r="B90" s="3" t="s">
        <v>455</v>
      </c>
      <c r="C90" s="27" t="s">
        <v>456</v>
      </c>
      <c r="D90" s="3" t="s">
        <v>456</v>
      </c>
      <c r="E90" s="29">
        <v>13001</v>
      </c>
      <c r="F90" s="3" t="s">
        <v>467</v>
      </c>
      <c r="G90" s="4">
        <v>13112</v>
      </c>
      <c r="H90" s="39">
        <v>196.25</v>
      </c>
      <c r="I90" s="40">
        <v>2.81</v>
      </c>
      <c r="J90" s="41">
        <v>1534.94</v>
      </c>
      <c r="K90" s="54">
        <v>0.79</v>
      </c>
      <c r="L90" s="54">
        <v>95.61</v>
      </c>
      <c r="M90" s="57">
        <v>99.14</v>
      </c>
      <c r="N90" s="54">
        <v>3.47</v>
      </c>
      <c r="O90" s="58">
        <v>838.03</v>
      </c>
      <c r="P90" s="59">
        <v>11.81</v>
      </c>
      <c r="Q90" s="60">
        <v>437.1</v>
      </c>
      <c r="R90" s="61">
        <v>0.82</v>
      </c>
      <c r="S90" s="62">
        <v>394.24</v>
      </c>
      <c r="T90" s="60">
        <v>208</v>
      </c>
      <c r="U90" s="125">
        <v>8.67</v>
      </c>
      <c r="V90" s="125">
        <v>8.67</v>
      </c>
      <c r="W90" s="134">
        <v>0.14000000000000001</v>
      </c>
      <c r="X90" s="126">
        <v>5.27</v>
      </c>
      <c r="Y90" s="31">
        <v>83.63</v>
      </c>
      <c r="Z90" s="116" t="s">
        <v>352</v>
      </c>
      <c r="AA90" s="131">
        <v>1.31</v>
      </c>
      <c r="AB90" s="125">
        <v>38.4</v>
      </c>
      <c r="AC90" s="125">
        <v>77</v>
      </c>
      <c r="AD90" s="138">
        <v>105</v>
      </c>
      <c r="AE90" s="140">
        <v>120</v>
      </c>
      <c r="AF90" s="116" t="s">
        <v>352</v>
      </c>
      <c r="AG90" s="116" t="s">
        <v>352</v>
      </c>
      <c r="AH90" s="116" t="s">
        <v>352</v>
      </c>
      <c r="AI90" s="116" t="s">
        <v>352</v>
      </c>
      <c r="AJ90" s="150">
        <v>7.44</v>
      </c>
      <c r="AK90" s="150">
        <v>166.26</v>
      </c>
      <c r="AL90" s="123">
        <v>7.78</v>
      </c>
      <c r="AM90" s="123">
        <v>12.52</v>
      </c>
      <c r="AN90" s="122">
        <v>1.500103873971584</v>
      </c>
      <c r="AO90" s="116" t="s">
        <v>352</v>
      </c>
      <c r="AP90" s="125">
        <v>4.1399999999999997</v>
      </c>
      <c r="AQ90" s="126">
        <v>567.02</v>
      </c>
      <c r="AR90" s="54">
        <v>285.61</v>
      </c>
      <c r="AS90" s="200">
        <v>3.9391057051540229E-3</v>
      </c>
      <c r="AT90" s="116" t="s">
        <v>352</v>
      </c>
      <c r="AU90" s="116" t="s">
        <v>352</v>
      </c>
      <c r="AV90" s="163">
        <v>145.99202031193326</v>
      </c>
      <c r="AW90" s="165">
        <v>3.8485033598045204</v>
      </c>
      <c r="AX90" s="164">
        <v>8.25</v>
      </c>
      <c r="AY90" s="134">
        <v>11.57</v>
      </c>
      <c r="AZ90" s="116" t="s">
        <v>352</v>
      </c>
      <c r="BA90" s="57">
        <v>17.34</v>
      </c>
      <c r="BB90" s="60">
        <v>4680</v>
      </c>
      <c r="BC90" s="168">
        <v>13.15</v>
      </c>
      <c r="BD90" s="168">
        <v>3.04</v>
      </c>
      <c r="BE90" s="116" t="s">
        <v>352</v>
      </c>
      <c r="BF90" s="116" t="s">
        <v>352</v>
      </c>
      <c r="BG90" s="169">
        <v>13.86</v>
      </c>
      <c r="BH90" s="170">
        <v>42.4</v>
      </c>
      <c r="BI90" s="116" t="s">
        <v>352</v>
      </c>
      <c r="BJ90" s="173">
        <v>26.315789473684209</v>
      </c>
      <c r="BK90" s="119">
        <v>0.28809454255801303</v>
      </c>
      <c r="BL90" s="162">
        <v>137.68558604021143</v>
      </c>
      <c r="BM90" s="162">
        <v>81.803936150434254</v>
      </c>
      <c r="BN90" s="162">
        <v>68.205359751401019</v>
      </c>
      <c r="BO90" s="60">
        <v>1519</v>
      </c>
      <c r="BP90" s="59">
        <v>0.08</v>
      </c>
      <c r="BQ90" s="180" t="s">
        <v>358</v>
      </c>
      <c r="BR90" s="116" t="s">
        <v>352</v>
      </c>
      <c r="BS90" s="184">
        <v>83.44</v>
      </c>
      <c r="BT90" s="124" t="s">
        <v>355</v>
      </c>
      <c r="BU90" s="131">
        <v>79.48</v>
      </c>
      <c r="BV90" s="54">
        <v>0</v>
      </c>
      <c r="BW90" s="189" t="s">
        <v>355</v>
      </c>
      <c r="BX90" s="189" t="s">
        <v>355</v>
      </c>
      <c r="BY90" s="189" t="s">
        <v>355</v>
      </c>
      <c r="BZ90" s="190" t="s">
        <v>359</v>
      </c>
      <c r="CA90" s="190" t="s">
        <v>359</v>
      </c>
      <c r="CB90" s="124" t="s">
        <v>355</v>
      </c>
      <c r="CC90" s="41">
        <v>144.6</v>
      </c>
      <c r="CD90" s="199">
        <v>21.28</v>
      </c>
    </row>
    <row r="91" spans="1:82">
      <c r="A91" s="3" t="s">
        <v>454</v>
      </c>
      <c r="B91" s="3" t="s">
        <v>455</v>
      </c>
      <c r="C91" s="27" t="s">
        <v>456</v>
      </c>
      <c r="D91" s="3" t="s">
        <v>456</v>
      </c>
      <c r="E91" s="29">
        <v>13001</v>
      </c>
      <c r="F91" s="3" t="s">
        <v>468</v>
      </c>
      <c r="G91" s="4">
        <v>13113</v>
      </c>
      <c r="H91" s="39">
        <v>442.02</v>
      </c>
      <c r="I91" s="40">
        <v>3.9</v>
      </c>
      <c r="J91" s="41">
        <v>947.26</v>
      </c>
      <c r="K91" s="54">
        <v>11.94</v>
      </c>
      <c r="L91" s="54">
        <v>52.83</v>
      </c>
      <c r="M91" s="57">
        <v>99.99</v>
      </c>
      <c r="N91" s="54">
        <v>13.99</v>
      </c>
      <c r="O91" s="58">
        <v>1212.69</v>
      </c>
      <c r="P91" s="59">
        <v>2.16</v>
      </c>
      <c r="Q91" s="60">
        <v>801.67</v>
      </c>
      <c r="R91" s="61">
        <v>0.56999999999999995</v>
      </c>
      <c r="S91" s="62">
        <v>989.27</v>
      </c>
      <c r="T91" s="60">
        <v>291</v>
      </c>
      <c r="U91" s="125">
        <v>7.73</v>
      </c>
      <c r="V91" s="125">
        <v>7.73</v>
      </c>
      <c r="W91" s="134">
        <v>0.08</v>
      </c>
      <c r="X91" s="126">
        <v>4.29</v>
      </c>
      <c r="Y91" s="31">
        <v>91.51</v>
      </c>
      <c r="Z91" s="116" t="s">
        <v>352</v>
      </c>
      <c r="AA91" s="131">
        <v>1.25</v>
      </c>
      <c r="AB91" s="125">
        <v>23.1</v>
      </c>
      <c r="AC91" s="125">
        <v>45.9</v>
      </c>
      <c r="AD91" s="138">
        <v>75</v>
      </c>
      <c r="AE91" s="141">
        <v>90</v>
      </c>
      <c r="AF91" s="116" t="s">
        <v>352</v>
      </c>
      <c r="AG91" s="116" t="s">
        <v>352</v>
      </c>
      <c r="AH91" s="116" t="s">
        <v>352</v>
      </c>
      <c r="AI91" s="116" t="s">
        <v>352</v>
      </c>
      <c r="AJ91" s="150">
        <v>5.1100000000000003</v>
      </c>
      <c r="AK91" s="150">
        <v>323.08</v>
      </c>
      <c r="AL91" s="123">
        <v>17.510000000000002</v>
      </c>
      <c r="AM91" s="123">
        <v>20.84</v>
      </c>
      <c r="AN91" s="122">
        <v>1.3438937386294088</v>
      </c>
      <c r="AO91" s="116" t="s">
        <v>352</v>
      </c>
      <c r="AP91" s="125">
        <v>0</v>
      </c>
      <c r="AQ91" s="126">
        <v>1137.47</v>
      </c>
      <c r="AR91" s="54">
        <v>776.75</v>
      </c>
      <c r="AS91" s="200">
        <v>5.1739768300421284E-2</v>
      </c>
      <c r="AT91" s="116" t="s">
        <v>352</v>
      </c>
      <c r="AU91" s="116" t="s">
        <v>352</v>
      </c>
      <c r="AV91" s="163">
        <v>753.65295266312035</v>
      </c>
      <c r="AW91" s="165">
        <v>22.886207954196912</v>
      </c>
      <c r="AX91" s="164">
        <v>6.4</v>
      </c>
      <c r="AY91" s="134">
        <v>33.53</v>
      </c>
      <c r="AZ91" s="116" t="s">
        <v>352</v>
      </c>
      <c r="BA91" s="57">
        <v>4.92</v>
      </c>
      <c r="BB91" s="60">
        <v>1106</v>
      </c>
      <c r="BC91" s="168">
        <v>3.21</v>
      </c>
      <c r="BD91" s="168">
        <v>2.0299999999999998</v>
      </c>
      <c r="BE91" s="116" t="s">
        <v>352</v>
      </c>
      <c r="BF91" s="116" t="s">
        <v>352</v>
      </c>
      <c r="BG91" s="169">
        <v>2.34</v>
      </c>
      <c r="BH91" s="170">
        <v>9.83</v>
      </c>
      <c r="BI91" s="116" t="s">
        <v>352</v>
      </c>
      <c r="BJ91" s="173">
        <v>20</v>
      </c>
      <c r="BK91" s="119">
        <v>0.42779407118791818</v>
      </c>
      <c r="BL91" s="162">
        <v>69.318065637460379</v>
      </c>
      <c r="BM91" s="162">
        <v>280.95286780492791</v>
      </c>
      <c r="BN91" s="162">
        <v>32.818730191186994</v>
      </c>
      <c r="BO91" s="60">
        <v>1844</v>
      </c>
      <c r="BP91" s="59">
        <v>0</v>
      </c>
      <c r="BQ91" s="180" t="s">
        <v>358</v>
      </c>
      <c r="BR91" s="116" t="s">
        <v>352</v>
      </c>
      <c r="BS91" s="184">
        <v>75.23</v>
      </c>
      <c r="BT91" s="124" t="s">
        <v>353</v>
      </c>
      <c r="BU91" s="131">
        <v>6.04</v>
      </c>
      <c r="BV91" s="54">
        <v>0</v>
      </c>
      <c r="BW91" s="177" t="s">
        <v>354</v>
      </c>
      <c r="BX91" s="177" t="s">
        <v>354</v>
      </c>
      <c r="BY91" s="189" t="s">
        <v>355</v>
      </c>
      <c r="BZ91" s="190" t="s">
        <v>359</v>
      </c>
      <c r="CA91" s="190" t="s">
        <v>359</v>
      </c>
      <c r="CB91" s="124" t="s">
        <v>353</v>
      </c>
      <c r="CC91" s="39" t="s">
        <v>351</v>
      </c>
      <c r="CD91" s="199">
        <v>37.1</v>
      </c>
    </row>
    <row r="92" spans="1:82">
      <c r="A92" s="3" t="s">
        <v>454</v>
      </c>
      <c r="B92" s="3" t="s">
        <v>455</v>
      </c>
      <c r="C92" s="27" t="s">
        <v>456</v>
      </c>
      <c r="D92" s="3" t="s">
        <v>456</v>
      </c>
      <c r="E92" s="29">
        <v>13001</v>
      </c>
      <c r="F92" s="3" t="s">
        <v>469</v>
      </c>
      <c r="G92" s="4">
        <v>13114</v>
      </c>
      <c r="H92" s="39">
        <v>330.57</v>
      </c>
      <c r="I92" s="40">
        <v>3.18</v>
      </c>
      <c r="J92" s="41">
        <v>932.81</v>
      </c>
      <c r="K92" s="54">
        <v>2.52</v>
      </c>
      <c r="L92" s="54">
        <v>73.87</v>
      </c>
      <c r="M92" s="57">
        <v>100</v>
      </c>
      <c r="N92" s="54">
        <v>4.87</v>
      </c>
      <c r="O92" s="58">
        <v>2149.59</v>
      </c>
      <c r="P92" s="59">
        <v>4.67</v>
      </c>
      <c r="Q92" s="60">
        <v>1409.27</v>
      </c>
      <c r="R92" s="61">
        <v>0.22</v>
      </c>
      <c r="S92" s="62">
        <v>2310.4299999999998</v>
      </c>
      <c r="T92" s="60">
        <v>314</v>
      </c>
      <c r="U92" s="125">
        <v>4.92</v>
      </c>
      <c r="V92" s="125">
        <v>4.92</v>
      </c>
      <c r="W92" s="134">
        <v>7.0000000000000007E-2</v>
      </c>
      <c r="X92" s="126">
        <v>3.47</v>
      </c>
      <c r="Y92" s="31">
        <v>69.62</v>
      </c>
      <c r="Z92" s="116" t="s">
        <v>352</v>
      </c>
      <c r="AA92" s="131">
        <v>1</v>
      </c>
      <c r="AB92" s="125">
        <v>23.6</v>
      </c>
      <c r="AC92" s="125">
        <v>48.6</v>
      </c>
      <c r="AD92" s="137">
        <v>60</v>
      </c>
      <c r="AE92" s="141">
        <v>80</v>
      </c>
      <c r="AF92" s="116" t="s">
        <v>352</v>
      </c>
      <c r="AG92" s="116" t="s">
        <v>352</v>
      </c>
      <c r="AH92" s="116" t="s">
        <v>352</v>
      </c>
      <c r="AI92" s="116" t="s">
        <v>352</v>
      </c>
      <c r="AJ92" s="150">
        <v>1.9</v>
      </c>
      <c r="AK92" s="150">
        <v>138.97</v>
      </c>
      <c r="AL92" s="123">
        <v>22.26</v>
      </c>
      <c r="AM92" s="123">
        <v>20.88</v>
      </c>
      <c r="AN92" s="122">
        <v>1.0457808833737339</v>
      </c>
      <c r="AO92" s="116" t="s">
        <v>352</v>
      </c>
      <c r="AP92" s="125">
        <v>0</v>
      </c>
      <c r="AQ92" s="126">
        <v>1308.94</v>
      </c>
      <c r="AR92" s="54">
        <v>1982.5</v>
      </c>
      <c r="AS92" s="200">
        <v>3.8551757086173165E-2</v>
      </c>
      <c r="AT92" s="116" t="s">
        <v>352</v>
      </c>
      <c r="AU92" s="116" t="s">
        <v>352</v>
      </c>
      <c r="AV92" s="163">
        <v>806.38176831701662</v>
      </c>
      <c r="AW92" s="165">
        <v>30.131701265613948</v>
      </c>
      <c r="AX92" s="164">
        <v>5.76</v>
      </c>
      <c r="AY92" s="134">
        <v>77.150000000000006</v>
      </c>
      <c r="AZ92" s="116" t="s">
        <v>352</v>
      </c>
      <c r="BA92" s="57">
        <v>0.88</v>
      </c>
      <c r="BB92" s="60">
        <v>2301</v>
      </c>
      <c r="BC92" s="168">
        <v>1.71</v>
      </c>
      <c r="BD92" s="168">
        <v>1.3</v>
      </c>
      <c r="BE92" s="116" t="s">
        <v>352</v>
      </c>
      <c r="BF92" s="116" t="s">
        <v>352</v>
      </c>
      <c r="BG92" s="169">
        <v>0.56000000000000005</v>
      </c>
      <c r="BH92" s="170">
        <v>4.83</v>
      </c>
      <c r="BI92" s="116" t="s">
        <v>352</v>
      </c>
      <c r="BJ92" s="173">
        <v>4</v>
      </c>
      <c r="BK92" s="119">
        <v>0.41817859862147139</v>
      </c>
      <c r="BL92" s="162">
        <v>47.813492478972528</v>
      </c>
      <c r="BM92" s="162">
        <v>247.98291786041759</v>
      </c>
      <c r="BN92" s="162">
        <v>21.447857276566314</v>
      </c>
      <c r="BO92" s="60">
        <v>2756</v>
      </c>
      <c r="BP92" s="59">
        <v>0.01</v>
      </c>
      <c r="BQ92" s="180" t="s">
        <v>358</v>
      </c>
      <c r="BR92" s="116" t="s">
        <v>352</v>
      </c>
      <c r="BS92" s="184">
        <v>69.61</v>
      </c>
      <c r="BT92" s="124" t="s">
        <v>353</v>
      </c>
      <c r="BU92" s="131">
        <v>1.32</v>
      </c>
      <c r="BV92" s="54">
        <v>0</v>
      </c>
      <c r="BW92" s="177" t="s">
        <v>354</v>
      </c>
      <c r="BX92" s="177" t="s">
        <v>354</v>
      </c>
      <c r="BY92" s="189" t="s">
        <v>353</v>
      </c>
      <c r="BZ92" s="191">
        <v>0</v>
      </c>
      <c r="CA92" s="191">
        <v>0</v>
      </c>
      <c r="CB92" s="124" t="s">
        <v>355</v>
      </c>
      <c r="CC92" s="39" t="s">
        <v>351</v>
      </c>
      <c r="CD92" s="199">
        <v>36.31</v>
      </c>
    </row>
    <row r="93" spans="1:82">
      <c r="A93" s="3" t="s">
        <v>454</v>
      </c>
      <c r="B93" s="3" t="s">
        <v>455</v>
      </c>
      <c r="C93" s="27" t="s">
        <v>456</v>
      </c>
      <c r="D93" s="3" t="s">
        <v>456</v>
      </c>
      <c r="E93" s="29">
        <v>13001</v>
      </c>
      <c r="F93" s="3" t="s">
        <v>470</v>
      </c>
      <c r="G93" s="4">
        <v>13115</v>
      </c>
      <c r="H93" s="39">
        <v>475.15</v>
      </c>
      <c r="I93" s="40">
        <v>9.4700000000000006</v>
      </c>
      <c r="J93" s="41">
        <v>1545.93</v>
      </c>
      <c r="K93" s="54">
        <v>9.7799999999999994</v>
      </c>
      <c r="L93" s="54">
        <v>64.2</v>
      </c>
      <c r="M93" s="57">
        <v>93.3</v>
      </c>
      <c r="N93" s="54">
        <v>15.21</v>
      </c>
      <c r="O93" s="58">
        <v>2902.52</v>
      </c>
      <c r="P93" s="59">
        <v>11.45</v>
      </c>
      <c r="Q93" s="60">
        <v>3243.4</v>
      </c>
      <c r="R93" s="61">
        <v>0.33</v>
      </c>
      <c r="S93" s="62">
        <v>2964.67</v>
      </c>
      <c r="T93" s="60">
        <v>633</v>
      </c>
      <c r="U93" s="125">
        <v>2.82</v>
      </c>
      <c r="V93" s="125">
        <v>2.82</v>
      </c>
      <c r="W93" s="134">
        <v>0.14000000000000001</v>
      </c>
      <c r="X93" s="126" t="s">
        <v>357</v>
      </c>
      <c r="Y93" s="126" t="s">
        <v>351</v>
      </c>
      <c r="Z93" s="116" t="s">
        <v>352</v>
      </c>
      <c r="AA93" s="131">
        <v>1</v>
      </c>
      <c r="AB93" s="125">
        <v>11.6</v>
      </c>
      <c r="AC93" s="125">
        <v>41.1</v>
      </c>
      <c r="AD93" s="137">
        <v>60</v>
      </c>
      <c r="AE93" s="140">
        <v>90</v>
      </c>
      <c r="AF93" s="116" t="s">
        <v>352</v>
      </c>
      <c r="AG93" s="116" t="s">
        <v>352</v>
      </c>
      <c r="AH93" s="116" t="s">
        <v>352</v>
      </c>
      <c r="AI93" s="116" t="s">
        <v>352</v>
      </c>
      <c r="AJ93" s="150">
        <v>1.75</v>
      </c>
      <c r="AK93" s="150">
        <v>129.46</v>
      </c>
      <c r="AL93" s="123">
        <v>12.25</v>
      </c>
      <c r="AM93" s="123">
        <v>10.18</v>
      </c>
      <c r="AN93" s="122">
        <v>1.4479649286693941</v>
      </c>
      <c r="AO93" s="116" t="s">
        <v>352</v>
      </c>
      <c r="AP93" s="125">
        <v>0</v>
      </c>
      <c r="AQ93" s="126">
        <v>1340.76</v>
      </c>
      <c r="AR93" s="54">
        <v>1122.95</v>
      </c>
      <c r="AS93" s="200">
        <v>5.5962358457892623E-2</v>
      </c>
      <c r="AT93" s="116" t="s">
        <v>352</v>
      </c>
      <c r="AU93" s="116" t="s">
        <v>352</v>
      </c>
      <c r="AV93" s="163">
        <v>700.70045892136227</v>
      </c>
      <c r="AW93" s="165">
        <v>17.762985252182432</v>
      </c>
      <c r="AX93" s="164">
        <v>7.99</v>
      </c>
      <c r="AY93" s="134">
        <v>49.9</v>
      </c>
      <c r="AZ93" s="116" t="s">
        <v>352</v>
      </c>
      <c r="BA93" s="57">
        <v>6.01</v>
      </c>
      <c r="BB93" s="60">
        <v>1127</v>
      </c>
      <c r="BC93" s="168">
        <v>3.39</v>
      </c>
      <c r="BD93" s="168">
        <v>1.35</v>
      </c>
      <c r="BE93" s="116" t="s">
        <v>352</v>
      </c>
      <c r="BF93" s="116" t="s">
        <v>352</v>
      </c>
      <c r="BG93" s="169">
        <v>2.46</v>
      </c>
      <c r="BH93" s="170">
        <v>17.28</v>
      </c>
      <c r="BI93" s="116" t="s">
        <v>352</v>
      </c>
      <c r="BJ93" s="173">
        <v>25</v>
      </c>
      <c r="BK93" s="119">
        <v>0.65125945849730771</v>
      </c>
      <c r="BL93" s="162">
        <v>40.412169136299227</v>
      </c>
      <c r="BM93" s="162">
        <v>129.19648011756266</v>
      </c>
      <c r="BN93" s="162">
        <v>25.804307132485434</v>
      </c>
      <c r="BO93" s="60">
        <v>2852</v>
      </c>
      <c r="BP93" s="59">
        <v>0</v>
      </c>
      <c r="BQ93" s="180" t="s">
        <v>358</v>
      </c>
      <c r="BR93" s="116" t="s">
        <v>352</v>
      </c>
      <c r="BS93" s="184">
        <v>65.290000000000006</v>
      </c>
      <c r="BT93" s="124" t="s">
        <v>353</v>
      </c>
      <c r="BU93" s="131">
        <v>1.88</v>
      </c>
      <c r="BV93" s="54">
        <v>0</v>
      </c>
      <c r="BW93" s="177" t="s">
        <v>354</v>
      </c>
      <c r="BX93" s="177" t="s">
        <v>354</v>
      </c>
      <c r="BY93" s="189" t="s">
        <v>355</v>
      </c>
      <c r="BZ93" s="190" t="s">
        <v>359</v>
      </c>
      <c r="CA93" s="190" t="s">
        <v>359</v>
      </c>
      <c r="CB93" s="124" t="s">
        <v>355</v>
      </c>
      <c r="CC93" s="41">
        <v>552.6</v>
      </c>
      <c r="CD93" s="199">
        <v>42.43</v>
      </c>
    </row>
    <row r="94" spans="1:82">
      <c r="A94" s="3" t="s">
        <v>454</v>
      </c>
      <c r="B94" s="3" t="s">
        <v>455</v>
      </c>
      <c r="C94" s="27" t="s">
        <v>456</v>
      </c>
      <c r="D94" s="3" t="s">
        <v>456</v>
      </c>
      <c r="E94" s="29">
        <v>13001</v>
      </c>
      <c r="F94" s="3" t="s">
        <v>471</v>
      </c>
      <c r="G94" s="4">
        <v>13116</v>
      </c>
      <c r="H94" s="39">
        <v>213.77</v>
      </c>
      <c r="I94" s="40">
        <v>2.52</v>
      </c>
      <c r="J94" s="41">
        <v>825.1</v>
      </c>
      <c r="K94" s="54">
        <v>2.04</v>
      </c>
      <c r="L94" s="54">
        <v>92.07</v>
      </c>
      <c r="M94" s="57">
        <v>100</v>
      </c>
      <c r="N94" s="54">
        <v>4.3600000000000003</v>
      </c>
      <c r="O94" s="58">
        <v>796.56</v>
      </c>
      <c r="P94" s="59">
        <v>15.98</v>
      </c>
      <c r="Q94" s="60">
        <v>344.22</v>
      </c>
      <c r="R94" s="61">
        <v>0.67</v>
      </c>
      <c r="S94" s="62">
        <v>389.24</v>
      </c>
      <c r="T94" s="60">
        <v>170</v>
      </c>
      <c r="U94" s="125">
        <v>7.56</v>
      </c>
      <c r="V94" s="125">
        <v>7.42</v>
      </c>
      <c r="W94" s="125">
        <v>0.62</v>
      </c>
      <c r="X94" s="126">
        <v>1.5</v>
      </c>
      <c r="Y94" s="31">
        <v>73.02</v>
      </c>
      <c r="Z94" s="116" t="s">
        <v>352</v>
      </c>
      <c r="AA94" s="131">
        <v>1.45</v>
      </c>
      <c r="AB94" s="125">
        <v>19.899999999999999</v>
      </c>
      <c r="AC94" s="125">
        <v>79.599999999999994</v>
      </c>
      <c r="AD94" s="138">
        <v>80</v>
      </c>
      <c r="AE94" s="141">
        <v>130</v>
      </c>
      <c r="AF94" s="116" t="s">
        <v>352</v>
      </c>
      <c r="AG94" s="116" t="s">
        <v>352</v>
      </c>
      <c r="AH94" s="116" t="s">
        <v>352</v>
      </c>
      <c r="AI94" s="116" t="s">
        <v>352</v>
      </c>
      <c r="AJ94" s="150">
        <v>3.87</v>
      </c>
      <c r="AK94" s="150">
        <v>51.23</v>
      </c>
      <c r="AL94" s="123">
        <v>19.170000000000002</v>
      </c>
      <c r="AM94" s="123">
        <v>48.81</v>
      </c>
      <c r="AN94" s="122">
        <v>1.5647746030199114</v>
      </c>
      <c r="AO94" s="116" t="s">
        <v>352</v>
      </c>
      <c r="AP94" s="125">
        <v>0</v>
      </c>
      <c r="AQ94" s="126">
        <v>625.04</v>
      </c>
      <c r="AR94" s="54">
        <v>235.72</v>
      </c>
      <c r="AS94" s="200" t="s">
        <v>351</v>
      </c>
      <c r="AT94" s="116" t="s">
        <v>352</v>
      </c>
      <c r="AU94" s="116" t="s">
        <v>352</v>
      </c>
      <c r="AV94" s="163">
        <v>295.45114469549605</v>
      </c>
      <c r="AW94" s="165">
        <v>7.6343109014634525</v>
      </c>
      <c r="AX94" s="164">
        <v>9.74</v>
      </c>
      <c r="AY94" s="134">
        <v>10.96</v>
      </c>
      <c r="AZ94" s="116" t="s">
        <v>352</v>
      </c>
      <c r="BA94" s="57">
        <v>14.85</v>
      </c>
      <c r="BB94" s="60">
        <v>3524</v>
      </c>
      <c r="BC94" s="168">
        <v>12.07</v>
      </c>
      <c r="BD94" s="168">
        <v>4.83</v>
      </c>
      <c r="BE94" s="116" t="s">
        <v>352</v>
      </c>
      <c r="BF94" s="116" t="s">
        <v>352</v>
      </c>
      <c r="BG94" s="169">
        <v>9.5</v>
      </c>
      <c r="BH94" s="170">
        <v>28.22</v>
      </c>
      <c r="BI94" s="116" t="s">
        <v>352</v>
      </c>
      <c r="BJ94" s="173">
        <v>33.333333333333336</v>
      </c>
      <c r="BK94" s="119">
        <v>0.13423775807395175</v>
      </c>
      <c r="BL94" s="162">
        <v>144.31534788408374</v>
      </c>
      <c r="BM94" s="162">
        <v>88.541767355539662</v>
      </c>
      <c r="BN94" s="162">
        <v>51.810466487521026</v>
      </c>
      <c r="BO94" s="60">
        <v>1180</v>
      </c>
      <c r="BP94" s="59">
        <v>0.08</v>
      </c>
      <c r="BQ94" s="180" t="s">
        <v>358</v>
      </c>
      <c r="BR94" s="116" t="s">
        <v>352</v>
      </c>
      <c r="BS94" s="184">
        <v>45.56</v>
      </c>
      <c r="BT94" s="124" t="s">
        <v>355</v>
      </c>
      <c r="BU94" s="131">
        <v>61.62</v>
      </c>
      <c r="BV94" s="54">
        <v>0</v>
      </c>
      <c r="BW94" s="189" t="s">
        <v>353</v>
      </c>
      <c r="BX94" s="189" t="s">
        <v>355</v>
      </c>
      <c r="BY94" s="189" t="s">
        <v>355</v>
      </c>
      <c r="BZ94" s="191">
        <v>0</v>
      </c>
      <c r="CA94" s="191">
        <v>0</v>
      </c>
      <c r="CB94" s="124" t="s">
        <v>355</v>
      </c>
      <c r="CC94" s="41">
        <v>0</v>
      </c>
      <c r="CD94" s="199">
        <v>23.99</v>
      </c>
    </row>
    <row r="95" spans="1:82">
      <c r="A95" s="3" t="s">
        <v>454</v>
      </c>
      <c r="B95" s="3" t="s">
        <v>455</v>
      </c>
      <c r="C95" s="27" t="s">
        <v>456</v>
      </c>
      <c r="D95" s="3" t="s">
        <v>456</v>
      </c>
      <c r="E95" s="29">
        <v>13001</v>
      </c>
      <c r="F95" s="3" t="s">
        <v>472</v>
      </c>
      <c r="G95" s="4">
        <v>13117</v>
      </c>
      <c r="H95" s="39">
        <v>197.15</v>
      </c>
      <c r="I95" s="40">
        <v>1.84</v>
      </c>
      <c r="J95" s="41">
        <v>597.67999999999995</v>
      </c>
      <c r="K95" s="54">
        <v>1.44</v>
      </c>
      <c r="L95" s="54">
        <v>95.41</v>
      </c>
      <c r="M95" s="57">
        <v>100</v>
      </c>
      <c r="N95" s="54">
        <v>3.2</v>
      </c>
      <c r="O95" s="58">
        <v>722.95</v>
      </c>
      <c r="P95" s="59">
        <v>27.95</v>
      </c>
      <c r="Q95" s="60">
        <v>343.03</v>
      </c>
      <c r="R95" s="61">
        <v>0.76</v>
      </c>
      <c r="S95" s="62">
        <v>438.75</v>
      </c>
      <c r="T95" s="60">
        <v>173</v>
      </c>
      <c r="U95" s="125">
        <v>8.84</v>
      </c>
      <c r="V95" s="125">
        <v>8.82</v>
      </c>
      <c r="W95" s="125">
        <v>0.19</v>
      </c>
      <c r="X95" s="126">
        <v>1.1399999999999999</v>
      </c>
      <c r="Y95" s="31">
        <v>52.42</v>
      </c>
      <c r="Z95" s="116" t="s">
        <v>352</v>
      </c>
      <c r="AA95" s="131">
        <v>1.25</v>
      </c>
      <c r="AB95" s="125">
        <v>30.6</v>
      </c>
      <c r="AC95" s="125">
        <v>75.400000000000006</v>
      </c>
      <c r="AD95" s="137">
        <v>75</v>
      </c>
      <c r="AE95" s="140">
        <v>90</v>
      </c>
      <c r="AF95" s="116" t="s">
        <v>352</v>
      </c>
      <c r="AG95" s="116" t="s">
        <v>352</v>
      </c>
      <c r="AH95" s="116" t="s">
        <v>352</v>
      </c>
      <c r="AI95" s="116" t="s">
        <v>352</v>
      </c>
      <c r="AJ95" s="150">
        <v>1.96</v>
      </c>
      <c r="AK95" s="150">
        <v>199.4</v>
      </c>
      <c r="AL95" s="123">
        <v>8.39</v>
      </c>
      <c r="AM95" s="123">
        <v>17.989999999999998</v>
      </c>
      <c r="AN95" s="122">
        <v>1.1706062972281006</v>
      </c>
      <c r="AO95" s="116" t="s">
        <v>352</v>
      </c>
      <c r="AP95" s="123" t="s">
        <v>351</v>
      </c>
      <c r="AQ95" s="126">
        <v>628.75</v>
      </c>
      <c r="AR95" s="54">
        <v>186.26</v>
      </c>
      <c r="AS95" s="200">
        <v>1.0444946889770889E-2</v>
      </c>
      <c r="AT95" s="116" t="s">
        <v>352</v>
      </c>
      <c r="AU95" s="116" t="s">
        <v>352</v>
      </c>
      <c r="AV95" s="163">
        <v>356.30972217499237</v>
      </c>
      <c r="AW95" s="165">
        <v>10.292427531605158</v>
      </c>
      <c r="AX95" s="164">
        <v>8.42</v>
      </c>
      <c r="AY95" s="134">
        <v>22.86</v>
      </c>
      <c r="AZ95" s="116" t="s">
        <v>352</v>
      </c>
      <c r="BA95" s="57">
        <v>13.18</v>
      </c>
      <c r="BB95" s="60">
        <v>3168</v>
      </c>
      <c r="BC95" s="168">
        <v>11.34</v>
      </c>
      <c r="BD95" s="168">
        <v>3.68</v>
      </c>
      <c r="BE95" s="116" t="s">
        <v>352</v>
      </c>
      <c r="BF95" s="116" t="s">
        <v>352</v>
      </c>
      <c r="BG95" s="169">
        <v>5.67</v>
      </c>
      <c r="BH95" s="170">
        <v>20.329999999999998</v>
      </c>
      <c r="BI95" s="116" t="s">
        <v>352</v>
      </c>
      <c r="BJ95" s="173">
        <v>37.5</v>
      </c>
      <c r="BK95" s="119">
        <v>0.24513832353968851</v>
      </c>
      <c r="BL95" s="162">
        <v>138.50279461312536</v>
      </c>
      <c r="BM95" s="162">
        <v>95.282064379242257</v>
      </c>
      <c r="BN95" s="162">
        <v>57.562154356944298</v>
      </c>
      <c r="BO95" s="60">
        <v>1162</v>
      </c>
      <c r="BP95" s="59">
        <v>0.11</v>
      </c>
      <c r="BQ95" s="180" t="s">
        <v>358</v>
      </c>
      <c r="BR95" s="116" t="s">
        <v>352</v>
      </c>
      <c r="BS95" s="184">
        <v>64.2</v>
      </c>
      <c r="BT95" s="124" t="s">
        <v>353</v>
      </c>
      <c r="BU95" s="131">
        <v>66.08</v>
      </c>
      <c r="BV95" s="54">
        <v>0</v>
      </c>
      <c r="BW95" s="177" t="s">
        <v>354</v>
      </c>
      <c r="BX95" s="177" t="s">
        <v>354</v>
      </c>
      <c r="BY95" s="189" t="s">
        <v>355</v>
      </c>
      <c r="BZ95" s="190" t="s">
        <v>359</v>
      </c>
      <c r="CA95" s="190" t="s">
        <v>359</v>
      </c>
      <c r="CB95" s="124" t="s">
        <v>351</v>
      </c>
      <c r="CC95" s="39" t="s">
        <v>351</v>
      </c>
      <c r="CD95" s="199">
        <v>24.96</v>
      </c>
    </row>
    <row r="96" spans="1:82">
      <c r="A96" s="3" t="s">
        <v>454</v>
      </c>
      <c r="B96" s="3" t="s">
        <v>455</v>
      </c>
      <c r="C96" s="27" t="s">
        <v>456</v>
      </c>
      <c r="D96" s="3" t="s">
        <v>456</v>
      </c>
      <c r="E96" s="29">
        <v>13001</v>
      </c>
      <c r="F96" s="3" t="s">
        <v>473</v>
      </c>
      <c r="G96" s="4">
        <v>13118</v>
      </c>
      <c r="H96" s="39">
        <v>238.16</v>
      </c>
      <c r="I96" s="40">
        <v>2.98</v>
      </c>
      <c r="J96" s="41">
        <v>833.95</v>
      </c>
      <c r="K96" s="54">
        <v>1.56</v>
      </c>
      <c r="L96" s="54">
        <v>86.37</v>
      </c>
      <c r="M96" s="57">
        <v>100</v>
      </c>
      <c r="N96" s="54">
        <v>4.1399999999999997</v>
      </c>
      <c r="O96" s="58">
        <v>1112.67</v>
      </c>
      <c r="P96" s="59">
        <v>10.64</v>
      </c>
      <c r="Q96" s="60">
        <v>520.77</v>
      </c>
      <c r="R96" s="61">
        <v>0.67</v>
      </c>
      <c r="S96" s="62">
        <v>552.96</v>
      </c>
      <c r="T96" s="60">
        <v>193</v>
      </c>
      <c r="U96" s="125">
        <v>6.24</v>
      </c>
      <c r="V96" s="125">
        <v>6.18</v>
      </c>
      <c r="W96" s="125">
        <v>0.34</v>
      </c>
      <c r="X96" s="126">
        <v>2.2799999999999998</v>
      </c>
      <c r="Y96" s="31">
        <v>49.15</v>
      </c>
      <c r="Z96" s="116" t="s">
        <v>352</v>
      </c>
      <c r="AA96" s="131">
        <v>1.33</v>
      </c>
      <c r="AB96" s="125">
        <v>29.4</v>
      </c>
      <c r="AC96" s="125">
        <v>62.9</v>
      </c>
      <c r="AD96" s="138">
        <v>80</v>
      </c>
      <c r="AE96" s="140">
        <v>90</v>
      </c>
      <c r="AF96" s="116" t="s">
        <v>352</v>
      </c>
      <c r="AG96" s="116" t="s">
        <v>352</v>
      </c>
      <c r="AH96" s="116" t="s">
        <v>352</v>
      </c>
      <c r="AI96" s="116" t="s">
        <v>352</v>
      </c>
      <c r="AJ96" s="150">
        <v>2.37</v>
      </c>
      <c r="AK96" s="150">
        <v>219.24</v>
      </c>
      <c r="AL96" s="123">
        <v>16.59</v>
      </c>
      <c r="AM96" s="123">
        <v>43.02</v>
      </c>
      <c r="AN96" s="122">
        <v>1.2668240447019301</v>
      </c>
      <c r="AO96" s="116" t="s">
        <v>352</v>
      </c>
      <c r="AP96" s="125">
        <v>3.47</v>
      </c>
      <c r="AQ96" s="126">
        <v>812.55</v>
      </c>
      <c r="AR96" s="54">
        <v>1031.81</v>
      </c>
      <c r="AS96" s="200">
        <v>3.7544704499726453E-2</v>
      </c>
      <c r="AT96" s="116" t="s">
        <v>352</v>
      </c>
      <c r="AU96" s="116" t="s">
        <v>352</v>
      </c>
      <c r="AV96" s="163">
        <v>623.88566906407834</v>
      </c>
      <c r="AW96" s="165">
        <v>21.138134443708402</v>
      </c>
      <c r="AX96" s="164">
        <v>3.79</v>
      </c>
      <c r="AY96" s="134">
        <v>19.27</v>
      </c>
      <c r="AZ96" s="116" t="s">
        <v>352</v>
      </c>
      <c r="BA96" s="57">
        <v>6.7</v>
      </c>
      <c r="BB96" s="60">
        <v>2523</v>
      </c>
      <c r="BC96" s="168">
        <v>5.97</v>
      </c>
      <c r="BD96" s="168">
        <v>2.4900000000000002</v>
      </c>
      <c r="BE96" s="116" t="s">
        <v>352</v>
      </c>
      <c r="BF96" s="116" t="s">
        <v>352</v>
      </c>
      <c r="BG96" s="169">
        <v>5.32</v>
      </c>
      <c r="BH96" s="170">
        <v>17.55</v>
      </c>
      <c r="BI96" s="116" t="s">
        <v>352</v>
      </c>
      <c r="BJ96" s="173">
        <v>70</v>
      </c>
      <c r="BK96" s="119">
        <v>0.30580800067879926</v>
      </c>
      <c r="BL96" s="162">
        <v>103.07245828207311</v>
      </c>
      <c r="BM96" s="162">
        <v>146.99851739692755</v>
      </c>
      <c r="BN96" s="162">
        <v>54.651272830510081</v>
      </c>
      <c r="BO96" s="60">
        <v>1940</v>
      </c>
      <c r="BP96" s="59">
        <v>0.2</v>
      </c>
      <c r="BQ96" s="180" t="s">
        <v>358</v>
      </c>
      <c r="BR96" s="116" t="s">
        <v>352</v>
      </c>
      <c r="BS96" s="184">
        <v>43.77</v>
      </c>
      <c r="BT96" s="124" t="s">
        <v>353</v>
      </c>
      <c r="BU96" s="131">
        <v>15.22</v>
      </c>
      <c r="BV96" s="54">
        <v>0</v>
      </c>
      <c r="BW96" s="177" t="s">
        <v>354</v>
      </c>
      <c r="BX96" s="177" t="s">
        <v>354</v>
      </c>
      <c r="BY96" s="189" t="s">
        <v>355</v>
      </c>
      <c r="BZ96" s="190" t="s">
        <v>359</v>
      </c>
      <c r="CA96" s="190" t="s">
        <v>359</v>
      </c>
      <c r="CB96" s="124" t="s">
        <v>355</v>
      </c>
      <c r="CC96" s="39" t="s">
        <v>351</v>
      </c>
      <c r="CD96" s="199">
        <v>31.04</v>
      </c>
    </row>
    <row r="97" spans="1:82">
      <c r="A97" s="3" t="s">
        <v>454</v>
      </c>
      <c r="B97" s="3" t="s">
        <v>455</v>
      </c>
      <c r="C97" s="27" t="s">
        <v>456</v>
      </c>
      <c r="D97" s="3" t="s">
        <v>456</v>
      </c>
      <c r="E97" s="29">
        <v>13001</v>
      </c>
      <c r="F97" s="3" t="s">
        <v>474</v>
      </c>
      <c r="G97" s="4">
        <v>13119</v>
      </c>
      <c r="H97" s="39">
        <v>170.11</v>
      </c>
      <c r="I97" s="40">
        <v>3.57</v>
      </c>
      <c r="J97" s="41">
        <v>814.08</v>
      </c>
      <c r="K97" s="54">
        <v>2.0499999999999998</v>
      </c>
      <c r="L97" s="54">
        <v>97.12</v>
      </c>
      <c r="M97" s="57">
        <v>99.58</v>
      </c>
      <c r="N97" s="54">
        <v>5.5</v>
      </c>
      <c r="O97" s="58">
        <v>1183.3800000000001</v>
      </c>
      <c r="P97" s="59">
        <v>4.95</v>
      </c>
      <c r="Q97" s="60">
        <v>524.45000000000005</v>
      </c>
      <c r="R97" s="61">
        <v>0.89</v>
      </c>
      <c r="S97" s="62">
        <v>854.81</v>
      </c>
      <c r="T97" s="60">
        <v>240</v>
      </c>
      <c r="U97" s="125">
        <v>5.89</v>
      </c>
      <c r="V97" s="125">
        <v>5.86</v>
      </c>
      <c r="W97" s="125">
        <v>0.38</v>
      </c>
      <c r="X97" s="126">
        <v>1.96</v>
      </c>
      <c r="Y97" s="31">
        <v>53.82</v>
      </c>
      <c r="Z97" s="116" t="s">
        <v>352</v>
      </c>
      <c r="AA97" s="131">
        <v>1.5</v>
      </c>
      <c r="AB97" s="125">
        <v>31.8</v>
      </c>
      <c r="AC97" s="125">
        <v>71</v>
      </c>
      <c r="AD97" s="137">
        <v>90</v>
      </c>
      <c r="AE97" s="141">
        <v>110</v>
      </c>
      <c r="AF97" s="116" t="s">
        <v>352</v>
      </c>
      <c r="AG97" s="116" t="s">
        <v>352</v>
      </c>
      <c r="AH97" s="116" t="s">
        <v>352</v>
      </c>
      <c r="AI97" s="116" t="s">
        <v>352</v>
      </c>
      <c r="AJ97" s="150">
        <v>5.75</v>
      </c>
      <c r="AK97" s="150">
        <v>213.93</v>
      </c>
      <c r="AL97" s="123">
        <v>10.73</v>
      </c>
      <c r="AM97" s="123">
        <v>18.36</v>
      </c>
      <c r="AN97" s="122">
        <v>1.3024543804477315</v>
      </c>
      <c r="AO97" s="116" t="s">
        <v>352</v>
      </c>
      <c r="AP97" s="125">
        <v>0.81</v>
      </c>
      <c r="AQ97" s="126">
        <v>687.99</v>
      </c>
      <c r="AR97" s="54">
        <v>659.33</v>
      </c>
      <c r="AS97" s="200">
        <v>1.5138847040829809E-2</v>
      </c>
      <c r="AT97" s="116" t="s">
        <v>352</v>
      </c>
      <c r="AU97" s="116" t="s">
        <v>352</v>
      </c>
      <c r="AV97" s="163">
        <v>742.93139423016851</v>
      </c>
      <c r="AW97" s="165">
        <v>21.36173805268405</v>
      </c>
      <c r="AX97" s="164">
        <v>4.62</v>
      </c>
      <c r="AY97" s="134">
        <v>53.33</v>
      </c>
      <c r="AZ97" s="116" t="s">
        <v>352</v>
      </c>
      <c r="BA97" s="57">
        <v>6.81</v>
      </c>
      <c r="BB97" s="60">
        <v>6715</v>
      </c>
      <c r="BC97" s="168">
        <v>4.8</v>
      </c>
      <c r="BD97" s="168">
        <v>1.69</v>
      </c>
      <c r="BE97" s="116" t="s">
        <v>352</v>
      </c>
      <c r="BF97" s="116" t="s">
        <v>352</v>
      </c>
      <c r="BG97" s="169">
        <v>5.24</v>
      </c>
      <c r="BH97" s="170">
        <v>12.5</v>
      </c>
      <c r="BI97" s="116" t="s">
        <v>352</v>
      </c>
      <c r="BJ97" s="173">
        <v>85.18518518518519</v>
      </c>
      <c r="BK97" s="119">
        <v>0.22910921400917028</v>
      </c>
      <c r="BL97" s="162">
        <v>90.010148819413885</v>
      </c>
      <c r="BM97" s="162">
        <v>104.00294585200686</v>
      </c>
      <c r="BN97" s="162">
        <v>46.055881375569186</v>
      </c>
      <c r="BO97" s="60">
        <v>2222</v>
      </c>
      <c r="BP97" s="59">
        <v>0.01</v>
      </c>
      <c r="BQ97" s="180" t="s">
        <v>358</v>
      </c>
      <c r="BR97" s="116" t="s">
        <v>352</v>
      </c>
      <c r="BS97" s="184">
        <v>29.1</v>
      </c>
      <c r="BT97" s="124" t="s">
        <v>353</v>
      </c>
      <c r="BU97" s="131">
        <v>41.45</v>
      </c>
      <c r="BV97" s="54">
        <v>0</v>
      </c>
      <c r="BW97" s="177" t="s">
        <v>354</v>
      </c>
      <c r="BX97" s="177" t="s">
        <v>354</v>
      </c>
      <c r="BY97" s="189" t="s">
        <v>353</v>
      </c>
      <c r="BZ97" s="190" t="s">
        <v>359</v>
      </c>
      <c r="CA97" s="190" t="s">
        <v>359</v>
      </c>
      <c r="CB97" s="124" t="s">
        <v>351</v>
      </c>
      <c r="CC97" s="39" t="s">
        <v>351</v>
      </c>
      <c r="CD97" s="199">
        <v>27.66</v>
      </c>
    </row>
    <row r="98" spans="1:82">
      <c r="A98" s="3" t="s">
        <v>454</v>
      </c>
      <c r="B98" s="3" t="s">
        <v>455</v>
      </c>
      <c r="C98" s="27" t="s">
        <v>456</v>
      </c>
      <c r="D98" s="3" t="s">
        <v>456</v>
      </c>
      <c r="E98" s="29">
        <v>13001</v>
      </c>
      <c r="F98" s="3" t="s">
        <v>475</v>
      </c>
      <c r="G98" s="4">
        <v>13120</v>
      </c>
      <c r="H98" s="39">
        <v>349.66</v>
      </c>
      <c r="I98" s="40">
        <v>2.2799999999999998</v>
      </c>
      <c r="J98" s="41">
        <v>1087.08</v>
      </c>
      <c r="K98" s="54">
        <v>1</v>
      </c>
      <c r="L98" s="54">
        <v>63.2</v>
      </c>
      <c r="M98" s="57">
        <v>100</v>
      </c>
      <c r="N98" s="54">
        <v>2.44</v>
      </c>
      <c r="O98" s="58">
        <v>1087.1099999999999</v>
      </c>
      <c r="P98" s="59">
        <v>1.1499999999999999</v>
      </c>
      <c r="Q98" s="60">
        <v>541.4</v>
      </c>
      <c r="R98" s="61">
        <v>0.7</v>
      </c>
      <c r="S98" s="62">
        <v>899.22</v>
      </c>
      <c r="T98" s="60">
        <v>202</v>
      </c>
      <c r="U98" s="125">
        <v>5.15</v>
      </c>
      <c r="V98" s="125">
        <v>5.13</v>
      </c>
      <c r="W98" s="125">
        <v>0.14000000000000001</v>
      </c>
      <c r="X98" s="126">
        <v>6.94</v>
      </c>
      <c r="Y98" s="31">
        <v>93.68</v>
      </c>
      <c r="Z98" s="116" t="s">
        <v>352</v>
      </c>
      <c r="AA98" s="131">
        <v>1.08</v>
      </c>
      <c r="AB98" s="125">
        <v>26.7</v>
      </c>
      <c r="AC98" s="125">
        <v>56.5</v>
      </c>
      <c r="AD98" s="138">
        <v>65</v>
      </c>
      <c r="AE98" s="141">
        <v>83</v>
      </c>
      <c r="AF98" s="116" t="s">
        <v>352</v>
      </c>
      <c r="AG98" s="116" t="s">
        <v>352</v>
      </c>
      <c r="AH98" s="116" t="s">
        <v>352</v>
      </c>
      <c r="AI98" s="116" t="s">
        <v>352</v>
      </c>
      <c r="AJ98" s="150">
        <v>2.17</v>
      </c>
      <c r="AK98" s="150">
        <v>207.97</v>
      </c>
      <c r="AL98" s="123">
        <v>19.190000000000001</v>
      </c>
      <c r="AM98" s="123">
        <v>22.46</v>
      </c>
      <c r="AN98" s="122">
        <v>0.89680517234748403</v>
      </c>
      <c r="AO98" s="116" t="s">
        <v>352</v>
      </c>
      <c r="AP98" s="123" t="s">
        <v>351</v>
      </c>
      <c r="AQ98" s="126">
        <v>1030.73</v>
      </c>
      <c r="AR98" s="54">
        <v>781.49</v>
      </c>
      <c r="AS98" s="200">
        <v>1.5960229497857747E-2</v>
      </c>
      <c r="AT98" s="116" t="s">
        <v>352</v>
      </c>
      <c r="AU98" s="116" t="s">
        <v>352</v>
      </c>
      <c r="AV98" s="163">
        <v>707.00574668940715</v>
      </c>
      <c r="AW98" s="165">
        <v>28.197462826245189</v>
      </c>
      <c r="AX98" s="164">
        <v>5.86</v>
      </c>
      <c r="AY98" s="134">
        <v>48.36</v>
      </c>
      <c r="AZ98" s="116" t="s">
        <v>352</v>
      </c>
      <c r="BA98" s="57">
        <v>2.06</v>
      </c>
      <c r="BB98" s="60">
        <v>2313</v>
      </c>
      <c r="BC98" s="168">
        <v>2.6</v>
      </c>
      <c r="BD98" s="168">
        <v>1.65</v>
      </c>
      <c r="BE98" s="116" t="s">
        <v>352</v>
      </c>
      <c r="BF98" s="116" t="s">
        <v>352</v>
      </c>
      <c r="BG98" s="169">
        <v>2.41</v>
      </c>
      <c r="BH98" s="170">
        <v>10.72</v>
      </c>
      <c r="BI98" s="116" t="s">
        <v>352</v>
      </c>
      <c r="BJ98" s="173">
        <v>27.027027027027028</v>
      </c>
      <c r="BK98" s="119">
        <v>0.39331547275002998</v>
      </c>
      <c r="BL98" s="162">
        <v>103.67924855290977</v>
      </c>
      <c r="BM98" s="162">
        <v>246.0486638244775</v>
      </c>
      <c r="BN98" s="162">
        <v>32.234584589788916</v>
      </c>
      <c r="BO98" s="60">
        <v>1784</v>
      </c>
      <c r="BP98" s="59">
        <v>0.06</v>
      </c>
      <c r="BQ98" s="180" t="s">
        <v>358</v>
      </c>
      <c r="BR98" s="116" t="s">
        <v>352</v>
      </c>
      <c r="BS98" s="184">
        <v>0.37</v>
      </c>
      <c r="BT98" s="124" t="s">
        <v>353</v>
      </c>
      <c r="BU98" s="131">
        <v>6.62</v>
      </c>
      <c r="BV98" s="54">
        <v>0</v>
      </c>
      <c r="BW98" s="189" t="s">
        <v>355</v>
      </c>
      <c r="BX98" s="189" t="s">
        <v>355</v>
      </c>
      <c r="BY98" s="189" t="s">
        <v>353</v>
      </c>
      <c r="BZ98" s="191">
        <v>0</v>
      </c>
      <c r="CA98" s="191">
        <v>0</v>
      </c>
      <c r="CB98" s="124" t="s">
        <v>355</v>
      </c>
      <c r="CC98" s="41">
        <v>856.6</v>
      </c>
      <c r="CD98" s="199">
        <v>35.64</v>
      </c>
    </row>
    <row r="99" spans="1:82">
      <c r="A99" s="3" t="s">
        <v>454</v>
      </c>
      <c r="B99" s="3" t="s">
        <v>455</v>
      </c>
      <c r="C99" s="27" t="s">
        <v>456</v>
      </c>
      <c r="D99" s="3" t="s">
        <v>456</v>
      </c>
      <c r="E99" s="29">
        <v>13001</v>
      </c>
      <c r="F99" s="3" t="s">
        <v>476</v>
      </c>
      <c r="G99" s="4">
        <v>13121</v>
      </c>
      <c r="H99" s="39">
        <v>260.62</v>
      </c>
      <c r="I99" s="40">
        <v>2.08</v>
      </c>
      <c r="J99" s="41">
        <v>772.79</v>
      </c>
      <c r="K99" s="54">
        <v>3.48</v>
      </c>
      <c r="L99" s="54">
        <v>85.08</v>
      </c>
      <c r="M99" s="57">
        <v>100</v>
      </c>
      <c r="N99" s="54">
        <v>5.25</v>
      </c>
      <c r="O99" s="58">
        <v>675.41</v>
      </c>
      <c r="P99" s="59">
        <v>26.53</v>
      </c>
      <c r="Q99" s="60">
        <v>363.57</v>
      </c>
      <c r="R99" s="61">
        <v>0.93</v>
      </c>
      <c r="S99" s="62">
        <v>412.14</v>
      </c>
      <c r="T99" s="60">
        <v>206</v>
      </c>
      <c r="U99" s="125">
        <v>5.0599999999999996</v>
      </c>
      <c r="V99" s="125">
        <v>4.93</v>
      </c>
      <c r="W99" s="125">
        <v>0.61</v>
      </c>
      <c r="X99" s="126">
        <v>2.14</v>
      </c>
      <c r="Y99" s="31">
        <v>71.36</v>
      </c>
      <c r="Z99" s="116" t="s">
        <v>352</v>
      </c>
      <c r="AA99" s="131">
        <v>1.42</v>
      </c>
      <c r="AB99" s="125">
        <v>20.399999999999999</v>
      </c>
      <c r="AC99" s="125">
        <v>69.7</v>
      </c>
      <c r="AD99" s="138">
        <v>85</v>
      </c>
      <c r="AE99" s="141">
        <v>120</v>
      </c>
      <c r="AF99" s="116" t="s">
        <v>352</v>
      </c>
      <c r="AG99" s="116" t="s">
        <v>352</v>
      </c>
      <c r="AH99" s="116" t="s">
        <v>352</v>
      </c>
      <c r="AI99" s="116" t="s">
        <v>352</v>
      </c>
      <c r="AJ99" s="150">
        <v>7.5</v>
      </c>
      <c r="AK99" s="150">
        <v>99.43</v>
      </c>
      <c r="AL99" s="123">
        <v>15.2</v>
      </c>
      <c r="AM99" s="123">
        <v>37.729999999999997</v>
      </c>
      <c r="AN99" s="122">
        <v>1.1804941169970053</v>
      </c>
      <c r="AO99" s="116" t="s">
        <v>352</v>
      </c>
      <c r="AP99" s="125">
        <v>0</v>
      </c>
      <c r="AQ99" s="126">
        <v>706.55</v>
      </c>
      <c r="AR99" s="54">
        <v>240.6</v>
      </c>
      <c r="AS99" s="200">
        <v>4.6520124115797352E-3</v>
      </c>
      <c r="AT99" s="116" t="s">
        <v>352</v>
      </c>
      <c r="AU99" s="116" t="s">
        <v>352</v>
      </c>
      <c r="AV99" s="163">
        <v>579.57666287092241</v>
      </c>
      <c r="AW99" s="165">
        <v>16.232822100276721</v>
      </c>
      <c r="AX99" s="164">
        <v>8.1999999999999993</v>
      </c>
      <c r="AY99" s="134">
        <v>7.37</v>
      </c>
      <c r="AZ99" s="116" t="s">
        <v>352</v>
      </c>
      <c r="BA99" s="57">
        <v>12.17</v>
      </c>
      <c r="BB99" s="60">
        <v>3257</v>
      </c>
      <c r="BC99" s="168">
        <v>10</v>
      </c>
      <c r="BD99" s="168">
        <v>4.18</v>
      </c>
      <c r="BE99" s="116" t="s">
        <v>352</v>
      </c>
      <c r="BF99" s="116" t="s">
        <v>352</v>
      </c>
      <c r="BG99" s="169">
        <v>11.02</v>
      </c>
      <c r="BH99" s="170">
        <v>30.98</v>
      </c>
      <c r="BI99" s="116" t="s">
        <v>352</v>
      </c>
      <c r="BJ99" s="173">
        <v>44.444444444444443</v>
      </c>
      <c r="BK99" s="119">
        <v>0.23981382376013249</v>
      </c>
      <c r="BL99" s="162">
        <v>137.04798086393697</v>
      </c>
      <c r="BM99" s="162">
        <v>102.43421978331223</v>
      </c>
      <c r="BN99" s="162">
        <v>56.470146803620842</v>
      </c>
      <c r="BO99" s="60">
        <v>857</v>
      </c>
      <c r="BP99" s="59">
        <v>0.16</v>
      </c>
      <c r="BQ99" s="180" t="s">
        <v>358</v>
      </c>
      <c r="BR99" s="116" t="s">
        <v>352</v>
      </c>
      <c r="BS99" s="184">
        <v>21.13</v>
      </c>
      <c r="BT99" s="124" t="s">
        <v>355</v>
      </c>
      <c r="BU99" s="131">
        <v>56.45</v>
      </c>
      <c r="BV99" s="54">
        <v>0.28000000000000003</v>
      </c>
      <c r="BW99" s="189" t="s">
        <v>353</v>
      </c>
      <c r="BX99" s="189" t="s">
        <v>355</v>
      </c>
      <c r="BY99" s="189" t="s">
        <v>355</v>
      </c>
      <c r="BZ99" s="191">
        <v>0</v>
      </c>
      <c r="CA99" s="191">
        <v>0</v>
      </c>
      <c r="CB99" s="124" t="s">
        <v>355</v>
      </c>
      <c r="CC99" s="41">
        <v>0</v>
      </c>
      <c r="CD99" s="199">
        <v>29.66</v>
      </c>
    </row>
    <row r="100" spans="1:82">
      <c r="A100" s="3" t="s">
        <v>454</v>
      </c>
      <c r="B100" s="3" t="s">
        <v>455</v>
      </c>
      <c r="C100" s="27" t="s">
        <v>456</v>
      </c>
      <c r="D100" s="3" t="s">
        <v>456</v>
      </c>
      <c r="E100" s="29">
        <v>13001</v>
      </c>
      <c r="F100" s="3" t="s">
        <v>477</v>
      </c>
      <c r="G100" s="4">
        <v>13122</v>
      </c>
      <c r="H100" s="39">
        <v>219.73</v>
      </c>
      <c r="I100" s="40">
        <v>3.61</v>
      </c>
      <c r="J100" s="41">
        <v>1008.12</v>
      </c>
      <c r="K100" s="54">
        <v>2.4300000000000002</v>
      </c>
      <c r="L100" s="54">
        <v>90.24</v>
      </c>
      <c r="M100" s="57">
        <v>99.36</v>
      </c>
      <c r="N100" s="54">
        <v>5.66</v>
      </c>
      <c r="O100" s="58">
        <v>1050.8</v>
      </c>
      <c r="P100" s="59">
        <v>2.2400000000000002</v>
      </c>
      <c r="Q100" s="60">
        <v>683.77</v>
      </c>
      <c r="R100" s="61">
        <v>0.56000000000000005</v>
      </c>
      <c r="S100" s="62">
        <v>660.29</v>
      </c>
      <c r="T100" s="60">
        <v>320</v>
      </c>
      <c r="U100" s="125">
        <v>6.52</v>
      </c>
      <c r="V100" s="125">
        <v>6.5</v>
      </c>
      <c r="W100" s="125">
        <v>0.22</v>
      </c>
      <c r="X100" s="126">
        <v>3.09</v>
      </c>
      <c r="Y100" s="31">
        <v>87.89</v>
      </c>
      <c r="Z100" s="116" t="s">
        <v>352</v>
      </c>
      <c r="AA100" s="131">
        <v>1.33</v>
      </c>
      <c r="AB100" s="125">
        <v>24.4</v>
      </c>
      <c r="AC100" s="125">
        <v>64.599999999999994</v>
      </c>
      <c r="AD100" s="138">
        <v>80</v>
      </c>
      <c r="AE100" s="140">
        <v>90</v>
      </c>
      <c r="AF100" s="116" t="s">
        <v>352</v>
      </c>
      <c r="AG100" s="116" t="s">
        <v>352</v>
      </c>
      <c r="AH100" s="116" t="s">
        <v>352</v>
      </c>
      <c r="AI100" s="116" t="s">
        <v>352</v>
      </c>
      <c r="AJ100" s="150">
        <v>5.04</v>
      </c>
      <c r="AK100" s="150">
        <v>146.29</v>
      </c>
      <c r="AL100" s="123">
        <v>9</v>
      </c>
      <c r="AM100" s="123">
        <v>24</v>
      </c>
      <c r="AN100" s="122">
        <v>1.3371518028746108</v>
      </c>
      <c r="AO100" s="116" t="s">
        <v>352</v>
      </c>
      <c r="AP100" s="123" t="s">
        <v>351</v>
      </c>
      <c r="AQ100" s="126">
        <v>757.09</v>
      </c>
      <c r="AR100" s="54">
        <v>354.98</v>
      </c>
      <c r="AS100" s="200">
        <v>2.9395147225203047E-2</v>
      </c>
      <c r="AT100" s="116" t="s">
        <v>352</v>
      </c>
      <c r="AU100" s="116" t="s">
        <v>352</v>
      </c>
      <c r="AV100" s="163">
        <v>529.62093734442783</v>
      </c>
      <c r="AW100" s="165">
        <v>14.448186749652717</v>
      </c>
      <c r="AX100" s="164">
        <v>6.53</v>
      </c>
      <c r="AY100" s="134">
        <v>50.86</v>
      </c>
      <c r="AZ100" s="116" t="s">
        <v>352</v>
      </c>
      <c r="BA100" s="57">
        <v>12.55</v>
      </c>
      <c r="BB100" s="60">
        <v>5910</v>
      </c>
      <c r="BC100" s="168">
        <v>8.4700000000000006</v>
      </c>
      <c r="BD100" s="168">
        <v>2.84</v>
      </c>
      <c r="BE100" s="116" t="s">
        <v>352</v>
      </c>
      <c r="BF100" s="116" t="s">
        <v>352</v>
      </c>
      <c r="BG100" s="169">
        <v>4.75</v>
      </c>
      <c r="BH100" s="170">
        <v>20.73</v>
      </c>
      <c r="BI100" s="116" t="s">
        <v>352</v>
      </c>
      <c r="BJ100" s="173">
        <v>45.161290322580648</v>
      </c>
      <c r="BK100" s="119">
        <v>0.37658943698657704</v>
      </c>
      <c r="BL100" s="162">
        <v>84.628696927601908</v>
      </c>
      <c r="BM100" s="162">
        <v>105.3105380382905</v>
      </c>
      <c r="BN100" s="162">
        <v>49.473447309808549</v>
      </c>
      <c r="BO100" s="60">
        <v>1381</v>
      </c>
      <c r="BP100" s="59">
        <v>0.02</v>
      </c>
      <c r="BQ100" s="180" t="s">
        <v>358</v>
      </c>
      <c r="BR100" s="116" t="s">
        <v>352</v>
      </c>
      <c r="BS100" s="184">
        <v>63.05</v>
      </c>
      <c r="BT100" s="124" t="s">
        <v>353</v>
      </c>
      <c r="BU100" s="131">
        <v>26.17</v>
      </c>
      <c r="BV100" s="54">
        <v>0</v>
      </c>
      <c r="BW100" s="189" t="s">
        <v>353</v>
      </c>
      <c r="BX100" s="189" t="s">
        <v>355</v>
      </c>
      <c r="BY100" s="189" t="s">
        <v>355</v>
      </c>
      <c r="BZ100" s="191">
        <v>0</v>
      </c>
      <c r="CA100" s="191">
        <v>0</v>
      </c>
      <c r="CB100" s="124" t="s">
        <v>351</v>
      </c>
      <c r="CC100" s="39" t="s">
        <v>351</v>
      </c>
      <c r="CD100" s="199">
        <v>27.31</v>
      </c>
    </row>
    <row r="101" spans="1:82">
      <c r="A101" s="3" t="s">
        <v>454</v>
      </c>
      <c r="B101" s="3" t="s">
        <v>455</v>
      </c>
      <c r="C101" s="27" t="s">
        <v>456</v>
      </c>
      <c r="D101" s="3" t="s">
        <v>456</v>
      </c>
      <c r="E101" s="29">
        <v>13001</v>
      </c>
      <c r="F101" s="3" t="s">
        <v>478</v>
      </c>
      <c r="G101" s="4">
        <v>13123</v>
      </c>
      <c r="H101" s="39">
        <v>345.05</v>
      </c>
      <c r="I101" s="40">
        <v>2.88</v>
      </c>
      <c r="J101" s="41">
        <v>852.25</v>
      </c>
      <c r="K101" s="54">
        <v>13.09</v>
      </c>
      <c r="L101" s="54">
        <v>64.36</v>
      </c>
      <c r="M101" s="57">
        <v>100</v>
      </c>
      <c r="N101" s="54">
        <v>14.94</v>
      </c>
      <c r="O101" s="58">
        <v>1047.78</v>
      </c>
      <c r="P101" s="59">
        <v>0.85</v>
      </c>
      <c r="Q101" s="60">
        <v>695.31</v>
      </c>
      <c r="R101" s="61">
        <v>0.76</v>
      </c>
      <c r="S101" s="62">
        <v>1785.42</v>
      </c>
      <c r="T101" s="60">
        <v>220</v>
      </c>
      <c r="U101" s="125">
        <v>12.06</v>
      </c>
      <c r="V101" s="125">
        <v>12.03</v>
      </c>
      <c r="W101" s="125">
        <v>0.32</v>
      </c>
      <c r="X101" s="126">
        <v>9.49</v>
      </c>
      <c r="Y101" s="31">
        <v>99.82</v>
      </c>
      <c r="Z101" s="116" t="s">
        <v>352</v>
      </c>
      <c r="AA101" s="131">
        <v>0.75</v>
      </c>
      <c r="AB101" s="125">
        <v>30.2</v>
      </c>
      <c r="AC101" s="125">
        <v>57.8</v>
      </c>
      <c r="AD101" s="138">
        <v>45</v>
      </c>
      <c r="AE101" s="141">
        <v>65</v>
      </c>
      <c r="AF101" s="116" t="s">
        <v>352</v>
      </c>
      <c r="AG101" s="116" t="s">
        <v>352</v>
      </c>
      <c r="AH101" s="116" t="s">
        <v>352</v>
      </c>
      <c r="AI101" s="116" t="s">
        <v>352</v>
      </c>
      <c r="AJ101" s="150">
        <v>2.65</v>
      </c>
      <c r="AK101" s="150">
        <v>542.23</v>
      </c>
      <c r="AL101" s="123">
        <v>20.079999999999998</v>
      </c>
      <c r="AM101" s="123">
        <v>17.13</v>
      </c>
      <c r="AN101" s="122">
        <v>1.4005194599778381</v>
      </c>
      <c r="AO101" s="116" t="s">
        <v>352</v>
      </c>
      <c r="AP101" s="125">
        <v>0</v>
      </c>
      <c r="AQ101" s="126">
        <v>1573.31</v>
      </c>
      <c r="AR101" s="54">
        <v>2414.14</v>
      </c>
      <c r="AS101" s="200">
        <v>9.5879796367497022E-2</v>
      </c>
      <c r="AT101" s="116" t="s">
        <v>352</v>
      </c>
      <c r="AU101" s="116" t="s">
        <v>352</v>
      </c>
      <c r="AV101" s="163">
        <v>842.62860860832541</v>
      </c>
      <c r="AW101" s="165">
        <v>39.441347439784963</v>
      </c>
      <c r="AX101" s="164">
        <v>5.3</v>
      </c>
      <c r="AY101" s="134">
        <v>65.53</v>
      </c>
      <c r="AZ101" s="116" t="s">
        <v>352</v>
      </c>
      <c r="BA101" s="57">
        <v>1.27</v>
      </c>
      <c r="BB101" s="60">
        <v>2344</v>
      </c>
      <c r="BC101" s="168">
        <v>2.23</v>
      </c>
      <c r="BD101" s="168">
        <v>2.34</v>
      </c>
      <c r="BE101" s="116" t="s">
        <v>352</v>
      </c>
      <c r="BF101" s="116" t="s">
        <v>352</v>
      </c>
      <c r="BG101" s="169">
        <v>0.74</v>
      </c>
      <c r="BH101" s="170">
        <v>4.62</v>
      </c>
      <c r="BI101" s="116" t="s">
        <v>352</v>
      </c>
      <c r="BJ101" s="173">
        <v>0</v>
      </c>
      <c r="BK101" s="119">
        <v>0.24784367892646783</v>
      </c>
      <c r="BL101" s="162">
        <v>209.41195164258949</v>
      </c>
      <c r="BM101" s="162">
        <v>623.73379589782974</v>
      </c>
      <c r="BN101" s="162">
        <v>23.96684365937951</v>
      </c>
      <c r="BO101" s="60">
        <v>1816</v>
      </c>
      <c r="BP101" s="59">
        <v>0.04</v>
      </c>
      <c r="BQ101" s="180" t="s">
        <v>358</v>
      </c>
      <c r="BR101" s="116" t="s">
        <v>352</v>
      </c>
      <c r="BS101" s="184">
        <v>10.36</v>
      </c>
      <c r="BT101" s="124" t="s">
        <v>353</v>
      </c>
      <c r="BU101" s="131">
        <v>1.94</v>
      </c>
      <c r="BV101" s="54">
        <v>0</v>
      </c>
      <c r="BW101" s="177" t="s">
        <v>354</v>
      </c>
      <c r="BX101" s="177" t="s">
        <v>354</v>
      </c>
      <c r="BY101" s="189" t="s">
        <v>353</v>
      </c>
      <c r="BZ101" s="191">
        <v>0</v>
      </c>
      <c r="CA101" s="191">
        <v>10</v>
      </c>
      <c r="CB101" s="124" t="s">
        <v>351</v>
      </c>
      <c r="CC101" s="39" t="s">
        <v>351</v>
      </c>
      <c r="CD101" s="199">
        <v>37.72</v>
      </c>
    </row>
    <row r="102" spans="1:82">
      <c r="A102" s="3" t="s">
        <v>454</v>
      </c>
      <c r="B102" s="3" t="s">
        <v>455</v>
      </c>
      <c r="C102" s="27" t="s">
        <v>456</v>
      </c>
      <c r="D102" s="3" t="s">
        <v>456</v>
      </c>
      <c r="E102" s="29">
        <v>13001</v>
      </c>
      <c r="F102" s="3" t="s">
        <v>479</v>
      </c>
      <c r="G102" s="4">
        <v>13124</v>
      </c>
      <c r="H102" s="39">
        <v>185.01</v>
      </c>
      <c r="I102" s="40">
        <v>3.57</v>
      </c>
      <c r="J102" s="41">
        <v>1180.17</v>
      </c>
      <c r="K102" s="54">
        <v>1.37</v>
      </c>
      <c r="L102" s="54">
        <v>94.55</v>
      </c>
      <c r="M102" s="57">
        <v>97.18</v>
      </c>
      <c r="N102" s="54">
        <v>4.71</v>
      </c>
      <c r="O102" s="58">
        <v>640.9</v>
      </c>
      <c r="P102" s="59">
        <v>12.15</v>
      </c>
      <c r="Q102" s="60">
        <v>370.15</v>
      </c>
      <c r="R102" s="61">
        <v>0.72</v>
      </c>
      <c r="S102" s="62">
        <v>547.02</v>
      </c>
      <c r="T102" s="60">
        <v>248</v>
      </c>
      <c r="U102" s="125">
        <v>7.28</v>
      </c>
      <c r="V102" s="125">
        <v>7.23</v>
      </c>
      <c r="W102" s="125">
        <v>0.14000000000000001</v>
      </c>
      <c r="X102" s="126">
        <v>0.59</v>
      </c>
      <c r="Y102" s="31">
        <v>39.08</v>
      </c>
      <c r="Z102" s="116" t="s">
        <v>352</v>
      </c>
      <c r="AA102" s="131">
        <v>1.33</v>
      </c>
      <c r="AB102" s="125">
        <v>25.4</v>
      </c>
      <c r="AC102" s="125">
        <v>73.400000000000006</v>
      </c>
      <c r="AD102" s="138">
        <v>80</v>
      </c>
      <c r="AE102" s="140">
        <v>105</v>
      </c>
      <c r="AF102" s="116" t="s">
        <v>352</v>
      </c>
      <c r="AG102" s="116" t="s">
        <v>352</v>
      </c>
      <c r="AH102" s="116" t="s">
        <v>352</v>
      </c>
      <c r="AI102" s="116" t="s">
        <v>352</v>
      </c>
      <c r="AJ102" s="150">
        <v>9</v>
      </c>
      <c r="AK102" s="150">
        <v>220.84</v>
      </c>
      <c r="AL102" s="123">
        <v>9.06</v>
      </c>
      <c r="AM102" s="123">
        <v>19.39</v>
      </c>
      <c r="AN102" s="122">
        <v>0.99462566604957492</v>
      </c>
      <c r="AO102" s="116" t="s">
        <v>352</v>
      </c>
      <c r="AP102" s="123" t="s">
        <v>351</v>
      </c>
      <c r="AQ102" s="126">
        <v>682.73</v>
      </c>
      <c r="AR102" s="54">
        <v>1199.0899999999999</v>
      </c>
      <c r="AS102" s="200">
        <v>1.5683002596589696E-2</v>
      </c>
      <c r="AT102" s="116" t="s">
        <v>352</v>
      </c>
      <c r="AU102" s="116" t="s">
        <v>352</v>
      </c>
      <c r="AV102" s="163">
        <v>606.98029563953912</v>
      </c>
      <c r="AW102" s="165">
        <v>16.742186924907781</v>
      </c>
      <c r="AX102" s="164">
        <v>8.9700000000000006</v>
      </c>
      <c r="AY102" s="134">
        <v>40.11</v>
      </c>
      <c r="AZ102" s="116" t="s">
        <v>352</v>
      </c>
      <c r="BA102" s="57">
        <v>9.2899999999999991</v>
      </c>
      <c r="BB102" s="60">
        <v>4718</v>
      </c>
      <c r="BC102" s="168">
        <v>8.08</v>
      </c>
      <c r="BD102" s="168">
        <v>2.64</v>
      </c>
      <c r="BE102" s="116" t="s">
        <v>352</v>
      </c>
      <c r="BF102" s="116" t="s">
        <v>352</v>
      </c>
      <c r="BG102" s="169">
        <v>7.77</v>
      </c>
      <c r="BH102" s="170">
        <v>20.52</v>
      </c>
      <c r="BI102" s="116" t="s">
        <v>352</v>
      </c>
      <c r="BJ102" s="173">
        <v>34.285714285714285</v>
      </c>
      <c r="BK102" s="119">
        <v>0.37887050005186201</v>
      </c>
      <c r="BL102" s="162">
        <v>138.51287797616612</v>
      </c>
      <c r="BM102" s="162">
        <v>115.48874148352323</v>
      </c>
      <c r="BN102" s="162">
        <v>67.763755183497864</v>
      </c>
      <c r="BO102" s="60">
        <v>1145</v>
      </c>
      <c r="BP102" s="59">
        <v>0.01</v>
      </c>
      <c r="BQ102" s="180" t="s">
        <v>358</v>
      </c>
      <c r="BR102" s="116" t="s">
        <v>352</v>
      </c>
      <c r="BS102" s="184">
        <v>12.28</v>
      </c>
      <c r="BT102" s="124" t="s">
        <v>355</v>
      </c>
      <c r="BU102" s="131">
        <v>29.6</v>
      </c>
      <c r="BV102" s="54">
        <v>0</v>
      </c>
      <c r="BW102" s="177" t="s">
        <v>354</v>
      </c>
      <c r="BX102" s="177" t="s">
        <v>354</v>
      </c>
      <c r="BY102" s="189" t="s">
        <v>355</v>
      </c>
      <c r="BZ102" s="190" t="s">
        <v>359</v>
      </c>
      <c r="CA102" s="190" t="s">
        <v>359</v>
      </c>
      <c r="CB102" s="124" t="s">
        <v>351</v>
      </c>
      <c r="CC102" s="39" t="s">
        <v>351</v>
      </c>
      <c r="CD102" s="199">
        <v>24.1</v>
      </c>
    </row>
    <row r="103" spans="1:82">
      <c r="A103" s="3" t="s">
        <v>454</v>
      </c>
      <c r="B103" s="3" t="s">
        <v>455</v>
      </c>
      <c r="C103" s="27" t="s">
        <v>456</v>
      </c>
      <c r="D103" s="3" t="s">
        <v>456</v>
      </c>
      <c r="E103" s="29">
        <v>13001</v>
      </c>
      <c r="F103" s="3" t="s">
        <v>480</v>
      </c>
      <c r="G103" s="4">
        <v>13125</v>
      </c>
      <c r="H103" s="39">
        <v>206.69</v>
      </c>
      <c r="I103" s="40">
        <v>3.63</v>
      </c>
      <c r="J103" s="41">
        <v>1037.81</v>
      </c>
      <c r="K103" s="54">
        <v>0.61</v>
      </c>
      <c r="L103" s="54">
        <v>94.18</v>
      </c>
      <c r="M103" s="57">
        <v>99.86</v>
      </c>
      <c r="N103" s="54">
        <v>4.03</v>
      </c>
      <c r="O103" s="58">
        <v>880.77</v>
      </c>
      <c r="P103" s="59">
        <v>7.25</v>
      </c>
      <c r="Q103" s="60">
        <v>612.78</v>
      </c>
      <c r="R103" s="61">
        <v>0.83</v>
      </c>
      <c r="S103" s="62">
        <v>644.70000000000005</v>
      </c>
      <c r="T103" s="60">
        <v>303</v>
      </c>
      <c r="U103" s="125">
        <v>6.22</v>
      </c>
      <c r="V103" s="125">
        <v>6.22</v>
      </c>
      <c r="W103" s="125">
        <v>0.05</v>
      </c>
      <c r="X103" s="126">
        <v>2.16</v>
      </c>
      <c r="Y103" s="31">
        <v>42.38</v>
      </c>
      <c r="Z103" s="116" t="s">
        <v>352</v>
      </c>
      <c r="AA103" s="131">
        <v>1.5</v>
      </c>
      <c r="AB103" s="125">
        <v>32.1</v>
      </c>
      <c r="AC103" s="125">
        <v>71.900000000000006</v>
      </c>
      <c r="AD103" s="138">
        <v>105</v>
      </c>
      <c r="AE103" s="140">
        <v>120</v>
      </c>
      <c r="AF103" s="116" t="s">
        <v>352</v>
      </c>
      <c r="AG103" s="116" t="s">
        <v>352</v>
      </c>
      <c r="AH103" s="116" t="s">
        <v>352</v>
      </c>
      <c r="AI103" s="116" t="s">
        <v>352</v>
      </c>
      <c r="AJ103" s="150">
        <v>2.15</v>
      </c>
      <c r="AK103" s="150">
        <v>193.25</v>
      </c>
      <c r="AL103" s="123">
        <v>9.4700000000000006</v>
      </c>
      <c r="AM103" s="123">
        <v>16.850000000000001</v>
      </c>
      <c r="AN103" s="122">
        <v>1.2215961048445001</v>
      </c>
      <c r="AO103" s="116" t="s">
        <v>352</v>
      </c>
      <c r="AP103" s="125">
        <v>1.08</v>
      </c>
      <c r="AQ103" s="126">
        <v>645.47</v>
      </c>
      <c r="AR103" s="54">
        <v>1515.86</v>
      </c>
      <c r="AS103" s="200">
        <v>7.4475515732444269E-3</v>
      </c>
      <c r="AT103" s="116" t="s">
        <v>352</v>
      </c>
      <c r="AU103" s="116" t="s">
        <v>352</v>
      </c>
      <c r="AV103" s="163">
        <v>630.12906025490599</v>
      </c>
      <c r="AW103" s="165">
        <v>16.874262939976415</v>
      </c>
      <c r="AX103" s="164">
        <v>12.44</v>
      </c>
      <c r="AY103" s="134">
        <v>32.17</v>
      </c>
      <c r="AZ103" s="116" t="s">
        <v>352</v>
      </c>
      <c r="BA103" s="57">
        <v>7.25</v>
      </c>
      <c r="BB103" s="60">
        <v>3467</v>
      </c>
      <c r="BC103" s="168">
        <v>7.08</v>
      </c>
      <c r="BD103" s="168">
        <v>1.71</v>
      </c>
      <c r="BE103" s="116" t="s">
        <v>352</v>
      </c>
      <c r="BF103" s="116" t="s">
        <v>352</v>
      </c>
      <c r="BG103" s="169">
        <v>7.82</v>
      </c>
      <c r="BH103" s="170">
        <v>18.54</v>
      </c>
      <c r="BI103" s="116" t="s">
        <v>352</v>
      </c>
      <c r="BJ103" s="173">
        <v>50</v>
      </c>
      <c r="BK103" s="119">
        <v>0.35593030439578893</v>
      </c>
      <c r="BL103" s="162">
        <v>114.91680367733771</v>
      </c>
      <c r="BM103" s="162">
        <v>126.15024403680781</v>
      </c>
      <c r="BN103" s="162">
        <v>63.527042032865339</v>
      </c>
      <c r="BO103" s="60">
        <v>2149</v>
      </c>
      <c r="BP103" s="59">
        <v>0.09</v>
      </c>
      <c r="BQ103" s="180" t="s">
        <v>358</v>
      </c>
      <c r="BR103" s="116" t="s">
        <v>352</v>
      </c>
      <c r="BS103" s="184">
        <v>13.98</v>
      </c>
      <c r="BT103" s="124" t="s">
        <v>355</v>
      </c>
      <c r="BU103" s="131">
        <v>16.149999999999999</v>
      </c>
      <c r="BV103" s="54">
        <v>0</v>
      </c>
      <c r="BW103" s="189" t="s">
        <v>353</v>
      </c>
      <c r="BX103" s="189" t="s">
        <v>355</v>
      </c>
      <c r="BY103" s="189" t="s">
        <v>355</v>
      </c>
      <c r="BZ103" s="190" t="s">
        <v>359</v>
      </c>
      <c r="CA103" s="190" t="s">
        <v>359</v>
      </c>
      <c r="CB103" s="124" t="s">
        <v>355</v>
      </c>
      <c r="CC103" s="41">
        <v>837.1</v>
      </c>
      <c r="CD103" s="199">
        <v>29.6</v>
      </c>
    </row>
    <row r="104" spans="1:82">
      <c r="A104" s="3" t="s">
        <v>454</v>
      </c>
      <c r="B104" s="3" t="s">
        <v>455</v>
      </c>
      <c r="C104" s="27" t="s">
        <v>456</v>
      </c>
      <c r="D104" s="3" t="s">
        <v>456</v>
      </c>
      <c r="E104" s="29">
        <v>13001</v>
      </c>
      <c r="F104" s="3" t="s">
        <v>481</v>
      </c>
      <c r="G104" s="4">
        <v>13126</v>
      </c>
      <c r="H104" s="39">
        <v>344.91</v>
      </c>
      <c r="I104" s="40">
        <v>2</v>
      </c>
      <c r="J104" s="41">
        <v>1297.3800000000001</v>
      </c>
      <c r="K104" s="54">
        <v>2.36</v>
      </c>
      <c r="L104" s="54">
        <v>63.21</v>
      </c>
      <c r="M104" s="57">
        <v>100</v>
      </c>
      <c r="N104" s="54">
        <v>3.63</v>
      </c>
      <c r="O104" s="58">
        <v>778.23</v>
      </c>
      <c r="P104" s="59">
        <v>10.199999999999999</v>
      </c>
      <c r="Q104" s="60">
        <v>426.47</v>
      </c>
      <c r="R104" s="61">
        <v>1.22</v>
      </c>
      <c r="S104" s="62">
        <v>519.44000000000005</v>
      </c>
      <c r="T104" s="60">
        <v>198</v>
      </c>
      <c r="U104" s="125">
        <v>7.12</v>
      </c>
      <c r="V104" s="125">
        <v>7.06</v>
      </c>
      <c r="W104" s="125">
        <v>0.44</v>
      </c>
      <c r="X104" s="126">
        <v>6.29</v>
      </c>
      <c r="Y104" s="31">
        <v>52.87</v>
      </c>
      <c r="Z104" s="116" t="s">
        <v>352</v>
      </c>
      <c r="AA104" s="131">
        <v>1.25</v>
      </c>
      <c r="AB104" s="125">
        <v>28.7</v>
      </c>
      <c r="AC104" s="125">
        <v>69.900000000000006</v>
      </c>
      <c r="AD104" s="137">
        <v>75</v>
      </c>
      <c r="AE104" s="141">
        <v>85</v>
      </c>
      <c r="AF104" s="116" t="s">
        <v>352</v>
      </c>
      <c r="AG104" s="116" t="s">
        <v>352</v>
      </c>
      <c r="AH104" s="116" t="s">
        <v>352</v>
      </c>
      <c r="AI104" s="116" t="s">
        <v>352</v>
      </c>
      <c r="AJ104" s="150">
        <v>5.66</v>
      </c>
      <c r="AK104" s="150">
        <v>330.78</v>
      </c>
      <c r="AL104" s="123">
        <v>9.35</v>
      </c>
      <c r="AM104" s="123">
        <v>20.61</v>
      </c>
      <c r="AN104" s="122">
        <v>1.3679796293145012</v>
      </c>
      <c r="AO104" s="116" t="s">
        <v>352</v>
      </c>
      <c r="AP104" s="125">
        <v>3.72</v>
      </c>
      <c r="AQ104" s="126">
        <v>809.98</v>
      </c>
      <c r="AR104" s="54">
        <v>587.41</v>
      </c>
      <c r="AS104" s="200">
        <v>2.0992098098598579E-3</v>
      </c>
      <c r="AT104" s="116" t="s">
        <v>352</v>
      </c>
      <c r="AU104" s="116" t="s">
        <v>352</v>
      </c>
      <c r="AV104" s="163">
        <v>697.6439117238541</v>
      </c>
      <c r="AW104" s="165">
        <v>21.935656055900623</v>
      </c>
      <c r="AX104" s="164">
        <v>11.11</v>
      </c>
      <c r="AY104" s="134">
        <v>13.4</v>
      </c>
      <c r="AZ104" s="116" t="s">
        <v>352</v>
      </c>
      <c r="BA104" s="57">
        <v>14.7</v>
      </c>
      <c r="BB104" s="60">
        <v>3376</v>
      </c>
      <c r="BC104" s="168">
        <v>9.07</v>
      </c>
      <c r="BD104" s="168">
        <v>3.63</v>
      </c>
      <c r="BE104" s="116" t="s">
        <v>352</v>
      </c>
      <c r="BF104" s="116" t="s">
        <v>352</v>
      </c>
      <c r="BG104" s="169">
        <v>5.94</v>
      </c>
      <c r="BH104" s="170">
        <v>13.46</v>
      </c>
      <c r="BI104" s="116" t="s">
        <v>352</v>
      </c>
      <c r="BJ104" s="173">
        <v>57.142857142857146</v>
      </c>
      <c r="BK104" s="119">
        <v>0.23862749347251194</v>
      </c>
      <c r="BL104" s="162">
        <v>204.12784679089029</v>
      </c>
      <c r="BM104" s="162">
        <v>176.95393374741201</v>
      </c>
      <c r="BN104" s="162">
        <v>64.214544513457554</v>
      </c>
      <c r="BO104" s="60">
        <v>1238</v>
      </c>
      <c r="BP104" s="59">
        <v>0.24</v>
      </c>
      <c r="BQ104" s="180" t="s">
        <v>358</v>
      </c>
      <c r="BR104" s="116" t="s">
        <v>352</v>
      </c>
      <c r="BS104" s="184">
        <v>60.41</v>
      </c>
      <c r="BT104" s="124" t="s">
        <v>355</v>
      </c>
      <c r="BU104" s="131">
        <v>24.11</v>
      </c>
      <c r="BV104" s="54">
        <v>0</v>
      </c>
      <c r="BW104" s="177" t="s">
        <v>354</v>
      </c>
      <c r="BX104" s="177" t="s">
        <v>354</v>
      </c>
      <c r="BY104" s="189" t="s">
        <v>355</v>
      </c>
      <c r="BZ104" s="190" t="s">
        <v>359</v>
      </c>
      <c r="CA104" s="190" t="s">
        <v>359</v>
      </c>
      <c r="CB104" s="124" t="s">
        <v>355</v>
      </c>
      <c r="CC104" s="41">
        <v>404.4</v>
      </c>
      <c r="CD104" s="199">
        <v>24.68</v>
      </c>
    </row>
    <row r="105" spans="1:82">
      <c r="A105" s="3" t="s">
        <v>454</v>
      </c>
      <c r="B105" s="3" t="s">
        <v>455</v>
      </c>
      <c r="C105" s="27" t="s">
        <v>456</v>
      </c>
      <c r="D105" s="3" t="s">
        <v>456</v>
      </c>
      <c r="E105" s="29">
        <v>13001</v>
      </c>
      <c r="F105" s="3" t="s">
        <v>482</v>
      </c>
      <c r="G105" s="4">
        <v>13127</v>
      </c>
      <c r="H105" s="39">
        <v>260.17</v>
      </c>
      <c r="I105" s="40">
        <v>2</v>
      </c>
      <c r="J105" s="41">
        <v>1444.87</v>
      </c>
      <c r="K105" s="54">
        <v>16.989999999999998</v>
      </c>
      <c r="L105" s="54">
        <v>82.59</v>
      </c>
      <c r="M105" s="57">
        <v>99.62</v>
      </c>
      <c r="N105" s="54">
        <v>18.579999999999998</v>
      </c>
      <c r="O105" s="58">
        <v>817.98</v>
      </c>
      <c r="P105" s="59">
        <v>3.05</v>
      </c>
      <c r="Q105" s="60">
        <v>434.4</v>
      </c>
      <c r="R105" s="61">
        <v>0.91</v>
      </c>
      <c r="S105" s="62">
        <v>597.64</v>
      </c>
      <c r="T105" s="60">
        <v>201</v>
      </c>
      <c r="U105" s="125">
        <v>11.15</v>
      </c>
      <c r="V105" s="125">
        <v>11.11</v>
      </c>
      <c r="W105" s="125">
        <v>0.12</v>
      </c>
      <c r="X105" s="126">
        <v>4.6500000000000004</v>
      </c>
      <c r="Y105" s="31">
        <v>88.17</v>
      </c>
      <c r="Z105" s="116" t="s">
        <v>352</v>
      </c>
      <c r="AA105" s="131">
        <v>1</v>
      </c>
      <c r="AB105" s="125">
        <v>29.3</v>
      </c>
      <c r="AC105" s="125">
        <v>76.8</v>
      </c>
      <c r="AD105" s="138">
        <v>60</v>
      </c>
      <c r="AE105" s="140">
        <v>90</v>
      </c>
      <c r="AF105" s="116" t="s">
        <v>352</v>
      </c>
      <c r="AG105" s="116" t="s">
        <v>352</v>
      </c>
      <c r="AH105" s="116" t="s">
        <v>352</v>
      </c>
      <c r="AI105" s="116" t="s">
        <v>352</v>
      </c>
      <c r="AJ105" s="150">
        <v>5.76</v>
      </c>
      <c r="AK105" s="150">
        <v>181.02</v>
      </c>
      <c r="AL105" s="123">
        <v>13.7</v>
      </c>
      <c r="AM105" s="123">
        <v>23.92</v>
      </c>
      <c r="AN105" s="122">
        <v>1.2961672517893255</v>
      </c>
      <c r="AO105" s="116" t="s">
        <v>352</v>
      </c>
      <c r="AP105" s="125">
        <v>1.67</v>
      </c>
      <c r="AQ105" s="126">
        <v>781.97</v>
      </c>
      <c r="AR105" s="54">
        <v>547.41</v>
      </c>
      <c r="AS105" s="200" t="s">
        <v>351</v>
      </c>
      <c r="AT105" s="116" t="s">
        <v>352</v>
      </c>
      <c r="AU105" s="116" t="s">
        <v>352</v>
      </c>
      <c r="AV105" s="163">
        <v>498.67188592199079</v>
      </c>
      <c r="AW105" s="165">
        <v>14.39434118894987</v>
      </c>
      <c r="AX105" s="164">
        <v>11.86</v>
      </c>
      <c r="AY105" s="134">
        <v>22.39</v>
      </c>
      <c r="AZ105" s="116" t="s">
        <v>352</v>
      </c>
      <c r="BA105" s="57">
        <v>18.21</v>
      </c>
      <c r="BB105" s="60">
        <v>6234</v>
      </c>
      <c r="BC105" s="168">
        <v>13.17</v>
      </c>
      <c r="BD105" s="168">
        <v>4.4000000000000004</v>
      </c>
      <c r="BE105" s="116" t="s">
        <v>352</v>
      </c>
      <c r="BF105" s="116" t="s">
        <v>352</v>
      </c>
      <c r="BG105" s="169">
        <v>13.86</v>
      </c>
      <c r="BH105" s="170">
        <v>26.2</v>
      </c>
      <c r="BI105" s="116" t="s">
        <v>352</v>
      </c>
      <c r="BJ105" s="173">
        <v>29.411764705882351</v>
      </c>
      <c r="BK105" s="119">
        <v>0.31192783643315558</v>
      </c>
      <c r="BL105" s="162">
        <v>250.77249458100817</v>
      </c>
      <c r="BM105" s="162">
        <v>189.78001199096067</v>
      </c>
      <c r="BN105" s="162">
        <v>57.821795876954297</v>
      </c>
      <c r="BO105" s="60">
        <v>1054</v>
      </c>
      <c r="BP105" s="59">
        <v>0.02</v>
      </c>
      <c r="BQ105" s="180" t="s">
        <v>358</v>
      </c>
      <c r="BR105" s="116" t="s">
        <v>352</v>
      </c>
      <c r="BS105" s="184">
        <v>20.96</v>
      </c>
      <c r="BT105" s="124" t="s">
        <v>353</v>
      </c>
      <c r="BU105" s="131">
        <v>14.16</v>
      </c>
      <c r="BV105" s="54">
        <v>2.71</v>
      </c>
      <c r="BW105" s="177" t="s">
        <v>354</v>
      </c>
      <c r="BX105" s="177" t="s">
        <v>354</v>
      </c>
      <c r="BY105" s="189" t="s">
        <v>353</v>
      </c>
      <c r="BZ105" s="191">
        <v>0</v>
      </c>
      <c r="CA105" s="191">
        <v>0</v>
      </c>
      <c r="CB105" s="124" t="s">
        <v>355</v>
      </c>
      <c r="CC105" s="39" t="s">
        <v>351</v>
      </c>
      <c r="CD105" s="199">
        <v>29.18</v>
      </c>
    </row>
    <row r="106" spans="1:82">
      <c r="A106" s="3" t="s">
        <v>454</v>
      </c>
      <c r="B106" s="3" t="s">
        <v>455</v>
      </c>
      <c r="C106" s="27" t="s">
        <v>456</v>
      </c>
      <c r="D106" s="3" t="s">
        <v>456</v>
      </c>
      <c r="E106" s="29">
        <v>13001</v>
      </c>
      <c r="F106" s="3" t="s">
        <v>483</v>
      </c>
      <c r="G106" s="4">
        <v>13128</v>
      </c>
      <c r="H106" s="39">
        <v>216</v>
      </c>
      <c r="I106" s="40">
        <v>2.73</v>
      </c>
      <c r="J106" s="41">
        <v>1179.75</v>
      </c>
      <c r="K106" s="54">
        <v>2.09</v>
      </c>
      <c r="L106" s="54">
        <v>90.99</v>
      </c>
      <c r="M106" s="57">
        <v>99.95</v>
      </c>
      <c r="N106" s="54">
        <v>4.58</v>
      </c>
      <c r="O106" s="58">
        <v>1009.62</v>
      </c>
      <c r="P106" s="59">
        <v>10.87</v>
      </c>
      <c r="Q106" s="60">
        <v>426.29</v>
      </c>
      <c r="R106" s="61">
        <v>0.81</v>
      </c>
      <c r="S106" s="62">
        <v>535.76</v>
      </c>
      <c r="T106" s="60">
        <v>252</v>
      </c>
      <c r="U106" s="125">
        <v>7.6</v>
      </c>
      <c r="V106" s="125">
        <v>7.43</v>
      </c>
      <c r="W106" s="125">
        <v>0.27</v>
      </c>
      <c r="X106" s="126">
        <v>0.57999999999999996</v>
      </c>
      <c r="Y106" s="31">
        <v>61.93</v>
      </c>
      <c r="Z106" s="116" t="s">
        <v>352</v>
      </c>
      <c r="AA106" s="131">
        <v>1.5</v>
      </c>
      <c r="AB106" s="125">
        <v>29</v>
      </c>
      <c r="AC106" s="125">
        <v>75.599999999999994</v>
      </c>
      <c r="AD106" s="137">
        <v>90</v>
      </c>
      <c r="AE106" s="140">
        <v>110</v>
      </c>
      <c r="AF106" s="116" t="s">
        <v>352</v>
      </c>
      <c r="AG106" s="116" t="s">
        <v>352</v>
      </c>
      <c r="AH106" s="116" t="s">
        <v>352</v>
      </c>
      <c r="AI106" s="116" t="s">
        <v>352</v>
      </c>
      <c r="AJ106" s="150">
        <v>7.03</v>
      </c>
      <c r="AK106" s="150">
        <v>162.22999999999999</v>
      </c>
      <c r="AL106" s="123">
        <v>11.47</v>
      </c>
      <c r="AM106" s="123">
        <v>24.55</v>
      </c>
      <c r="AN106" s="122">
        <v>1.3842524067992774</v>
      </c>
      <c r="AO106" s="116" t="s">
        <v>352</v>
      </c>
      <c r="AP106" s="123" t="s">
        <v>351</v>
      </c>
      <c r="AQ106" s="126">
        <v>619.4</v>
      </c>
      <c r="AR106" s="54">
        <v>977.87</v>
      </c>
      <c r="AS106" s="200">
        <v>1.1706841547470279E-3</v>
      </c>
      <c r="AT106" s="116" t="s">
        <v>352</v>
      </c>
      <c r="AU106" s="116" t="s">
        <v>352</v>
      </c>
      <c r="AV106" s="163">
        <v>404.04462070085111</v>
      </c>
      <c r="AW106" s="165">
        <v>11.127504518832193</v>
      </c>
      <c r="AX106" s="164">
        <v>6.97</v>
      </c>
      <c r="AY106" s="134">
        <v>27.91</v>
      </c>
      <c r="AZ106" s="116" t="s">
        <v>352</v>
      </c>
      <c r="BA106" s="57">
        <v>13.88</v>
      </c>
      <c r="BB106" s="60">
        <v>3787</v>
      </c>
      <c r="BC106" s="168">
        <v>10.57</v>
      </c>
      <c r="BD106" s="168">
        <v>2.84</v>
      </c>
      <c r="BE106" s="116" t="s">
        <v>352</v>
      </c>
      <c r="BF106" s="116" t="s">
        <v>352</v>
      </c>
      <c r="BG106" s="169">
        <v>8.5399999999999991</v>
      </c>
      <c r="BH106" s="170">
        <v>26.25</v>
      </c>
      <c r="BI106" s="116" t="s">
        <v>352</v>
      </c>
      <c r="BJ106" s="173">
        <v>52.38095238095238</v>
      </c>
      <c r="BK106" s="119">
        <v>0.25399883930033601</v>
      </c>
      <c r="BL106" s="162">
        <v>134.00014051492332</v>
      </c>
      <c r="BM106" s="162">
        <v>85.203139869832086</v>
      </c>
      <c r="BN106" s="162">
        <v>62.145918360829548</v>
      </c>
      <c r="BO106" s="60">
        <v>1462</v>
      </c>
      <c r="BP106" s="59">
        <v>0.32</v>
      </c>
      <c r="BQ106" s="180" t="s">
        <v>358</v>
      </c>
      <c r="BR106" s="116" t="s">
        <v>352</v>
      </c>
      <c r="BS106" s="184">
        <v>41.05</v>
      </c>
      <c r="BT106" s="124" t="s">
        <v>355</v>
      </c>
      <c r="BU106" s="131">
        <v>25.33</v>
      </c>
      <c r="BV106" s="54">
        <v>6.91</v>
      </c>
      <c r="BW106" s="177" t="s">
        <v>354</v>
      </c>
      <c r="BX106" s="177" t="s">
        <v>354</v>
      </c>
      <c r="BY106" s="189" t="s">
        <v>355</v>
      </c>
      <c r="BZ106" s="190" t="s">
        <v>359</v>
      </c>
      <c r="CA106" s="190" t="s">
        <v>359</v>
      </c>
      <c r="CB106" s="124" t="s">
        <v>351</v>
      </c>
      <c r="CC106" s="39" t="s">
        <v>351</v>
      </c>
      <c r="CD106" s="199">
        <v>27.35</v>
      </c>
    </row>
    <row r="107" spans="1:82">
      <c r="A107" s="3" t="s">
        <v>454</v>
      </c>
      <c r="B107" s="3" t="s">
        <v>455</v>
      </c>
      <c r="C107" s="27" t="s">
        <v>456</v>
      </c>
      <c r="D107" s="3" t="s">
        <v>456</v>
      </c>
      <c r="E107" s="29">
        <v>13001</v>
      </c>
      <c r="F107" s="3" t="s">
        <v>484</v>
      </c>
      <c r="G107" s="4">
        <v>13129</v>
      </c>
      <c r="H107" s="39">
        <v>252.6</v>
      </c>
      <c r="I107" s="40">
        <v>3.05</v>
      </c>
      <c r="J107" s="41">
        <v>682.74</v>
      </c>
      <c r="K107" s="54">
        <v>2.34</v>
      </c>
      <c r="L107" s="54">
        <v>84.01</v>
      </c>
      <c r="M107" s="57">
        <v>100</v>
      </c>
      <c r="N107" s="54">
        <v>4.9000000000000004</v>
      </c>
      <c r="O107" s="58">
        <v>625.21</v>
      </c>
      <c r="P107" s="59">
        <v>19.510000000000002</v>
      </c>
      <c r="Q107" s="60">
        <v>483.69</v>
      </c>
      <c r="R107" s="61">
        <v>0.64</v>
      </c>
      <c r="S107" s="62">
        <v>642.88</v>
      </c>
      <c r="T107" s="60">
        <v>190</v>
      </c>
      <c r="U107" s="125">
        <v>6.58</v>
      </c>
      <c r="V107" s="125">
        <v>6.52</v>
      </c>
      <c r="W107" s="125">
        <v>0.52</v>
      </c>
      <c r="X107" s="126">
        <v>6.5</v>
      </c>
      <c r="Y107" s="31">
        <v>93.69</v>
      </c>
      <c r="Z107" s="116" t="s">
        <v>352</v>
      </c>
      <c r="AA107" s="131">
        <v>1.25</v>
      </c>
      <c r="AB107" s="125">
        <v>24.2</v>
      </c>
      <c r="AC107" s="125">
        <v>74</v>
      </c>
      <c r="AD107" s="138">
        <v>75</v>
      </c>
      <c r="AE107" s="141">
        <v>90</v>
      </c>
      <c r="AF107" s="116" t="s">
        <v>352</v>
      </c>
      <c r="AG107" s="116" t="s">
        <v>352</v>
      </c>
      <c r="AH107" s="116" t="s">
        <v>352</v>
      </c>
      <c r="AI107" s="116" t="s">
        <v>352</v>
      </c>
      <c r="AJ107" s="150">
        <v>4.97</v>
      </c>
      <c r="AK107" s="150">
        <v>244.62</v>
      </c>
      <c r="AL107" s="123">
        <v>10.63</v>
      </c>
      <c r="AM107" s="123">
        <v>21.92</v>
      </c>
      <c r="AN107" s="122">
        <v>1.6640491530267452</v>
      </c>
      <c r="AO107" s="116" t="s">
        <v>352</v>
      </c>
      <c r="AP107" s="125">
        <v>0.1</v>
      </c>
      <c r="AQ107" s="126">
        <v>725.69</v>
      </c>
      <c r="AR107" s="54">
        <v>751.71</v>
      </c>
      <c r="AS107" s="200">
        <v>5.7615906725810304E-3</v>
      </c>
      <c r="AT107" s="116" t="s">
        <v>352</v>
      </c>
      <c r="AU107" s="116" t="s">
        <v>352</v>
      </c>
      <c r="AV107" s="163">
        <v>488.69426221319389</v>
      </c>
      <c r="AW107" s="165">
        <v>14.592406976512937</v>
      </c>
      <c r="AX107" s="164">
        <v>7.27</v>
      </c>
      <c r="AY107" s="134">
        <v>51.45</v>
      </c>
      <c r="AZ107" s="116" t="s">
        <v>352</v>
      </c>
      <c r="BA107" s="57">
        <v>11.18</v>
      </c>
      <c r="BB107" s="60">
        <v>3068</v>
      </c>
      <c r="BC107" s="168">
        <v>9.56</v>
      </c>
      <c r="BD107" s="168">
        <v>4.63</v>
      </c>
      <c r="BE107" s="116" t="s">
        <v>352</v>
      </c>
      <c r="BF107" s="116" t="s">
        <v>352</v>
      </c>
      <c r="BG107" s="169">
        <v>6.6</v>
      </c>
      <c r="BH107" s="170">
        <v>23.7</v>
      </c>
      <c r="BI107" s="116" t="s">
        <v>352</v>
      </c>
      <c r="BJ107" s="173">
        <v>36.666666666666664</v>
      </c>
      <c r="BK107" s="119">
        <v>0.33956628780892067</v>
      </c>
      <c r="BL107" s="162">
        <v>131.1576477139391</v>
      </c>
      <c r="BM107" s="162">
        <v>124.49535628343574</v>
      </c>
      <c r="BN107" s="162">
        <v>49.022532466241081</v>
      </c>
      <c r="BO107" s="60">
        <v>1439</v>
      </c>
      <c r="BP107" s="59">
        <v>0.05</v>
      </c>
      <c r="BQ107" s="180" t="s">
        <v>358</v>
      </c>
      <c r="BR107" s="116" t="s">
        <v>352</v>
      </c>
      <c r="BS107" s="184">
        <v>40.770000000000003</v>
      </c>
      <c r="BT107" s="124" t="s">
        <v>353</v>
      </c>
      <c r="BU107" s="131">
        <v>18.63</v>
      </c>
      <c r="BV107" s="54">
        <v>0</v>
      </c>
      <c r="BW107" s="189" t="s">
        <v>355</v>
      </c>
      <c r="BX107" s="189" t="s">
        <v>355</v>
      </c>
      <c r="BY107" s="189" t="s">
        <v>355</v>
      </c>
      <c r="BZ107" s="190" t="s">
        <v>359</v>
      </c>
      <c r="CA107" s="190" t="s">
        <v>359</v>
      </c>
      <c r="CB107" s="124" t="s">
        <v>355</v>
      </c>
      <c r="CC107" s="41">
        <v>144.69999999999999</v>
      </c>
      <c r="CD107" s="199">
        <v>23.64</v>
      </c>
    </row>
    <row r="108" spans="1:82">
      <c r="A108" s="3" t="s">
        <v>454</v>
      </c>
      <c r="B108" s="3" t="s">
        <v>455</v>
      </c>
      <c r="C108" s="27" t="s">
        <v>456</v>
      </c>
      <c r="D108" s="3" t="s">
        <v>456</v>
      </c>
      <c r="E108" s="29">
        <v>13001</v>
      </c>
      <c r="F108" s="3" t="s">
        <v>485</v>
      </c>
      <c r="G108" s="4">
        <v>13130</v>
      </c>
      <c r="H108" s="39">
        <v>429.94</v>
      </c>
      <c r="I108" s="40">
        <v>2.2000000000000002</v>
      </c>
      <c r="J108" s="41">
        <v>1299.8800000000001</v>
      </c>
      <c r="K108" s="54">
        <v>0.93</v>
      </c>
      <c r="L108" s="54">
        <v>47.17</v>
      </c>
      <c r="M108" s="57">
        <v>100</v>
      </c>
      <c r="N108" s="54">
        <v>1.97</v>
      </c>
      <c r="O108" s="58">
        <v>911.03</v>
      </c>
      <c r="P108" s="59">
        <v>9.4600000000000009</v>
      </c>
      <c r="Q108" s="60">
        <v>397.05</v>
      </c>
      <c r="R108" s="61">
        <v>1.1200000000000001</v>
      </c>
      <c r="S108" s="62">
        <v>648.5</v>
      </c>
      <c r="T108" s="60">
        <v>211</v>
      </c>
      <c r="U108" s="125">
        <v>6.72</v>
      </c>
      <c r="V108" s="125">
        <v>6.69</v>
      </c>
      <c r="W108" s="125">
        <v>0.95</v>
      </c>
      <c r="X108" s="126">
        <v>0.61</v>
      </c>
      <c r="Y108" s="31">
        <v>20.100000000000001</v>
      </c>
      <c r="Z108" s="116" t="s">
        <v>352</v>
      </c>
      <c r="AA108" s="131">
        <v>1.25</v>
      </c>
      <c r="AB108" s="125">
        <v>31.4</v>
      </c>
      <c r="AC108" s="125">
        <v>69.2</v>
      </c>
      <c r="AD108" s="138">
        <v>75</v>
      </c>
      <c r="AE108" s="140">
        <v>90</v>
      </c>
      <c r="AF108" s="116" t="s">
        <v>352</v>
      </c>
      <c r="AG108" s="116" t="s">
        <v>352</v>
      </c>
      <c r="AH108" s="116" t="s">
        <v>352</v>
      </c>
      <c r="AI108" s="116" t="s">
        <v>352</v>
      </c>
      <c r="AJ108" s="150">
        <v>1.66</v>
      </c>
      <c r="AK108" s="150">
        <v>73.23</v>
      </c>
      <c r="AL108" s="123">
        <v>12.58</v>
      </c>
      <c r="AM108" s="123">
        <v>28</v>
      </c>
      <c r="AN108" s="122">
        <v>1.1166912998982526</v>
      </c>
      <c r="AO108" s="116" t="s">
        <v>352</v>
      </c>
      <c r="AP108" s="125">
        <v>1.5</v>
      </c>
      <c r="AQ108" s="126">
        <v>944.62</v>
      </c>
      <c r="AR108" s="54">
        <v>796.34</v>
      </c>
      <c r="AS108" s="200">
        <v>1.8520368114867724E-3</v>
      </c>
      <c r="AT108" s="116" t="s">
        <v>352</v>
      </c>
      <c r="AU108" s="116" t="s">
        <v>352</v>
      </c>
      <c r="AV108" s="163">
        <v>799.19697464867647</v>
      </c>
      <c r="AW108" s="165">
        <v>28.488691397473666</v>
      </c>
      <c r="AX108" s="164">
        <v>4.8</v>
      </c>
      <c r="AY108" s="134">
        <v>21.59</v>
      </c>
      <c r="AZ108" s="116" t="s">
        <v>352</v>
      </c>
      <c r="BA108" s="57">
        <v>5.72</v>
      </c>
      <c r="BB108" s="60">
        <v>2072</v>
      </c>
      <c r="BC108" s="168">
        <v>5.23</v>
      </c>
      <c r="BD108" s="168">
        <v>2.2799999999999998</v>
      </c>
      <c r="BE108" s="116" t="s">
        <v>352</v>
      </c>
      <c r="BF108" s="116" t="s">
        <v>352</v>
      </c>
      <c r="BG108" s="169">
        <v>3.46</v>
      </c>
      <c r="BH108" s="170">
        <v>11.63</v>
      </c>
      <c r="BI108" s="116" t="s">
        <v>352</v>
      </c>
      <c r="BJ108" s="173">
        <v>55</v>
      </c>
      <c r="BK108" s="119">
        <v>0.34013544706487059</v>
      </c>
      <c r="BL108" s="162">
        <v>166.67498793416215</v>
      </c>
      <c r="BM108" s="162">
        <v>251.71834173781352</v>
      </c>
      <c r="BN108" s="162">
        <v>41.606337477324544</v>
      </c>
      <c r="BO108" s="60">
        <v>1676</v>
      </c>
      <c r="BP108" s="59">
        <v>0.09</v>
      </c>
      <c r="BQ108" s="180" t="s">
        <v>358</v>
      </c>
      <c r="BR108" s="116" t="s">
        <v>352</v>
      </c>
      <c r="BS108" s="184">
        <v>2.37</v>
      </c>
      <c r="BT108" s="124" t="s">
        <v>353</v>
      </c>
      <c r="BU108" s="131">
        <v>9.26</v>
      </c>
      <c r="BV108" s="54">
        <v>0</v>
      </c>
      <c r="BW108" s="177" t="s">
        <v>354</v>
      </c>
      <c r="BX108" s="177" t="s">
        <v>354</v>
      </c>
      <c r="BY108" s="189" t="s">
        <v>353</v>
      </c>
      <c r="BZ108" s="190" t="s">
        <v>359</v>
      </c>
      <c r="CA108" s="190" t="s">
        <v>359</v>
      </c>
      <c r="CB108" s="124" t="s">
        <v>355</v>
      </c>
      <c r="CC108" s="39" t="s">
        <v>351</v>
      </c>
      <c r="CD108" s="199">
        <v>27.38</v>
      </c>
    </row>
    <row r="109" spans="1:82">
      <c r="A109" s="3" t="s">
        <v>454</v>
      </c>
      <c r="B109" s="3" t="s">
        <v>455</v>
      </c>
      <c r="C109" s="27" t="s">
        <v>456</v>
      </c>
      <c r="D109" s="3" t="s">
        <v>456</v>
      </c>
      <c r="E109" s="29">
        <v>13001</v>
      </c>
      <c r="F109" s="3" t="s">
        <v>486</v>
      </c>
      <c r="G109" s="4">
        <v>13131</v>
      </c>
      <c r="H109" s="39">
        <v>224.27</v>
      </c>
      <c r="I109" s="40">
        <v>3.91</v>
      </c>
      <c r="J109" s="41">
        <v>1178.96</v>
      </c>
      <c r="K109" s="54">
        <v>1.31</v>
      </c>
      <c r="L109" s="54">
        <v>84.98</v>
      </c>
      <c r="M109" s="57">
        <v>100</v>
      </c>
      <c r="N109" s="54">
        <v>4.63</v>
      </c>
      <c r="O109" s="58">
        <v>662.91</v>
      </c>
      <c r="P109" s="59">
        <v>8.7200000000000006</v>
      </c>
      <c r="Q109" s="60">
        <v>374.21</v>
      </c>
      <c r="R109" s="61">
        <v>0.88</v>
      </c>
      <c r="S109" s="62">
        <v>428.26</v>
      </c>
      <c r="T109" s="60">
        <v>171</v>
      </c>
      <c r="U109" s="125">
        <v>11.44</v>
      </c>
      <c r="V109" s="125">
        <v>11.42</v>
      </c>
      <c r="W109" s="125">
        <v>0.38</v>
      </c>
      <c r="X109" s="126">
        <v>1.07</v>
      </c>
      <c r="Y109" s="31">
        <v>49.7</v>
      </c>
      <c r="Z109" s="116" t="s">
        <v>352</v>
      </c>
      <c r="AA109" s="131">
        <v>1.5</v>
      </c>
      <c r="AB109" s="125">
        <v>25.2</v>
      </c>
      <c r="AC109" s="125">
        <v>76</v>
      </c>
      <c r="AD109" s="138">
        <v>90</v>
      </c>
      <c r="AE109" s="141">
        <v>100</v>
      </c>
      <c r="AF109" s="116" t="s">
        <v>352</v>
      </c>
      <c r="AG109" s="116" t="s">
        <v>352</v>
      </c>
      <c r="AH109" s="116" t="s">
        <v>352</v>
      </c>
      <c r="AI109" s="116" t="s">
        <v>352</v>
      </c>
      <c r="AJ109" s="150">
        <v>0</v>
      </c>
      <c r="AK109" s="150">
        <v>259.89</v>
      </c>
      <c r="AL109" s="123">
        <v>11</v>
      </c>
      <c r="AM109" s="123">
        <v>32.58</v>
      </c>
      <c r="AN109" s="122">
        <v>1.5969366967432623</v>
      </c>
      <c r="AO109" s="116" t="s">
        <v>352</v>
      </c>
      <c r="AP109" s="123" t="s">
        <v>351</v>
      </c>
      <c r="AQ109" s="126">
        <v>666.44</v>
      </c>
      <c r="AR109" s="54">
        <v>166.27</v>
      </c>
      <c r="AS109" s="200" t="s">
        <v>351</v>
      </c>
      <c r="AT109" s="116" t="s">
        <v>352</v>
      </c>
      <c r="AU109" s="116" t="s">
        <v>352</v>
      </c>
      <c r="AV109" s="163">
        <v>446.0410433610046</v>
      </c>
      <c r="AW109" s="165">
        <v>12.226393300606411</v>
      </c>
      <c r="AX109" s="164">
        <v>5.72</v>
      </c>
      <c r="AY109" s="134">
        <v>42.7</v>
      </c>
      <c r="AZ109" s="116" t="s">
        <v>352</v>
      </c>
      <c r="BA109" s="57">
        <v>19.23</v>
      </c>
      <c r="BB109" s="60">
        <v>3146</v>
      </c>
      <c r="BC109" s="168">
        <v>12.67</v>
      </c>
      <c r="BD109" s="168">
        <v>4.5999999999999996</v>
      </c>
      <c r="BE109" s="116" t="s">
        <v>352</v>
      </c>
      <c r="BF109" s="116" t="s">
        <v>352</v>
      </c>
      <c r="BG109" s="169">
        <v>9.41</v>
      </c>
      <c r="BH109" s="170">
        <v>29.49</v>
      </c>
      <c r="BI109" s="116" t="s">
        <v>352</v>
      </c>
      <c r="BJ109" s="173">
        <v>20</v>
      </c>
      <c r="BK109" s="119">
        <v>0.34588559631199728</v>
      </c>
      <c r="BL109" s="162">
        <v>147.61767253826162</v>
      </c>
      <c r="BM109" s="162">
        <v>94.600057753393017</v>
      </c>
      <c r="BN109" s="162">
        <v>70.574646260467802</v>
      </c>
      <c r="BO109" s="60">
        <v>1466</v>
      </c>
      <c r="BP109" s="59">
        <v>0.31</v>
      </c>
      <c r="BQ109" s="180" t="s">
        <v>358</v>
      </c>
      <c r="BR109" s="116" t="s">
        <v>352</v>
      </c>
      <c r="BS109" s="184">
        <v>0.06</v>
      </c>
      <c r="BT109" s="124" t="s">
        <v>355</v>
      </c>
      <c r="BU109" s="131">
        <v>67.58</v>
      </c>
      <c r="BV109" s="54">
        <v>0</v>
      </c>
      <c r="BW109" s="177" t="s">
        <v>354</v>
      </c>
      <c r="BX109" s="177" t="s">
        <v>354</v>
      </c>
      <c r="BY109" s="189" t="s">
        <v>355</v>
      </c>
      <c r="BZ109" s="190" t="s">
        <v>359</v>
      </c>
      <c r="CA109" s="190" t="s">
        <v>359</v>
      </c>
      <c r="CB109" s="124" t="s">
        <v>351</v>
      </c>
      <c r="CC109" s="39" t="s">
        <v>351</v>
      </c>
      <c r="CD109" s="199">
        <v>28.38</v>
      </c>
    </row>
    <row r="110" spans="1:82">
      <c r="A110" s="3" t="s">
        <v>454</v>
      </c>
      <c r="B110" s="3" t="s">
        <v>455</v>
      </c>
      <c r="C110" s="27" t="s">
        <v>456</v>
      </c>
      <c r="D110" s="3" t="s">
        <v>456</v>
      </c>
      <c r="E110" s="29">
        <v>13001</v>
      </c>
      <c r="F110" s="3" t="s">
        <v>487</v>
      </c>
      <c r="G110" s="4">
        <v>13132</v>
      </c>
      <c r="H110" s="39">
        <v>444.36</v>
      </c>
      <c r="I110" s="40">
        <v>5.4</v>
      </c>
      <c r="J110" s="41">
        <v>1017.44</v>
      </c>
      <c r="K110" s="54">
        <v>15.71</v>
      </c>
      <c r="L110" s="54">
        <v>55.96</v>
      </c>
      <c r="M110" s="57">
        <v>99.59</v>
      </c>
      <c r="N110" s="54">
        <v>18.670000000000002</v>
      </c>
      <c r="O110" s="58">
        <v>2624.38</v>
      </c>
      <c r="P110" s="59">
        <v>1.41</v>
      </c>
      <c r="Q110" s="60">
        <v>1607.87</v>
      </c>
      <c r="R110" s="61">
        <v>0.2</v>
      </c>
      <c r="S110" s="62">
        <v>2440.73</v>
      </c>
      <c r="T110" s="60">
        <v>392</v>
      </c>
      <c r="U110" s="125">
        <v>3.97</v>
      </c>
      <c r="V110" s="125">
        <v>3.97</v>
      </c>
      <c r="W110" s="125">
        <v>0.38</v>
      </c>
      <c r="X110" s="126">
        <v>2.2400000000000002</v>
      </c>
      <c r="Y110" s="31">
        <v>58.66</v>
      </c>
      <c r="Z110" s="116" t="s">
        <v>352</v>
      </c>
      <c r="AA110" s="131">
        <v>0.77</v>
      </c>
      <c r="AB110" s="125">
        <v>15.4</v>
      </c>
      <c r="AC110" s="125">
        <v>38.200000000000003</v>
      </c>
      <c r="AD110" s="138">
        <v>50</v>
      </c>
      <c r="AE110" s="141">
        <v>81</v>
      </c>
      <c r="AF110" s="116" t="s">
        <v>352</v>
      </c>
      <c r="AG110" s="116" t="s">
        <v>352</v>
      </c>
      <c r="AH110" s="116" t="s">
        <v>352</v>
      </c>
      <c r="AI110" s="116" t="s">
        <v>352</v>
      </c>
      <c r="AJ110" s="150">
        <v>4.3899999999999997</v>
      </c>
      <c r="AK110" s="150">
        <v>327.86</v>
      </c>
      <c r="AL110" s="123">
        <v>24.9</v>
      </c>
      <c r="AM110" s="123">
        <v>29.32</v>
      </c>
      <c r="AN110" s="122">
        <v>1.3029109927008133</v>
      </c>
      <c r="AO110" s="116" t="s">
        <v>352</v>
      </c>
      <c r="AP110" s="125">
        <v>0</v>
      </c>
      <c r="AQ110" s="126">
        <v>1528.8</v>
      </c>
      <c r="AR110" s="54">
        <v>2135.6999999999998</v>
      </c>
      <c r="AS110" s="200">
        <v>5.9211105438947455E-2</v>
      </c>
      <c r="AT110" s="116" t="s">
        <v>352</v>
      </c>
      <c r="AU110" s="116" t="s">
        <v>352</v>
      </c>
      <c r="AV110" s="163">
        <v>819.83544024463288</v>
      </c>
      <c r="AW110" s="165">
        <v>28.515976227548851</v>
      </c>
      <c r="AX110" s="164">
        <v>6.99</v>
      </c>
      <c r="AY110" s="134">
        <v>35.18</v>
      </c>
      <c r="AZ110" s="116" t="s">
        <v>352</v>
      </c>
      <c r="BA110" s="57">
        <v>0.79</v>
      </c>
      <c r="BB110" s="60">
        <v>301</v>
      </c>
      <c r="BC110" s="168">
        <v>0.79</v>
      </c>
      <c r="BD110" s="168">
        <v>0.81</v>
      </c>
      <c r="BE110" s="116" t="s">
        <v>352</v>
      </c>
      <c r="BF110" s="116" t="s">
        <v>352</v>
      </c>
      <c r="BG110" s="169">
        <v>0.03</v>
      </c>
      <c r="BH110" s="170">
        <v>2.84</v>
      </c>
      <c r="BI110" s="116" t="s">
        <v>352</v>
      </c>
      <c r="BJ110" s="173">
        <v>0</v>
      </c>
      <c r="BK110" s="119">
        <v>0.26309818452489903</v>
      </c>
      <c r="BL110" s="162">
        <v>80.48422114520055</v>
      </c>
      <c r="BM110" s="162">
        <v>263.16366586986555</v>
      </c>
      <c r="BN110" s="162">
        <v>16.557380644312374</v>
      </c>
      <c r="BO110" s="60">
        <v>2721</v>
      </c>
      <c r="BP110" s="59">
        <v>0.03</v>
      </c>
      <c r="BQ110" s="180" t="s">
        <v>358</v>
      </c>
      <c r="BR110" s="116" t="s">
        <v>352</v>
      </c>
      <c r="BS110" s="184">
        <v>93.36</v>
      </c>
      <c r="BT110" s="124" t="s">
        <v>353</v>
      </c>
      <c r="BU110" s="131">
        <v>1.84</v>
      </c>
      <c r="BV110" s="54">
        <v>0</v>
      </c>
      <c r="BW110" s="189" t="s">
        <v>355</v>
      </c>
      <c r="BX110" s="189" t="s">
        <v>355</v>
      </c>
      <c r="BY110" s="189" t="s">
        <v>355</v>
      </c>
      <c r="BZ110" s="190" t="s">
        <v>359</v>
      </c>
      <c r="CA110" s="190" t="s">
        <v>359</v>
      </c>
      <c r="CB110" s="124" t="s">
        <v>355</v>
      </c>
      <c r="CC110" s="41">
        <v>0</v>
      </c>
      <c r="CD110" s="199">
        <v>45.03</v>
      </c>
    </row>
    <row r="111" spans="1:82">
      <c r="A111" s="3" t="s">
        <v>454</v>
      </c>
      <c r="B111" s="3" t="s">
        <v>488</v>
      </c>
      <c r="C111" s="27" t="s">
        <v>456</v>
      </c>
      <c r="D111" s="3" t="s">
        <v>456</v>
      </c>
      <c r="E111" s="29">
        <v>13001</v>
      </c>
      <c r="F111" s="3" t="s">
        <v>489</v>
      </c>
      <c r="G111" s="4">
        <v>13201</v>
      </c>
      <c r="H111" s="39">
        <v>187.97</v>
      </c>
      <c r="I111" s="40">
        <v>3.61</v>
      </c>
      <c r="J111" s="41">
        <v>1312.32</v>
      </c>
      <c r="K111" s="54">
        <v>1.01</v>
      </c>
      <c r="L111" s="54">
        <v>94.59</v>
      </c>
      <c r="M111" s="57">
        <v>98.7</v>
      </c>
      <c r="N111" s="54">
        <v>4.41</v>
      </c>
      <c r="O111" s="58">
        <v>1383.59</v>
      </c>
      <c r="P111" s="59">
        <v>6.61</v>
      </c>
      <c r="Q111" s="60">
        <v>654.22</v>
      </c>
      <c r="R111" s="61">
        <v>0.8</v>
      </c>
      <c r="S111" s="62">
        <v>926.42</v>
      </c>
      <c r="T111" s="60">
        <v>271</v>
      </c>
      <c r="U111" s="125">
        <v>5.63</v>
      </c>
      <c r="V111" s="125">
        <v>5.63</v>
      </c>
      <c r="W111" s="125">
        <v>0.62</v>
      </c>
      <c r="X111" s="126">
        <v>1.87</v>
      </c>
      <c r="Y111" s="31">
        <v>37.880000000000003</v>
      </c>
      <c r="Z111" s="116" t="s">
        <v>352</v>
      </c>
      <c r="AA111" s="131">
        <v>1.58</v>
      </c>
      <c r="AB111" s="125">
        <v>35</v>
      </c>
      <c r="AC111" s="125">
        <v>74.099999999999994</v>
      </c>
      <c r="AD111" s="138">
        <v>95</v>
      </c>
      <c r="AE111" s="140">
        <v>105</v>
      </c>
      <c r="AF111" s="116" t="s">
        <v>352</v>
      </c>
      <c r="AG111" s="116" t="s">
        <v>352</v>
      </c>
      <c r="AH111" s="116" t="s">
        <v>352</v>
      </c>
      <c r="AI111" s="116" t="s">
        <v>352</v>
      </c>
      <c r="AJ111" s="150">
        <v>2.44</v>
      </c>
      <c r="AK111" s="150">
        <v>186.34</v>
      </c>
      <c r="AL111" s="123">
        <v>8.4600000000000009</v>
      </c>
      <c r="AM111" s="123">
        <v>16.440000000000001</v>
      </c>
      <c r="AN111" s="122">
        <v>1.6042960178108874</v>
      </c>
      <c r="AO111" s="116" t="s">
        <v>352</v>
      </c>
      <c r="AP111" s="125">
        <v>2.3199999999999998</v>
      </c>
      <c r="AQ111" s="126">
        <v>645.17999999999995</v>
      </c>
      <c r="AR111" s="54">
        <v>209.83</v>
      </c>
      <c r="AS111" s="200">
        <v>2.6923371390945934E-3</v>
      </c>
      <c r="AT111" s="116" t="s">
        <v>352</v>
      </c>
      <c r="AU111" s="116" t="s">
        <v>352</v>
      </c>
      <c r="AV111" s="163">
        <v>618.95376529522866</v>
      </c>
      <c r="AW111" s="165">
        <v>17.141873132788675</v>
      </c>
      <c r="AX111" s="164">
        <v>6.33</v>
      </c>
      <c r="AY111" s="134">
        <v>51.76</v>
      </c>
      <c r="AZ111" s="116" t="s">
        <v>352</v>
      </c>
      <c r="BA111" s="57">
        <v>9.34</v>
      </c>
      <c r="BB111" s="60">
        <v>7593</v>
      </c>
      <c r="BC111" s="168">
        <v>6.78</v>
      </c>
      <c r="BD111" s="168">
        <v>1.51</v>
      </c>
      <c r="BE111" s="116" t="s">
        <v>352</v>
      </c>
      <c r="BF111" s="116" t="s">
        <v>352</v>
      </c>
      <c r="BG111" s="169">
        <v>8.02</v>
      </c>
      <c r="BH111" s="170">
        <v>27.11</v>
      </c>
      <c r="BI111" s="116" t="s">
        <v>352</v>
      </c>
      <c r="BJ111" s="173">
        <v>55.696202531645568</v>
      </c>
      <c r="BK111" s="119">
        <v>0.34851448986497663</v>
      </c>
      <c r="BL111" s="162">
        <v>113.39323571984397</v>
      </c>
      <c r="BM111" s="162">
        <v>133.48885643409139</v>
      </c>
      <c r="BN111" s="162">
        <v>66.167714768900368</v>
      </c>
      <c r="BO111" s="60">
        <v>1716</v>
      </c>
      <c r="BP111" s="59">
        <v>0.01</v>
      </c>
      <c r="BQ111" s="180" t="s">
        <v>358</v>
      </c>
      <c r="BR111" s="116" t="s">
        <v>352</v>
      </c>
      <c r="BS111" s="184">
        <v>24.16</v>
      </c>
      <c r="BT111" s="124" t="s">
        <v>353</v>
      </c>
      <c r="BU111" s="131">
        <v>66.709999999999994</v>
      </c>
      <c r="BV111" s="54">
        <v>0</v>
      </c>
      <c r="BW111" s="177" t="s">
        <v>354</v>
      </c>
      <c r="BX111" s="177" t="s">
        <v>354</v>
      </c>
      <c r="BY111" s="189" t="s">
        <v>355</v>
      </c>
      <c r="BZ111" s="190" t="s">
        <v>359</v>
      </c>
      <c r="CA111" s="190" t="s">
        <v>359</v>
      </c>
      <c r="CB111" s="124" t="s">
        <v>355</v>
      </c>
      <c r="CC111" s="41">
        <v>0</v>
      </c>
      <c r="CD111" s="199">
        <v>22.77</v>
      </c>
    </row>
    <row r="112" spans="1:82">
      <c r="A112" s="3" t="s">
        <v>454</v>
      </c>
      <c r="B112" s="3" t="s">
        <v>488</v>
      </c>
      <c r="C112" s="27" t="s">
        <v>456</v>
      </c>
      <c r="D112" s="3" t="s">
        <v>456</v>
      </c>
      <c r="E112" s="29">
        <v>13001</v>
      </c>
      <c r="F112" s="3" t="s">
        <v>490</v>
      </c>
      <c r="G112" s="4">
        <v>13202</v>
      </c>
      <c r="H112" s="39">
        <v>692.96</v>
      </c>
      <c r="I112" s="40">
        <v>7.31</v>
      </c>
      <c r="J112" s="41">
        <v>1348.29</v>
      </c>
      <c r="K112" s="56" t="s">
        <v>351</v>
      </c>
      <c r="L112" s="54">
        <v>32.93</v>
      </c>
      <c r="M112" s="57">
        <v>5.46</v>
      </c>
      <c r="N112" s="54">
        <v>2.41</v>
      </c>
      <c r="O112" s="58">
        <v>2084.4499999999998</v>
      </c>
      <c r="P112" s="59">
        <v>13.9</v>
      </c>
      <c r="Q112" s="60">
        <v>1693.75</v>
      </c>
      <c r="R112" s="61">
        <v>0.7</v>
      </c>
      <c r="S112" s="62">
        <v>2493.09</v>
      </c>
      <c r="T112" s="60">
        <v>920</v>
      </c>
      <c r="U112" s="124" t="s">
        <v>351</v>
      </c>
      <c r="V112" s="124" t="s">
        <v>351</v>
      </c>
      <c r="W112" s="124" t="s">
        <v>351</v>
      </c>
      <c r="X112" s="126" t="s">
        <v>357</v>
      </c>
      <c r="Y112" s="126" t="s">
        <v>351</v>
      </c>
      <c r="Z112" s="116" t="s">
        <v>352</v>
      </c>
      <c r="AA112" s="131">
        <v>0.93</v>
      </c>
      <c r="AB112" s="125">
        <v>34.5</v>
      </c>
      <c r="AC112" s="125">
        <v>59.8</v>
      </c>
      <c r="AD112" s="138">
        <v>70</v>
      </c>
      <c r="AE112" s="141">
        <v>95</v>
      </c>
      <c r="AF112" s="116" t="s">
        <v>352</v>
      </c>
      <c r="AG112" s="116" t="s">
        <v>352</v>
      </c>
      <c r="AH112" s="116" t="s">
        <v>352</v>
      </c>
      <c r="AI112" s="116" t="s">
        <v>352</v>
      </c>
      <c r="AJ112" s="150">
        <v>0</v>
      </c>
      <c r="AK112" s="150">
        <v>204.87</v>
      </c>
      <c r="AL112" s="123" t="s">
        <v>351</v>
      </c>
      <c r="AM112" s="123" t="s">
        <v>351</v>
      </c>
      <c r="AN112" s="122">
        <v>1.0194313253837295</v>
      </c>
      <c r="AO112" s="116" t="s">
        <v>352</v>
      </c>
      <c r="AP112" s="125">
        <v>1.39</v>
      </c>
      <c r="AQ112" s="126">
        <v>860.09</v>
      </c>
      <c r="AR112" s="54">
        <v>852.07</v>
      </c>
      <c r="AS112" s="200">
        <v>0.10611480766646197</v>
      </c>
      <c r="AT112" s="116" t="s">
        <v>352</v>
      </c>
      <c r="AU112" s="116" t="s">
        <v>352</v>
      </c>
      <c r="AV112" s="163">
        <v>233.70657479184612</v>
      </c>
      <c r="AW112" s="165">
        <v>2.8264870307996808</v>
      </c>
      <c r="AX112" s="164">
        <v>14.13</v>
      </c>
      <c r="AY112" s="134">
        <v>28.91</v>
      </c>
      <c r="AZ112" s="116" t="s">
        <v>352</v>
      </c>
      <c r="BA112" s="57">
        <v>28.86</v>
      </c>
      <c r="BB112" s="60">
        <v>206</v>
      </c>
      <c r="BC112" s="168">
        <v>7.29</v>
      </c>
      <c r="BD112" s="168">
        <v>1.1200000000000001</v>
      </c>
      <c r="BE112" s="116" t="s">
        <v>352</v>
      </c>
      <c r="BF112" s="116" t="s">
        <v>352</v>
      </c>
      <c r="BG112" s="169">
        <v>3.63</v>
      </c>
      <c r="BH112" s="170">
        <v>11.32</v>
      </c>
      <c r="BI112" s="116" t="s">
        <v>352</v>
      </c>
      <c r="BJ112" s="173">
        <v>87.5</v>
      </c>
      <c r="BK112" s="119">
        <v>0.22822530944258296</v>
      </c>
      <c r="BL112" s="162">
        <v>43.751519149970484</v>
      </c>
      <c r="BM112" s="162">
        <v>139.24094586617591</v>
      </c>
      <c r="BN112" s="162">
        <v>67.363450119795829</v>
      </c>
      <c r="BO112" s="60">
        <v>656</v>
      </c>
      <c r="BP112" s="59">
        <v>0.03</v>
      </c>
      <c r="BQ112" s="180" t="s">
        <v>358</v>
      </c>
      <c r="BR112" s="116" t="s">
        <v>352</v>
      </c>
      <c r="BS112" s="184">
        <v>99.61</v>
      </c>
      <c r="BT112" s="124" t="s">
        <v>353</v>
      </c>
      <c r="BU112" s="131">
        <v>11.88</v>
      </c>
      <c r="BV112" s="54">
        <v>0</v>
      </c>
      <c r="BW112" s="189" t="s">
        <v>353</v>
      </c>
      <c r="BX112" s="189" t="s">
        <v>353</v>
      </c>
      <c r="BY112" s="189" t="s">
        <v>355</v>
      </c>
      <c r="BZ112" s="190" t="s">
        <v>359</v>
      </c>
      <c r="CA112" s="190" t="s">
        <v>359</v>
      </c>
      <c r="CB112" s="124" t="s">
        <v>355</v>
      </c>
      <c r="CC112" s="41">
        <v>0</v>
      </c>
      <c r="CD112" s="199">
        <v>39.409999999999997</v>
      </c>
    </row>
    <row r="113" spans="1:82">
      <c r="A113" s="3" t="s">
        <v>454</v>
      </c>
      <c r="B113" s="3" t="s">
        <v>488</v>
      </c>
      <c r="C113" s="27" t="s">
        <v>456</v>
      </c>
      <c r="D113" s="3" t="s">
        <v>456</v>
      </c>
      <c r="E113" s="29">
        <v>13001</v>
      </c>
      <c r="F113" s="3" t="s">
        <v>491</v>
      </c>
      <c r="G113" s="4">
        <v>13203</v>
      </c>
      <c r="H113" s="39">
        <v>708.93</v>
      </c>
      <c r="I113" s="40">
        <v>9.99</v>
      </c>
      <c r="J113" s="41">
        <v>1819.16</v>
      </c>
      <c r="K113" s="56" t="s">
        <v>351</v>
      </c>
      <c r="L113" s="54">
        <v>39.6</v>
      </c>
      <c r="M113" s="56" t="s">
        <v>351</v>
      </c>
      <c r="N113" s="54">
        <v>3.96</v>
      </c>
      <c r="O113" s="58">
        <v>2065.75</v>
      </c>
      <c r="P113" s="59" t="s">
        <v>351</v>
      </c>
      <c r="Q113" s="60">
        <v>1312.63</v>
      </c>
      <c r="R113" s="61">
        <v>0.85</v>
      </c>
      <c r="S113" s="62">
        <v>1233.99</v>
      </c>
      <c r="T113" s="60">
        <v>1353</v>
      </c>
      <c r="U113" s="124" t="s">
        <v>351</v>
      </c>
      <c r="V113" s="124" t="s">
        <v>351</v>
      </c>
      <c r="W113" s="125">
        <v>0.16</v>
      </c>
      <c r="X113" s="126" t="s">
        <v>357</v>
      </c>
      <c r="Y113" s="126" t="s">
        <v>351</v>
      </c>
      <c r="Z113" s="116" t="s">
        <v>352</v>
      </c>
      <c r="AA113" s="127" t="s">
        <v>351</v>
      </c>
      <c r="AB113" s="124" t="s">
        <v>351</v>
      </c>
      <c r="AC113" s="124" t="s">
        <v>351</v>
      </c>
      <c r="AD113" s="139" t="s">
        <v>351</v>
      </c>
      <c r="AE113" s="127" t="s">
        <v>351</v>
      </c>
      <c r="AF113" s="116" t="s">
        <v>352</v>
      </c>
      <c r="AG113" s="116" t="s">
        <v>352</v>
      </c>
      <c r="AH113" s="116" t="s">
        <v>352</v>
      </c>
      <c r="AI113" s="116" t="s">
        <v>352</v>
      </c>
      <c r="AJ113" s="150">
        <v>16.760000000000002</v>
      </c>
      <c r="AK113" s="150">
        <v>715.2</v>
      </c>
      <c r="AL113" s="123" t="s">
        <v>351</v>
      </c>
      <c r="AM113" s="123" t="s">
        <v>351</v>
      </c>
      <c r="AN113" s="122">
        <v>1.3232630248736874</v>
      </c>
      <c r="AO113" s="116" t="s">
        <v>352</v>
      </c>
      <c r="AP113" s="123" t="s">
        <v>351</v>
      </c>
      <c r="AQ113" s="126">
        <v>866.28</v>
      </c>
      <c r="AR113" s="54">
        <v>669.26</v>
      </c>
      <c r="AS113" s="200">
        <v>2.6510958931411869E-2</v>
      </c>
      <c r="AT113" s="116" t="s">
        <v>352</v>
      </c>
      <c r="AU113" s="116" t="s">
        <v>352</v>
      </c>
      <c r="AV113" s="163">
        <v>320.03031068451634</v>
      </c>
      <c r="AW113" s="165">
        <v>7.0793987819187567</v>
      </c>
      <c r="AX113" s="164">
        <v>35.18</v>
      </c>
      <c r="AY113" s="134">
        <v>8.3699999999999992</v>
      </c>
      <c r="AZ113" s="116" t="s">
        <v>352</v>
      </c>
      <c r="BA113" s="57">
        <v>28.96</v>
      </c>
      <c r="BB113" s="60">
        <v>234</v>
      </c>
      <c r="BC113" s="168">
        <v>6.44</v>
      </c>
      <c r="BD113" s="168">
        <v>1.29</v>
      </c>
      <c r="BE113" s="116" t="s">
        <v>352</v>
      </c>
      <c r="BF113" s="116" t="s">
        <v>352</v>
      </c>
      <c r="BG113" s="169">
        <v>5.68</v>
      </c>
      <c r="BH113" s="170">
        <v>21.2</v>
      </c>
      <c r="BI113" s="116" t="s">
        <v>352</v>
      </c>
      <c r="BJ113" s="173">
        <v>33.333333333333336</v>
      </c>
      <c r="BK113" s="119">
        <v>0.39997567353889191</v>
      </c>
      <c r="BL113" s="162">
        <v>68.167849360227962</v>
      </c>
      <c r="BM113" s="162">
        <v>217.35486394367774</v>
      </c>
      <c r="BN113" s="162">
        <v>74.872883723529085</v>
      </c>
      <c r="BO113" s="60">
        <v>2328</v>
      </c>
      <c r="BP113" s="59">
        <v>0.13</v>
      </c>
      <c r="BQ113" s="180" t="s">
        <v>358</v>
      </c>
      <c r="BR113" s="116" t="s">
        <v>352</v>
      </c>
      <c r="BS113" s="184">
        <v>29.86</v>
      </c>
      <c r="BT113" s="124" t="s">
        <v>355</v>
      </c>
      <c r="BU113" s="131">
        <v>34.369999999999997</v>
      </c>
      <c r="BV113" s="54">
        <v>0</v>
      </c>
      <c r="BW113" s="177" t="s">
        <v>354</v>
      </c>
      <c r="BX113" s="177" t="s">
        <v>354</v>
      </c>
      <c r="BY113" s="189" t="s">
        <v>355</v>
      </c>
      <c r="BZ113" s="191">
        <v>0</v>
      </c>
      <c r="CA113" s="191">
        <v>0</v>
      </c>
      <c r="CB113" s="124" t="s">
        <v>351</v>
      </c>
      <c r="CC113" s="39" t="s">
        <v>351</v>
      </c>
      <c r="CD113" s="199">
        <v>42.79</v>
      </c>
    </row>
    <row r="114" spans="1:82">
      <c r="A114" s="3" t="s">
        <v>454</v>
      </c>
      <c r="B114" s="3" t="s">
        <v>492</v>
      </c>
      <c r="C114" s="27" t="s">
        <v>456</v>
      </c>
      <c r="D114" s="3" t="s">
        <v>456</v>
      </c>
      <c r="E114" s="29">
        <v>13001</v>
      </c>
      <c r="F114" s="3" t="s">
        <v>493</v>
      </c>
      <c r="G114" s="4">
        <v>13301</v>
      </c>
      <c r="H114" s="39">
        <v>263.33</v>
      </c>
      <c r="I114" s="40">
        <v>8.2799999999999994</v>
      </c>
      <c r="J114" s="41">
        <v>904.18</v>
      </c>
      <c r="K114" s="54">
        <v>3.98</v>
      </c>
      <c r="L114" s="54">
        <v>75.209999999999994</v>
      </c>
      <c r="M114" s="57">
        <v>81.260000000000005</v>
      </c>
      <c r="N114" s="54">
        <v>9.4600000000000009</v>
      </c>
      <c r="O114" s="58">
        <v>856.27</v>
      </c>
      <c r="P114" s="59">
        <v>6.33</v>
      </c>
      <c r="Q114" s="60">
        <v>543.03</v>
      </c>
      <c r="R114" s="61">
        <v>0.63</v>
      </c>
      <c r="S114" s="62">
        <v>446.02</v>
      </c>
      <c r="T114" s="5" t="s">
        <v>351</v>
      </c>
      <c r="U114" s="124" t="s">
        <v>351</v>
      </c>
      <c r="V114" s="124" t="s">
        <v>351</v>
      </c>
      <c r="W114" s="125">
        <v>0.06</v>
      </c>
      <c r="X114" s="126">
        <v>0.2</v>
      </c>
      <c r="Y114" s="31">
        <v>2.1</v>
      </c>
      <c r="Z114" s="116" t="s">
        <v>352</v>
      </c>
      <c r="AA114" s="131">
        <v>1.25</v>
      </c>
      <c r="AB114" s="125">
        <v>26.8</v>
      </c>
      <c r="AC114" s="125">
        <v>71</v>
      </c>
      <c r="AD114" s="138">
        <v>75</v>
      </c>
      <c r="AE114" s="141">
        <v>90</v>
      </c>
      <c r="AF114" s="116" t="s">
        <v>352</v>
      </c>
      <c r="AG114" s="116" t="s">
        <v>352</v>
      </c>
      <c r="AH114" s="116" t="s">
        <v>352</v>
      </c>
      <c r="AI114" s="116" t="s">
        <v>352</v>
      </c>
      <c r="AJ114" s="150">
        <v>9.77</v>
      </c>
      <c r="AK114" s="150">
        <v>344.37</v>
      </c>
      <c r="AL114" s="123" t="s">
        <v>351</v>
      </c>
      <c r="AM114" s="123" t="s">
        <v>351</v>
      </c>
      <c r="AN114" s="122">
        <v>1.2218988384531211</v>
      </c>
      <c r="AO114" s="116" t="s">
        <v>352</v>
      </c>
      <c r="AP114" s="125">
        <v>0.67</v>
      </c>
      <c r="AQ114" s="126">
        <v>941.05</v>
      </c>
      <c r="AR114" s="54">
        <v>1202.42</v>
      </c>
      <c r="AS114" s="200">
        <v>0.1566476336258541</v>
      </c>
      <c r="AT114" s="116" t="s">
        <v>352</v>
      </c>
      <c r="AU114" s="116" t="s">
        <v>352</v>
      </c>
      <c r="AV114" s="163">
        <v>456.31178275195998</v>
      </c>
      <c r="AW114" s="165">
        <v>9.8083392864775085</v>
      </c>
      <c r="AX114" s="164">
        <v>29.6</v>
      </c>
      <c r="AY114" s="134">
        <v>37.659999999999997</v>
      </c>
      <c r="AZ114" s="116" t="s">
        <v>352</v>
      </c>
      <c r="BA114" s="57">
        <v>12.23</v>
      </c>
      <c r="BB114" s="60">
        <v>1830</v>
      </c>
      <c r="BC114" s="168">
        <v>8.3000000000000007</v>
      </c>
      <c r="BD114" s="168">
        <v>1.34</v>
      </c>
      <c r="BE114" s="116" t="s">
        <v>352</v>
      </c>
      <c r="BF114" s="116" t="s">
        <v>352</v>
      </c>
      <c r="BG114" s="169">
        <v>12.56</v>
      </c>
      <c r="BH114" s="170">
        <v>32.090000000000003</v>
      </c>
      <c r="BI114" s="116" t="s">
        <v>352</v>
      </c>
      <c r="BJ114" s="173">
        <v>33.333333333333336</v>
      </c>
      <c r="BK114" s="119">
        <v>0.49297608836256912</v>
      </c>
      <c r="BL114" s="162">
        <v>101.35609571434678</v>
      </c>
      <c r="BM114" s="162">
        <v>113.8119050671942</v>
      </c>
      <c r="BN114" s="162">
        <v>48.479963853729728</v>
      </c>
      <c r="BO114" s="60">
        <v>1275</v>
      </c>
      <c r="BP114" s="59">
        <v>0</v>
      </c>
      <c r="BQ114" s="180" t="s">
        <v>358</v>
      </c>
      <c r="BR114" s="116" t="s">
        <v>352</v>
      </c>
      <c r="BS114" s="184">
        <v>34.17</v>
      </c>
      <c r="BT114" s="124" t="s">
        <v>353</v>
      </c>
      <c r="BU114" s="131">
        <v>10.47</v>
      </c>
      <c r="BV114" s="54">
        <v>0</v>
      </c>
      <c r="BW114" s="177" t="s">
        <v>354</v>
      </c>
      <c r="BX114" s="177" t="s">
        <v>354</v>
      </c>
      <c r="BY114" s="189" t="s">
        <v>353</v>
      </c>
      <c r="BZ114" s="191">
        <v>0</v>
      </c>
      <c r="CA114" s="191">
        <v>0</v>
      </c>
      <c r="CB114" s="124" t="s">
        <v>355</v>
      </c>
      <c r="CC114" s="39" t="s">
        <v>351</v>
      </c>
      <c r="CD114" s="199">
        <v>32.380000000000003</v>
      </c>
    </row>
    <row r="115" spans="1:82">
      <c r="A115" s="3" t="s">
        <v>454</v>
      </c>
      <c r="B115" s="3" t="s">
        <v>492</v>
      </c>
      <c r="C115" s="27" t="s">
        <v>456</v>
      </c>
      <c r="D115" s="3" t="s">
        <v>456</v>
      </c>
      <c r="E115" s="29">
        <v>13001</v>
      </c>
      <c r="F115" s="3" t="s">
        <v>494</v>
      </c>
      <c r="G115" s="4">
        <v>13302</v>
      </c>
      <c r="H115" s="39">
        <v>302.88</v>
      </c>
      <c r="I115" s="40">
        <v>5.17</v>
      </c>
      <c r="J115" s="41">
        <v>713.58</v>
      </c>
      <c r="K115" s="54">
        <v>4.6500000000000004</v>
      </c>
      <c r="L115" s="54">
        <v>70.36</v>
      </c>
      <c r="M115" s="57">
        <v>69.81</v>
      </c>
      <c r="N115" s="54">
        <v>6.88</v>
      </c>
      <c r="O115" s="58">
        <v>2343.19</v>
      </c>
      <c r="P115" s="59">
        <v>10.91</v>
      </c>
      <c r="Q115" s="60">
        <v>679.68</v>
      </c>
      <c r="R115" s="61">
        <v>0.75</v>
      </c>
      <c r="S115" s="62">
        <v>2284.89</v>
      </c>
      <c r="T115" s="60">
        <v>776</v>
      </c>
      <c r="U115" s="124" t="s">
        <v>351</v>
      </c>
      <c r="V115" s="124" t="s">
        <v>351</v>
      </c>
      <c r="W115" s="125">
        <v>0.06</v>
      </c>
      <c r="X115" s="126">
        <v>2.2799999999999998</v>
      </c>
      <c r="Y115" s="31">
        <v>24.57</v>
      </c>
      <c r="Z115" s="116" t="s">
        <v>352</v>
      </c>
      <c r="AA115" s="131">
        <v>1.36</v>
      </c>
      <c r="AB115" s="125">
        <v>21.2</v>
      </c>
      <c r="AC115" s="125">
        <v>70.8</v>
      </c>
      <c r="AD115" s="138">
        <v>95</v>
      </c>
      <c r="AE115" s="141">
        <v>120</v>
      </c>
      <c r="AF115" s="116" t="s">
        <v>352</v>
      </c>
      <c r="AG115" s="116" t="s">
        <v>352</v>
      </c>
      <c r="AH115" s="116" t="s">
        <v>352</v>
      </c>
      <c r="AI115" s="116" t="s">
        <v>352</v>
      </c>
      <c r="AJ115" s="150">
        <v>6.95</v>
      </c>
      <c r="AK115" s="150">
        <v>99.95</v>
      </c>
      <c r="AL115" s="123" t="s">
        <v>351</v>
      </c>
      <c r="AM115" s="123" t="s">
        <v>351</v>
      </c>
      <c r="AN115" s="122">
        <v>0.95910865205088935</v>
      </c>
      <c r="AO115" s="116" t="s">
        <v>352</v>
      </c>
      <c r="AP115" s="125">
        <v>4.26</v>
      </c>
      <c r="AQ115" s="126">
        <v>740.26</v>
      </c>
      <c r="AR115" s="54">
        <v>1869.76</v>
      </c>
      <c r="AS115" s="200">
        <v>1.8975725953425674E-2</v>
      </c>
      <c r="AT115" s="116" t="s">
        <v>352</v>
      </c>
      <c r="AU115" s="116" t="s">
        <v>352</v>
      </c>
      <c r="AV115" s="163">
        <v>454.39003077390674</v>
      </c>
      <c r="AW115" s="165">
        <v>10.394757426689148</v>
      </c>
      <c r="AX115" s="164">
        <v>20.83</v>
      </c>
      <c r="AY115" s="134">
        <v>43.93</v>
      </c>
      <c r="AZ115" s="116" t="s">
        <v>352</v>
      </c>
      <c r="BA115" s="57">
        <v>16.68</v>
      </c>
      <c r="BB115" s="60">
        <v>1519</v>
      </c>
      <c r="BC115" s="168">
        <v>8.68</v>
      </c>
      <c r="BD115" s="168">
        <v>1.1599999999999999</v>
      </c>
      <c r="BE115" s="116" t="s">
        <v>352</v>
      </c>
      <c r="BF115" s="116" t="s">
        <v>352</v>
      </c>
      <c r="BG115" s="169">
        <v>9.81</v>
      </c>
      <c r="BH115" s="170">
        <v>26.75</v>
      </c>
      <c r="BI115" s="116" t="s">
        <v>352</v>
      </c>
      <c r="BJ115" s="173">
        <v>35.294117647058826</v>
      </c>
      <c r="BK115" s="119">
        <v>0.53493235734006317</v>
      </c>
      <c r="BL115" s="162">
        <v>108.90159745519651</v>
      </c>
      <c r="BM115" s="162">
        <v>108.81468476768238</v>
      </c>
      <c r="BN115" s="162">
        <v>67.965721636044435</v>
      </c>
      <c r="BO115" s="60">
        <v>2448</v>
      </c>
      <c r="BP115" s="59">
        <v>0.03</v>
      </c>
      <c r="BQ115" s="180" t="s">
        <v>358</v>
      </c>
      <c r="BR115" s="116" t="s">
        <v>352</v>
      </c>
      <c r="BS115" s="184">
        <v>1.83</v>
      </c>
      <c r="BT115" s="124" t="s">
        <v>355</v>
      </c>
      <c r="BU115" s="131">
        <v>14.62</v>
      </c>
      <c r="BV115" s="54">
        <v>0</v>
      </c>
      <c r="BW115" s="177" t="s">
        <v>354</v>
      </c>
      <c r="BX115" s="177" t="s">
        <v>354</v>
      </c>
      <c r="BY115" s="189" t="s">
        <v>355</v>
      </c>
      <c r="BZ115" s="190" t="s">
        <v>359</v>
      </c>
      <c r="CA115" s="190" t="s">
        <v>359</v>
      </c>
      <c r="CB115" s="124" t="s">
        <v>353</v>
      </c>
      <c r="CC115" s="41">
        <v>1445</v>
      </c>
      <c r="CD115" s="199">
        <v>37.049999999999997</v>
      </c>
    </row>
    <row r="116" spans="1:82">
      <c r="A116" s="3" t="s">
        <v>454</v>
      </c>
      <c r="B116" s="3" t="s">
        <v>492</v>
      </c>
      <c r="C116" s="27" t="s">
        <v>456</v>
      </c>
      <c r="D116" s="3" t="s">
        <v>456</v>
      </c>
      <c r="E116" s="29">
        <v>13001</v>
      </c>
      <c r="F116" s="3" t="s">
        <v>495</v>
      </c>
      <c r="G116" s="4">
        <v>13303</v>
      </c>
      <c r="H116" s="39">
        <v>519.54</v>
      </c>
      <c r="I116" s="40">
        <v>6.4</v>
      </c>
      <c r="J116" s="41">
        <v>85.32</v>
      </c>
      <c r="K116" s="54">
        <v>18.04</v>
      </c>
      <c r="L116" s="54">
        <v>51.88</v>
      </c>
      <c r="M116" s="57">
        <v>15.03</v>
      </c>
      <c r="N116" s="54">
        <v>6.03</v>
      </c>
      <c r="O116" s="58">
        <v>322.08</v>
      </c>
      <c r="P116" s="59">
        <v>18.38</v>
      </c>
      <c r="Q116" s="60">
        <v>717.92</v>
      </c>
      <c r="R116" s="61">
        <v>0.97</v>
      </c>
      <c r="S116" s="62">
        <v>559.21</v>
      </c>
      <c r="T116" s="5" t="s">
        <v>351</v>
      </c>
      <c r="U116" s="124" t="s">
        <v>351</v>
      </c>
      <c r="V116" s="124" t="s">
        <v>351</v>
      </c>
      <c r="W116" s="124" t="s">
        <v>351</v>
      </c>
      <c r="X116" s="126">
        <v>1.24</v>
      </c>
      <c r="Y116" s="31">
        <v>29.26</v>
      </c>
      <c r="Z116" s="116" t="s">
        <v>352</v>
      </c>
      <c r="AA116" s="127" t="s">
        <v>351</v>
      </c>
      <c r="AB116" s="124" t="s">
        <v>351</v>
      </c>
      <c r="AC116" s="124" t="s">
        <v>351</v>
      </c>
      <c r="AD116" s="139" t="s">
        <v>351</v>
      </c>
      <c r="AE116" s="127" t="s">
        <v>351</v>
      </c>
      <c r="AF116" s="116" t="s">
        <v>352</v>
      </c>
      <c r="AG116" s="116" t="s">
        <v>352</v>
      </c>
      <c r="AH116" s="116" t="s">
        <v>352</v>
      </c>
      <c r="AI116" s="116" t="s">
        <v>352</v>
      </c>
      <c r="AJ116" s="150">
        <v>38.72</v>
      </c>
      <c r="AK116" s="150">
        <v>290.39999999999998</v>
      </c>
      <c r="AL116" s="123" t="s">
        <v>351</v>
      </c>
      <c r="AM116" s="123" t="s">
        <v>351</v>
      </c>
      <c r="AN116" s="122">
        <v>2.3173830915635505</v>
      </c>
      <c r="AO116" s="116" t="s">
        <v>352</v>
      </c>
      <c r="AP116" s="125">
        <v>0</v>
      </c>
      <c r="AQ116" s="126">
        <v>660.62</v>
      </c>
      <c r="AR116" s="54">
        <v>1467.74</v>
      </c>
      <c r="AS116" s="200" t="s">
        <v>351</v>
      </c>
      <c r="AT116" s="116" t="s">
        <v>352</v>
      </c>
      <c r="AU116" s="116" t="s">
        <v>352</v>
      </c>
      <c r="AV116" s="163">
        <v>319.58285052143685</v>
      </c>
      <c r="AW116" s="165">
        <v>6.6744107255215139</v>
      </c>
      <c r="AX116" s="164">
        <v>10.33</v>
      </c>
      <c r="AY116" s="134">
        <v>49.05</v>
      </c>
      <c r="AZ116" s="116" t="s">
        <v>352</v>
      </c>
      <c r="BA116" s="57">
        <v>23.2</v>
      </c>
      <c r="BB116" s="60">
        <v>251</v>
      </c>
      <c r="BC116" s="168">
        <v>6.85</v>
      </c>
      <c r="BD116" s="168">
        <v>1.22</v>
      </c>
      <c r="BE116" s="116" t="s">
        <v>352</v>
      </c>
      <c r="BF116" s="116" t="s">
        <v>352</v>
      </c>
      <c r="BG116" s="169">
        <v>7.89</v>
      </c>
      <c r="BH116" s="170">
        <v>27.19</v>
      </c>
      <c r="BI116" s="116" t="s">
        <v>352</v>
      </c>
      <c r="BJ116" s="174" t="s">
        <v>351</v>
      </c>
      <c r="BK116" s="119" t="s">
        <v>351</v>
      </c>
      <c r="BL116" s="162">
        <v>79.376603262184787</v>
      </c>
      <c r="BM116" s="162">
        <v>100.67276511301486</v>
      </c>
      <c r="BN116" s="162">
        <v>65.340496587774069</v>
      </c>
      <c r="BO116" s="60">
        <v>657</v>
      </c>
      <c r="BP116" s="59">
        <v>0.03</v>
      </c>
      <c r="BQ116" s="180" t="s">
        <v>358</v>
      </c>
      <c r="BR116" s="116" t="s">
        <v>352</v>
      </c>
      <c r="BS116" s="184">
        <v>35.24</v>
      </c>
      <c r="BT116" s="124" t="s">
        <v>355</v>
      </c>
      <c r="BU116" s="131">
        <v>34.67</v>
      </c>
      <c r="BV116" s="54">
        <v>0</v>
      </c>
      <c r="BW116" s="177" t="s">
        <v>354</v>
      </c>
      <c r="BX116" s="177" t="s">
        <v>354</v>
      </c>
      <c r="BY116" s="189" t="s">
        <v>355</v>
      </c>
      <c r="BZ116" s="190" t="s">
        <v>359</v>
      </c>
      <c r="CA116" s="190" t="s">
        <v>359</v>
      </c>
      <c r="CB116" s="124" t="s">
        <v>355</v>
      </c>
      <c r="CC116" s="41">
        <v>0</v>
      </c>
      <c r="CD116" s="199">
        <v>45.35</v>
      </c>
    </row>
    <row r="117" spans="1:82">
      <c r="A117" s="3" t="s">
        <v>454</v>
      </c>
      <c r="B117" s="3" t="s">
        <v>496</v>
      </c>
      <c r="C117" s="27" t="s">
        <v>456</v>
      </c>
      <c r="D117" s="3" t="s">
        <v>456</v>
      </c>
      <c r="E117" s="29">
        <v>13001</v>
      </c>
      <c r="F117" s="3" t="s">
        <v>497</v>
      </c>
      <c r="G117" s="4">
        <v>13401</v>
      </c>
      <c r="H117" s="39">
        <v>220.6</v>
      </c>
      <c r="I117" s="40">
        <v>3.38</v>
      </c>
      <c r="J117" s="41">
        <v>1562.91</v>
      </c>
      <c r="K117" s="54">
        <v>1.19</v>
      </c>
      <c r="L117" s="54">
        <v>88.99</v>
      </c>
      <c r="M117" s="57">
        <v>89.66</v>
      </c>
      <c r="N117" s="54">
        <v>4.07</v>
      </c>
      <c r="O117" s="58">
        <v>1057.3499999999999</v>
      </c>
      <c r="P117" s="59">
        <v>11.14</v>
      </c>
      <c r="Q117" s="60">
        <v>524.71</v>
      </c>
      <c r="R117" s="61">
        <v>1.07</v>
      </c>
      <c r="S117" s="62">
        <v>773.7</v>
      </c>
      <c r="T117" s="60">
        <v>304</v>
      </c>
      <c r="U117" s="125">
        <v>4.38</v>
      </c>
      <c r="V117" s="125">
        <v>4.38</v>
      </c>
      <c r="W117" s="125">
        <v>1.21</v>
      </c>
      <c r="X117" s="126">
        <v>1.38</v>
      </c>
      <c r="Y117" s="31">
        <v>57.88</v>
      </c>
      <c r="Z117" s="116" t="s">
        <v>352</v>
      </c>
      <c r="AA117" s="131">
        <v>1.8</v>
      </c>
      <c r="AB117" s="125">
        <v>22.6</v>
      </c>
      <c r="AC117" s="125">
        <v>68.599999999999994</v>
      </c>
      <c r="AD117" s="137">
        <v>90</v>
      </c>
      <c r="AE117" s="141">
        <v>120</v>
      </c>
      <c r="AF117" s="116" t="s">
        <v>352</v>
      </c>
      <c r="AG117" s="116" t="s">
        <v>352</v>
      </c>
      <c r="AH117" s="116" t="s">
        <v>352</v>
      </c>
      <c r="AI117" s="116" t="s">
        <v>352</v>
      </c>
      <c r="AJ117" s="150">
        <v>6.18</v>
      </c>
      <c r="AK117" s="150">
        <v>161.71</v>
      </c>
      <c r="AL117" s="123">
        <v>7.61</v>
      </c>
      <c r="AM117" s="123">
        <v>15.21</v>
      </c>
      <c r="AN117" s="122">
        <v>1.4812894667121572</v>
      </c>
      <c r="AO117" s="116" t="s">
        <v>352</v>
      </c>
      <c r="AP117" s="125">
        <v>2.1</v>
      </c>
      <c r="AQ117" s="126">
        <v>623.12</v>
      </c>
      <c r="AR117" s="54">
        <v>860.06</v>
      </c>
      <c r="AS117" s="200">
        <v>3.4753892423236399E-2</v>
      </c>
      <c r="AT117" s="116" t="s">
        <v>352</v>
      </c>
      <c r="AU117" s="116" t="s">
        <v>352</v>
      </c>
      <c r="AV117" s="163">
        <v>462.74567487751619</v>
      </c>
      <c r="AW117" s="165">
        <v>12.645362769197471</v>
      </c>
      <c r="AX117" s="164">
        <v>8.2799999999999994</v>
      </c>
      <c r="AY117" s="134">
        <v>31.39</v>
      </c>
      <c r="AZ117" s="116" t="s">
        <v>352</v>
      </c>
      <c r="BA117" s="57">
        <v>12.73</v>
      </c>
      <c r="BB117" s="60">
        <v>6355</v>
      </c>
      <c r="BC117" s="168">
        <v>9.44</v>
      </c>
      <c r="BD117" s="168">
        <v>2.14</v>
      </c>
      <c r="BE117" s="116" t="s">
        <v>352</v>
      </c>
      <c r="BF117" s="116" t="s">
        <v>352</v>
      </c>
      <c r="BG117" s="169">
        <v>9.19</v>
      </c>
      <c r="BH117" s="170">
        <v>21.99</v>
      </c>
      <c r="BI117" s="116" t="s">
        <v>352</v>
      </c>
      <c r="BJ117" s="173">
        <v>55.73770491803279</v>
      </c>
      <c r="BK117" s="119">
        <v>0.33803495946018725</v>
      </c>
      <c r="BL117" s="162">
        <v>166.9990569392267</v>
      </c>
      <c r="BM117" s="162">
        <v>146.74644033208108</v>
      </c>
      <c r="BN117" s="162">
        <v>65.08665337105576</v>
      </c>
      <c r="BO117" s="60">
        <v>2337</v>
      </c>
      <c r="BP117" s="59">
        <v>0.02</v>
      </c>
      <c r="BQ117" s="180" t="s">
        <v>358</v>
      </c>
      <c r="BR117" s="116" t="s">
        <v>352</v>
      </c>
      <c r="BS117" s="184">
        <v>34.24</v>
      </c>
      <c r="BT117" s="124" t="s">
        <v>355</v>
      </c>
      <c r="BU117" s="131">
        <v>36.6</v>
      </c>
      <c r="BV117" s="54">
        <v>0</v>
      </c>
      <c r="BW117" s="177" t="s">
        <v>354</v>
      </c>
      <c r="BX117" s="177" t="s">
        <v>354</v>
      </c>
      <c r="BY117" s="189" t="s">
        <v>353</v>
      </c>
      <c r="BZ117" s="190" t="s">
        <v>359</v>
      </c>
      <c r="CA117" s="190" t="s">
        <v>359</v>
      </c>
      <c r="CB117" s="124" t="s">
        <v>355</v>
      </c>
      <c r="CC117" s="41">
        <v>368.2</v>
      </c>
      <c r="CD117" s="199">
        <v>24.22</v>
      </c>
    </row>
    <row r="118" spans="1:82">
      <c r="A118" s="3" t="s">
        <v>454</v>
      </c>
      <c r="B118" s="3" t="s">
        <v>496</v>
      </c>
      <c r="C118" s="27" t="s">
        <v>456</v>
      </c>
      <c r="D118" s="3" t="s">
        <v>456</v>
      </c>
      <c r="E118" s="29">
        <v>13001</v>
      </c>
      <c r="F118" s="3" t="s">
        <v>498</v>
      </c>
      <c r="G118" s="4">
        <v>13402</v>
      </c>
      <c r="H118" s="39">
        <v>303.81</v>
      </c>
      <c r="I118" s="40">
        <v>8.18</v>
      </c>
      <c r="J118" s="41">
        <v>1476.69</v>
      </c>
      <c r="K118" s="54">
        <v>0.81</v>
      </c>
      <c r="L118" s="54">
        <v>82.94</v>
      </c>
      <c r="M118" s="57">
        <v>68.459999999999994</v>
      </c>
      <c r="N118" s="54">
        <v>7.34</v>
      </c>
      <c r="O118" s="58">
        <v>1238.31</v>
      </c>
      <c r="P118" s="59">
        <v>16.05</v>
      </c>
      <c r="Q118" s="60">
        <v>857.7</v>
      </c>
      <c r="R118" s="61">
        <v>0.7</v>
      </c>
      <c r="S118" s="62">
        <v>1137.03</v>
      </c>
      <c r="T118" s="5" t="s">
        <v>351</v>
      </c>
      <c r="U118" s="124" t="s">
        <v>351</v>
      </c>
      <c r="V118" s="124" t="s">
        <v>351</v>
      </c>
      <c r="W118" s="125">
        <v>0.04</v>
      </c>
      <c r="X118" s="126">
        <v>5.14</v>
      </c>
      <c r="Y118" s="31">
        <v>65.81</v>
      </c>
      <c r="Z118" s="116" t="s">
        <v>352</v>
      </c>
      <c r="AA118" s="131">
        <v>1.6</v>
      </c>
      <c r="AB118" s="125">
        <v>28.6</v>
      </c>
      <c r="AC118" s="125">
        <v>71.099999999999994</v>
      </c>
      <c r="AD118" s="138">
        <v>80</v>
      </c>
      <c r="AE118" s="141">
        <v>90</v>
      </c>
      <c r="AF118" s="116" t="s">
        <v>352</v>
      </c>
      <c r="AG118" s="116" t="s">
        <v>352</v>
      </c>
      <c r="AH118" s="116" t="s">
        <v>352</v>
      </c>
      <c r="AI118" s="116" t="s">
        <v>352</v>
      </c>
      <c r="AJ118" s="150">
        <v>6.71</v>
      </c>
      <c r="AK118" s="150">
        <v>345.03</v>
      </c>
      <c r="AL118" s="123" t="s">
        <v>351</v>
      </c>
      <c r="AM118" s="123" t="s">
        <v>351</v>
      </c>
      <c r="AN118" s="122">
        <v>1.4692279070891048</v>
      </c>
      <c r="AO118" s="116" t="s">
        <v>352</v>
      </c>
      <c r="AP118" s="123" t="s">
        <v>351</v>
      </c>
      <c r="AQ118" s="126">
        <v>692.58</v>
      </c>
      <c r="AR118" s="54">
        <v>851.87</v>
      </c>
      <c r="AS118" s="200">
        <v>4.2865107282401638E-3</v>
      </c>
      <c r="AT118" s="116" t="s">
        <v>352</v>
      </c>
      <c r="AU118" s="116" t="s">
        <v>352</v>
      </c>
      <c r="AV118" s="163">
        <v>486.12411520167785</v>
      </c>
      <c r="AW118" s="165">
        <v>12.440338131840749</v>
      </c>
      <c r="AX118" s="164">
        <v>10.54</v>
      </c>
      <c r="AY118" s="134">
        <v>42.65</v>
      </c>
      <c r="AZ118" s="116" t="s">
        <v>352</v>
      </c>
      <c r="BA118" s="57">
        <v>16.53</v>
      </c>
      <c r="BB118" s="60">
        <v>1553</v>
      </c>
      <c r="BC118" s="168">
        <v>7.55</v>
      </c>
      <c r="BD118" s="168">
        <v>1.6</v>
      </c>
      <c r="BE118" s="116" t="s">
        <v>352</v>
      </c>
      <c r="BF118" s="116" t="s">
        <v>352</v>
      </c>
      <c r="BG118" s="169">
        <v>10.27</v>
      </c>
      <c r="BH118" s="170">
        <v>18.88</v>
      </c>
      <c r="BI118" s="116" t="s">
        <v>352</v>
      </c>
      <c r="BJ118" s="174" t="s">
        <v>351</v>
      </c>
      <c r="BK118" s="119" t="s">
        <v>351</v>
      </c>
      <c r="BL118" s="162">
        <v>74.086143111809704</v>
      </c>
      <c r="BM118" s="162">
        <v>121.24058348827849</v>
      </c>
      <c r="BN118" s="162">
        <v>66.418754432709079</v>
      </c>
      <c r="BO118" s="60">
        <v>1330</v>
      </c>
      <c r="BP118" s="59">
        <v>0.01</v>
      </c>
      <c r="BQ118" s="180" t="s">
        <v>358</v>
      </c>
      <c r="BR118" s="116" t="s">
        <v>352</v>
      </c>
      <c r="BS118" s="184">
        <v>23.81</v>
      </c>
      <c r="BT118" s="124" t="s">
        <v>355</v>
      </c>
      <c r="BU118" s="131">
        <v>20.170000000000002</v>
      </c>
      <c r="BV118" s="54">
        <v>0</v>
      </c>
      <c r="BW118" s="189" t="s">
        <v>353</v>
      </c>
      <c r="BX118" s="189" t="s">
        <v>355</v>
      </c>
      <c r="BY118" s="189" t="s">
        <v>355</v>
      </c>
      <c r="BZ118" s="190" t="s">
        <v>359</v>
      </c>
      <c r="CA118" s="190" t="s">
        <v>359</v>
      </c>
      <c r="CB118" s="124" t="s">
        <v>351</v>
      </c>
      <c r="CC118" s="39" t="s">
        <v>351</v>
      </c>
      <c r="CD118" s="199">
        <v>42.05</v>
      </c>
    </row>
    <row r="119" spans="1:82">
      <c r="A119" s="3" t="s">
        <v>454</v>
      </c>
      <c r="B119" s="3" t="s">
        <v>496</v>
      </c>
      <c r="C119" s="27" t="s">
        <v>456</v>
      </c>
      <c r="D119" s="3" t="s">
        <v>456</v>
      </c>
      <c r="E119" s="29">
        <v>13001</v>
      </c>
      <c r="F119" s="3" t="s">
        <v>499</v>
      </c>
      <c r="G119" s="4">
        <v>13403</v>
      </c>
      <c r="H119" s="39">
        <v>489.65</v>
      </c>
      <c r="I119" s="40">
        <v>4.0599999999999996</v>
      </c>
      <c r="J119" s="42" t="s">
        <v>351</v>
      </c>
      <c r="K119" s="55" t="s">
        <v>351</v>
      </c>
      <c r="L119" s="54">
        <v>64.14</v>
      </c>
      <c r="M119" s="56" t="s">
        <v>351</v>
      </c>
      <c r="N119" s="54">
        <v>2.61</v>
      </c>
      <c r="O119" s="58">
        <v>1097.8800000000001</v>
      </c>
      <c r="P119" s="59" t="s">
        <v>351</v>
      </c>
      <c r="Q119" s="60">
        <v>722.46</v>
      </c>
      <c r="R119" s="61">
        <v>0.57999999999999996</v>
      </c>
      <c r="S119" s="62">
        <v>1160.24</v>
      </c>
      <c r="T119" s="5" t="s">
        <v>351</v>
      </c>
      <c r="U119" s="124" t="s">
        <v>351</v>
      </c>
      <c r="V119" s="124" t="s">
        <v>351</v>
      </c>
      <c r="W119" s="125">
        <v>0.19</v>
      </c>
      <c r="X119" s="126">
        <v>16.32</v>
      </c>
      <c r="Y119" s="31">
        <v>89.58</v>
      </c>
      <c r="Z119" s="116" t="s">
        <v>352</v>
      </c>
      <c r="AA119" s="131">
        <v>1.25</v>
      </c>
      <c r="AB119" s="125">
        <v>21.7</v>
      </c>
      <c r="AC119" s="125">
        <v>74.900000000000006</v>
      </c>
      <c r="AD119" s="138">
        <v>75</v>
      </c>
      <c r="AE119" s="140">
        <v>120</v>
      </c>
      <c r="AF119" s="116" t="s">
        <v>352</v>
      </c>
      <c r="AG119" s="116" t="s">
        <v>352</v>
      </c>
      <c r="AH119" s="116" t="s">
        <v>352</v>
      </c>
      <c r="AI119" s="116" t="s">
        <v>352</v>
      </c>
      <c r="AJ119" s="150">
        <v>7.32</v>
      </c>
      <c r="AK119" s="150">
        <v>541.95000000000005</v>
      </c>
      <c r="AL119" s="123" t="s">
        <v>351</v>
      </c>
      <c r="AM119" s="123" t="s">
        <v>351</v>
      </c>
      <c r="AN119" s="122">
        <v>1.5878532693070726</v>
      </c>
      <c r="AO119" s="116" t="s">
        <v>352</v>
      </c>
      <c r="AP119" s="123" t="s">
        <v>351</v>
      </c>
      <c r="AQ119" s="126">
        <v>753.39</v>
      </c>
      <c r="AR119" s="54">
        <v>1252.1199999999999</v>
      </c>
      <c r="AS119" s="200">
        <v>5.501000957894444E-2</v>
      </c>
      <c r="AT119" s="116" t="s">
        <v>352</v>
      </c>
      <c r="AU119" s="116" t="s">
        <v>352</v>
      </c>
      <c r="AV119" s="163">
        <v>639.07189916929246</v>
      </c>
      <c r="AW119" s="165">
        <v>8.16946794097184</v>
      </c>
      <c r="AX119" s="164">
        <v>21.12</v>
      </c>
      <c r="AY119" s="134">
        <v>15.66</v>
      </c>
      <c r="AZ119" s="116" t="s">
        <v>352</v>
      </c>
      <c r="BA119" s="57">
        <v>22.44</v>
      </c>
      <c r="BB119" s="60">
        <v>294</v>
      </c>
      <c r="BC119" s="168">
        <v>9.3800000000000008</v>
      </c>
      <c r="BD119" s="168">
        <v>1.49</v>
      </c>
      <c r="BE119" s="116" t="s">
        <v>352</v>
      </c>
      <c r="BF119" s="116" t="s">
        <v>352</v>
      </c>
      <c r="BG119" s="169">
        <v>2.76</v>
      </c>
      <c r="BH119" s="170">
        <v>29.41</v>
      </c>
      <c r="BI119" s="116" t="s">
        <v>352</v>
      </c>
      <c r="BJ119" s="174" t="s">
        <v>351</v>
      </c>
      <c r="BK119" s="119" t="s">
        <v>351</v>
      </c>
      <c r="BL119" s="162">
        <v>86.052217217767037</v>
      </c>
      <c r="BM119" s="162">
        <v>162.58376359441942</v>
      </c>
      <c r="BN119" s="162">
        <v>43.209198432751108</v>
      </c>
      <c r="BO119" s="60">
        <v>0</v>
      </c>
      <c r="BP119" s="59">
        <v>0.12</v>
      </c>
      <c r="BQ119" s="180" t="s">
        <v>358</v>
      </c>
      <c r="BR119" s="116" t="s">
        <v>352</v>
      </c>
      <c r="BS119" s="184">
        <v>96.47</v>
      </c>
      <c r="BT119" s="124" t="s">
        <v>355</v>
      </c>
      <c r="BU119" s="131">
        <v>15.89</v>
      </c>
      <c r="BV119" s="54">
        <v>0</v>
      </c>
      <c r="BW119" s="177" t="s">
        <v>354</v>
      </c>
      <c r="BX119" s="177" t="s">
        <v>354</v>
      </c>
      <c r="BY119" s="189" t="s">
        <v>355</v>
      </c>
      <c r="BZ119" s="190" t="s">
        <v>359</v>
      </c>
      <c r="CA119" s="190" t="s">
        <v>359</v>
      </c>
      <c r="CB119" s="124" t="s">
        <v>351</v>
      </c>
      <c r="CC119" s="39" t="s">
        <v>351</v>
      </c>
      <c r="CD119" s="199">
        <v>48.04</v>
      </c>
    </row>
    <row r="120" spans="1:82">
      <c r="A120" s="3" t="s">
        <v>454</v>
      </c>
      <c r="B120" s="3" t="s">
        <v>496</v>
      </c>
      <c r="C120" s="27" t="s">
        <v>456</v>
      </c>
      <c r="D120" s="3" t="s">
        <v>456</v>
      </c>
      <c r="E120" s="29">
        <v>13001</v>
      </c>
      <c r="F120" s="3" t="s">
        <v>500</v>
      </c>
      <c r="G120" s="4">
        <v>13404</v>
      </c>
      <c r="H120" s="39">
        <v>327.52999999999997</v>
      </c>
      <c r="I120" s="40">
        <v>5.52</v>
      </c>
      <c r="J120" s="42" t="s">
        <v>351</v>
      </c>
      <c r="K120" s="55" t="s">
        <v>351</v>
      </c>
      <c r="L120" s="54">
        <v>67.739999999999995</v>
      </c>
      <c r="M120" s="56" t="s">
        <v>351</v>
      </c>
      <c r="N120" s="54">
        <v>3.74</v>
      </c>
      <c r="O120" s="58">
        <v>1044.3800000000001</v>
      </c>
      <c r="P120" s="59">
        <v>28.48</v>
      </c>
      <c r="Q120" s="60">
        <v>584.78</v>
      </c>
      <c r="R120" s="61">
        <v>1</v>
      </c>
      <c r="S120" s="62">
        <v>742.68</v>
      </c>
      <c r="T120" s="5" t="s">
        <v>351</v>
      </c>
      <c r="U120" s="124" t="s">
        <v>351</v>
      </c>
      <c r="V120" s="124" t="s">
        <v>351</v>
      </c>
      <c r="W120" s="124" t="s">
        <v>351</v>
      </c>
      <c r="X120" s="126">
        <v>0.62</v>
      </c>
      <c r="Y120" s="31">
        <v>7.08</v>
      </c>
      <c r="Z120" s="116" t="s">
        <v>352</v>
      </c>
      <c r="AA120" s="127" t="s">
        <v>351</v>
      </c>
      <c r="AB120" s="124" t="s">
        <v>351</v>
      </c>
      <c r="AC120" s="124" t="s">
        <v>351</v>
      </c>
      <c r="AD120" s="139" t="s">
        <v>351</v>
      </c>
      <c r="AE120" s="127" t="s">
        <v>351</v>
      </c>
      <c r="AF120" s="116" t="s">
        <v>352</v>
      </c>
      <c r="AG120" s="116" t="s">
        <v>352</v>
      </c>
      <c r="AH120" s="116" t="s">
        <v>352</v>
      </c>
      <c r="AI120" s="116" t="s">
        <v>352</v>
      </c>
      <c r="AJ120" s="150">
        <v>13.99</v>
      </c>
      <c r="AK120" s="150">
        <v>301.33999999999997</v>
      </c>
      <c r="AL120" s="123" t="s">
        <v>351</v>
      </c>
      <c r="AM120" s="123" t="s">
        <v>351</v>
      </c>
      <c r="AN120" s="122">
        <v>1.0809116164035217</v>
      </c>
      <c r="AO120" s="116" t="s">
        <v>352</v>
      </c>
      <c r="AP120" s="125">
        <v>0</v>
      </c>
      <c r="AQ120" s="126">
        <v>707.6</v>
      </c>
      <c r="AR120" s="54">
        <v>1388.31</v>
      </c>
      <c r="AS120" s="200">
        <v>2.6758695111478215E-2</v>
      </c>
      <c r="AT120" s="116" t="s">
        <v>352</v>
      </c>
      <c r="AU120" s="116" t="s">
        <v>352</v>
      </c>
      <c r="AV120" s="163">
        <v>330.51023950017355</v>
      </c>
      <c r="AW120" s="165">
        <v>6.0534011443102349</v>
      </c>
      <c r="AX120" s="164">
        <v>22.31</v>
      </c>
      <c r="AY120" s="134">
        <v>57.66</v>
      </c>
      <c r="AZ120" s="116" t="s">
        <v>352</v>
      </c>
      <c r="BA120" s="57">
        <v>20.18</v>
      </c>
      <c r="BB120" s="60">
        <v>1005</v>
      </c>
      <c r="BC120" s="168">
        <v>9.26</v>
      </c>
      <c r="BD120" s="168">
        <v>1.59</v>
      </c>
      <c r="BE120" s="116" t="s">
        <v>352</v>
      </c>
      <c r="BF120" s="116" t="s">
        <v>352</v>
      </c>
      <c r="BG120" s="169">
        <v>8.08</v>
      </c>
      <c r="BH120" s="170">
        <v>26.95</v>
      </c>
      <c r="BI120" s="116" t="s">
        <v>352</v>
      </c>
      <c r="BJ120" s="174" t="s">
        <v>351</v>
      </c>
      <c r="BK120" s="119" t="s">
        <v>351</v>
      </c>
      <c r="BL120" s="162">
        <v>67.768595041322314</v>
      </c>
      <c r="BM120" s="162">
        <v>113.92244119516847</v>
      </c>
      <c r="BN120" s="162">
        <v>52.129688493324856</v>
      </c>
      <c r="BO120" s="60">
        <v>1225</v>
      </c>
      <c r="BP120" s="59">
        <v>0.03</v>
      </c>
      <c r="BQ120" s="180" t="s">
        <v>358</v>
      </c>
      <c r="BR120" s="116" t="s">
        <v>352</v>
      </c>
      <c r="BS120" s="184">
        <v>15.39</v>
      </c>
      <c r="BT120" s="124" t="s">
        <v>353</v>
      </c>
      <c r="BU120" s="131">
        <v>30</v>
      </c>
      <c r="BV120" s="54">
        <v>0</v>
      </c>
      <c r="BW120" s="177" t="s">
        <v>354</v>
      </c>
      <c r="BX120" s="177" t="s">
        <v>354</v>
      </c>
      <c r="BY120" s="189" t="s">
        <v>355</v>
      </c>
      <c r="BZ120" s="191">
        <v>0</v>
      </c>
      <c r="CA120" s="191">
        <v>0</v>
      </c>
      <c r="CB120" s="124" t="s">
        <v>355</v>
      </c>
      <c r="CC120" s="41">
        <v>1185.9000000000001</v>
      </c>
      <c r="CD120" s="199">
        <v>39.29</v>
      </c>
    </row>
    <row r="121" spans="1:82">
      <c r="A121" s="3" t="s">
        <v>454</v>
      </c>
      <c r="B121" s="3" t="s">
        <v>501</v>
      </c>
      <c r="C121" s="27" t="s">
        <v>349</v>
      </c>
      <c r="D121" s="3" t="s">
        <v>501</v>
      </c>
      <c r="E121" s="29">
        <v>13501</v>
      </c>
      <c r="F121" s="6" t="s">
        <v>501</v>
      </c>
      <c r="G121" s="4">
        <v>13501</v>
      </c>
      <c r="H121" s="39">
        <v>335.11</v>
      </c>
      <c r="I121" s="40">
        <v>4.95</v>
      </c>
      <c r="J121" s="41">
        <v>1667.87</v>
      </c>
      <c r="K121" s="54">
        <v>1.23</v>
      </c>
      <c r="L121" s="54">
        <v>69.62</v>
      </c>
      <c r="M121" s="57">
        <v>71.81</v>
      </c>
      <c r="N121" s="54">
        <v>4.33</v>
      </c>
      <c r="O121" s="58">
        <v>922.02</v>
      </c>
      <c r="P121" s="59">
        <v>10.44</v>
      </c>
      <c r="Q121" s="60">
        <v>664.87</v>
      </c>
      <c r="R121" s="61">
        <v>0.85</v>
      </c>
      <c r="S121" s="62">
        <v>691.18</v>
      </c>
      <c r="T121" s="5" t="s">
        <v>351</v>
      </c>
      <c r="U121" s="124" t="s">
        <v>351</v>
      </c>
      <c r="V121" s="124" t="s">
        <v>351</v>
      </c>
      <c r="W121" s="124" t="s">
        <v>351</v>
      </c>
      <c r="X121" s="126">
        <v>1.28</v>
      </c>
      <c r="Y121" s="31">
        <v>22.14</v>
      </c>
      <c r="Z121" s="116" t="s">
        <v>352</v>
      </c>
      <c r="AA121" s="131">
        <v>2</v>
      </c>
      <c r="AB121" s="125">
        <v>30.5</v>
      </c>
      <c r="AC121" s="125">
        <v>73.7</v>
      </c>
      <c r="AD121" s="138">
        <v>100</v>
      </c>
      <c r="AE121" s="141">
        <v>140</v>
      </c>
      <c r="AF121" s="116" t="s">
        <v>352</v>
      </c>
      <c r="AG121" s="116" t="s">
        <v>352</v>
      </c>
      <c r="AH121" s="116" t="s">
        <v>352</v>
      </c>
      <c r="AI121" s="116" t="s">
        <v>352</v>
      </c>
      <c r="AJ121" s="150">
        <v>12.51</v>
      </c>
      <c r="AK121" s="150">
        <v>406.78</v>
      </c>
      <c r="AL121" s="123" t="s">
        <v>351</v>
      </c>
      <c r="AM121" s="123" t="s">
        <v>351</v>
      </c>
      <c r="AN121" s="122">
        <v>1.0773696252060034</v>
      </c>
      <c r="AO121" s="116" t="s">
        <v>352</v>
      </c>
      <c r="AP121" s="125">
        <v>3.75</v>
      </c>
      <c r="AQ121" s="126">
        <v>609.79999999999995</v>
      </c>
      <c r="AR121" s="54">
        <v>757.55</v>
      </c>
      <c r="AS121" s="200">
        <v>0.15928532116958657</v>
      </c>
      <c r="AT121" s="116" t="s">
        <v>352</v>
      </c>
      <c r="AU121" s="116" t="s">
        <v>352</v>
      </c>
      <c r="AV121" s="163">
        <v>273.54510268837828</v>
      </c>
      <c r="AW121" s="165">
        <v>5.7707160984221559</v>
      </c>
      <c r="AX121" s="164">
        <v>11.04</v>
      </c>
      <c r="AY121" s="134">
        <v>28.12</v>
      </c>
      <c r="AZ121" s="116" t="s">
        <v>352</v>
      </c>
      <c r="BA121" s="57">
        <v>16.13</v>
      </c>
      <c r="BB121" s="60">
        <v>1350</v>
      </c>
      <c r="BC121" s="168">
        <v>7.12</v>
      </c>
      <c r="BD121" s="168">
        <v>1.53</v>
      </c>
      <c r="BE121" s="116" t="s">
        <v>352</v>
      </c>
      <c r="BF121" s="116" t="s">
        <v>352</v>
      </c>
      <c r="BG121" s="169">
        <v>14.01</v>
      </c>
      <c r="BH121" s="170">
        <v>20.77</v>
      </c>
      <c r="BI121" s="116" t="s">
        <v>352</v>
      </c>
      <c r="BJ121" s="174" t="s">
        <v>351</v>
      </c>
      <c r="BK121" s="119" t="s">
        <v>351</v>
      </c>
      <c r="BL121" s="162">
        <v>106.51366361396153</v>
      </c>
      <c r="BM121" s="162">
        <v>152.63525690536613</v>
      </c>
      <c r="BN121" s="162">
        <v>74.221192393982861</v>
      </c>
      <c r="BO121" s="60">
        <v>1685</v>
      </c>
      <c r="BP121" s="59">
        <v>0.02</v>
      </c>
      <c r="BQ121" s="180" t="s">
        <v>358</v>
      </c>
      <c r="BR121" s="116" t="s">
        <v>352</v>
      </c>
      <c r="BS121" s="184">
        <v>10.35</v>
      </c>
      <c r="BT121" s="124" t="s">
        <v>355</v>
      </c>
      <c r="BU121" s="131">
        <v>54.25</v>
      </c>
      <c r="BV121" s="54">
        <v>0.02</v>
      </c>
      <c r="BW121" s="177" t="s">
        <v>354</v>
      </c>
      <c r="BX121" s="177" t="s">
        <v>354</v>
      </c>
      <c r="BY121" s="189" t="s">
        <v>355</v>
      </c>
      <c r="BZ121" s="190" t="s">
        <v>359</v>
      </c>
      <c r="CA121" s="190" t="s">
        <v>359</v>
      </c>
      <c r="CB121" s="124" t="s">
        <v>355</v>
      </c>
      <c r="CC121" s="41">
        <v>25.6</v>
      </c>
      <c r="CD121" s="199">
        <v>32.71</v>
      </c>
    </row>
    <row r="122" spans="1:82">
      <c r="A122" s="3" t="s">
        <v>454</v>
      </c>
      <c r="B122" s="3" t="s">
        <v>502</v>
      </c>
      <c r="C122" s="27" t="s">
        <v>456</v>
      </c>
      <c r="D122" s="3" t="s">
        <v>456</v>
      </c>
      <c r="E122" s="29">
        <v>13001</v>
      </c>
      <c r="F122" s="3" t="s">
        <v>502</v>
      </c>
      <c r="G122" s="4">
        <v>13601</v>
      </c>
      <c r="H122" s="39">
        <v>196.11</v>
      </c>
      <c r="I122" s="40">
        <v>5.91</v>
      </c>
      <c r="J122" s="41">
        <v>2107.7800000000002</v>
      </c>
      <c r="K122" s="54">
        <v>2.73</v>
      </c>
      <c r="L122" s="54">
        <v>87.58</v>
      </c>
      <c r="M122" s="57">
        <v>64.599999999999994</v>
      </c>
      <c r="N122" s="54">
        <v>6.94</v>
      </c>
      <c r="O122" s="58">
        <v>983.31</v>
      </c>
      <c r="P122" s="59">
        <v>14.59</v>
      </c>
      <c r="Q122" s="60">
        <v>732.06</v>
      </c>
      <c r="R122" s="61">
        <v>1.06</v>
      </c>
      <c r="S122" s="62">
        <v>847.4</v>
      </c>
      <c r="T122" s="5" t="s">
        <v>351</v>
      </c>
      <c r="U122" s="124" t="s">
        <v>351</v>
      </c>
      <c r="V122" s="124" t="s">
        <v>351</v>
      </c>
      <c r="W122" s="124" t="s">
        <v>351</v>
      </c>
      <c r="X122" s="126">
        <v>4.38</v>
      </c>
      <c r="Y122" s="31">
        <v>83.6</v>
      </c>
      <c r="Z122" s="116" t="s">
        <v>352</v>
      </c>
      <c r="AA122" s="131">
        <v>1.5</v>
      </c>
      <c r="AB122" s="125">
        <v>35.4</v>
      </c>
      <c r="AC122" s="125">
        <v>74.099999999999994</v>
      </c>
      <c r="AD122" s="137">
        <v>90</v>
      </c>
      <c r="AE122" s="141">
        <v>130</v>
      </c>
      <c r="AF122" s="116" t="s">
        <v>352</v>
      </c>
      <c r="AG122" s="116" t="s">
        <v>352</v>
      </c>
      <c r="AH122" s="116" t="s">
        <v>352</v>
      </c>
      <c r="AI122" s="116" t="s">
        <v>352</v>
      </c>
      <c r="AJ122" s="150">
        <v>8.84</v>
      </c>
      <c r="AK122" s="150">
        <v>256.45</v>
      </c>
      <c r="AL122" s="123" t="s">
        <v>351</v>
      </c>
      <c r="AM122" s="123" t="s">
        <v>351</v>
      </c>
      <c r="AN122" s="122">
        <v>0.98357126565319175</v>
      </c>
      <c r="AO122" s="116" t="s">
        <v>352</v>
      </c>
      <c r="AP122" s="125">
        <v>0</v>
      </c>
      <c r="AQ122" s="126">
        <v>687.45</v>
      </c>
      <c r="AR122" s="54">
        <v>691.14</v>
      </c>
      <c r="AS122" s="200">
        <v>2.9090566817806491E-2</v>
      </c>
      <c r="AT122" s="116" t="s">
        <v>352</v>
      </c>
      <c r="AU122" s="116" t="s">
        <v>352</v>
      </c>
      <c r="AV122" s="163">
        <v>463.79583583802389</v>
      </c>
      <c r="AW122" s="165">
        <v>10.721594785113316</v>
      </c>
      <c r="AX122" s="164">
        <v>18.98</v>
      </c>
      <c r="AY122" s="134">
        <v>52.79</v>
      </c>
      <c r="AZ122" s="116" t="s">
        <v>352</v>
      </c>
      <c r="BA122" s="57">
        <v>14.05</v>
      </c>
      <c r="BB122" s="60">
        <v>907</v>
      </c>
      <c r="BC122" s="168">
        <v>8.6</v>
      </c>
      <c r="BD122" s="168">
        <v>1.04</v>
      </c>
      <c r="BE122" s="116" t="s">
        <v>352</v>
      </c>
      <c r="BF122" s="116" t="s">
        <v>352</v>
      </c>
      <c r="BG122" s="169">
        <v>11.95</v>
      </c>
      <c r="BH122" s="170">
        <v>29.9</v>
      </c>
      <c r="BI122" s="116" t="s">
        <v>352</v>
      </c>
      <c r="BJ122" s="174" t="s">
        <v>351</v>
      </c>
      <c r="BK122" s="119" t="s">
        <v>351</v>
      </c>
      <c r="BL122" s="162">
        <v>64.049116955961495</v>
      </c>
      <c r="BM122" s="162">
        <v>133.40407792010916</v>
      </c>
      <c r="BN122" s="162">
        <v>70.11293867960282</v>
      </c>
      <c r="BO122" s="60">
        <v>2043</v>
      </c>
      <c r="BP122" s="59">
        <v>0.02</v>
      </c>
      <c r="BQ122" s="180" t="s">
        <v>358</v>
      </c>
      <c r="BR122" s="116" t="s">
        <v>352</v>
      </c>
      <c r="BS122" s="184">
        <v>21.38</v>
      </c>
      <c r="BT122" s="124" t="s">
        <v>353</v>
      </c>
      <c r="BU122" s="131">
        <v>47.97</v>
      </c>
      <c r="BV122" s="54">
        <v>0</v>
      </c>
      <c r="BW122" s="189" t="s">
        <v>355</v>
      </c>
      <c r="BX122" s="189" t="s">
        <v>355</v>
      </c>
      <c r="BY122" s="189" t="s">
        <v>355</v>
      </c>
      <c r="BZ122" s="190" t="s">
        <v>359</v>
      </c>
      <c r="CA122" s="190" t="s">
        <v>359</v>
      </c>
      <c r="CB122" s="124" t="s">
        <v>353</v>
      </c>
      <c r="CC122" s="41">
        <v>8777</v>
      </c>
      <c r="CD122" s="199">
        <v>38.450000000000003</v>
      </c>
    </row>
    <row r="123" spans="1:82">
      <c r="A123" s="3" t="s">
        <v>454</v>
      </c>
      <c r="B123" s="3" t="s">
        <v>502</v>
      </c>
      <c r="C123" s="27" t="s">
        <v>456</v>
      </c>
      <c r="D123" s="3" t="s">
        <v>456</v>
      </c>
      <c r="E123" s="29">
        <v>13001</v>
      </c>
      <c r="F123" s="3" t="s">
        <v>503</v>
      </c>
      <c r="G123" s="4">
        <v>13602</v>
      </c>
      <c r="H123" s="39">
        <v>385.91</v>
      </c>
      <c r="I123" s="40">
        <v>4.9800000000000004</v>
      </c>
      <c r="J123" s="42" t="s">
        <v>351</v>
      </c>
      <c r="K123" s="55" t="s">
        <v>351</v>
      </c>
      <c r="L123" s="54">
        <v>72.87</v>
      </c>
      <c r="M123" s="56" t="s">
        <v>351</v>
      </c>
      <c r="N123" s="54">
        <v>3.63</v>
      </c>
      <c r="O123" s="58">
        <v>1450.93</v>
      </c>
      <c r="P123" s="59">
        <v>8</v>
      </c>
      <c r="Q123" s="60">
        <v>736.83</v>
      </c>
      <c r="R123" s="61">
        <v>0.91</v>
      </c>
      <c r="S123" s="62">
        <v>912.95</v>
      </c>
      <c r="T123" s="5" t="s">
        <v>351</v>
      </c>
      <c r="U123" s="124" t="s">
        <v>351</v>
      </c>
      <c r="V123" s="124" t="s">
        <v>351</v>
      </c>
      <c r="W123" s="124" t="s">
        <v>351</v>
      </c>
      <c r="X123" s="126">
        <v>5.51</v>
      </c>
      <c r="Y123" s="31">
        <v>55.81</v>
      </c>
      <c r="Z123" s="116" t="s">
        <v>352</v>
      </c>
      <c r="AA123" s="131">
        <v>1.21</v>
      </c>
      <c r="AB123" s="125">
        <v>30.1</v>
      </c>
      <c r="AC123" s="125">
        <v>75.5</v>
      </c>
      <c r="AD123" s="138">
        <v>85</v>
      </c>
      <c r="AE123" s="141">
        <v>120</v>
      </c>
      <c r="AF123" s="116" t="s">
        <v>352</v>
      </c>
      <c r="AG123" s="116" t="s">
        <v>352</v>
      </c>
      <c r="AH123" s="116" t="s">
        <v>352</v>
      </c>
      <c r="AI123" s="116" t="s">
        <v>352</v>
      </c>
      <c r="AJ123" s="150">
        <v>15.55</v>
      </c>
      <c r="AK123" s="150">
        <v>176.2</v>
      </c>
      <c r="AL123" s="123" t="s">
        <v>351</v>
      </c>
      <c r="AM123" s="123" t="s">
        <v>351</v>
      </c>
      <c r="AN123" s="122">
        <v>1.0117527878751522</v>
      </c>
      <c r="AO123" s="116" t="s">
        <v>352</v>
      </c>
      <c r="AP123" s="125">
        <v>2.59</v>
      </c>
      <c r="AQ123" s="126">
        <v>588.55999999999995</v>
      </c>
      <c r="AR123" s="54">
        <v>381.36</v>
      </c>
      <c r="AS123" s="200" t="s">
        <v>351</v>
      </c>
      <c r="AT123" s="116" t="s">
        <v>352</v>
      </c>
      <c r="AU123" s="116" t="s">
        <v>352</v>
      </c>
      <c r="AV123" s="163">
        <v>159.84825181995282</v>
      </c>
      <c r="AW123" s="165">
        <v>4.0395926722462621</v>
      </c>
      <c r="AX123" s="164">
        <v>10.91</v>
      </c>
      <c r="AY123" s="134">
        <v>35.5</v>
      </c>
      <c r="AZ123" s="116" t="s">
        <v>352</v>
      </c>
      <c r="BA123" s="57">
        <v>24.1</v>
      </c>
      <c r="BB123" s="60">
        <v>459</v>
      </c>
      <c r="BC123" s="168">
        <v>9.31</v>
      </c>
      <c r="BD123" s="168">
        <v>1.17</v>
      </c>
      <c r="BE123" s="116" t="s">
        <v>352</v>
      </c>
      <c r="BF123" s="116" t="s">
        <v>352</v>
      </c>
      <c r="BG123" s="169">
        <v>6.09</v>
      </c>
      <c r="BH123" s="170">
        <v>27.02</v>
      </c>
      <c r="BI123" s="116" t="s">
        <v>352</v>
      </c>
      <c r="BJ123" s="174" t="s">
        <v>351</v>
      </c>
      <c r="BK123" s="119" t="s">
        <v>351</v>
      </c>
      <c r="BL123" s="162">
        <v>53.636669862410287</v>
      </c>
      <c r="BM123" s="162">
        <v>78.252532842743491</v>
      </c>
      <c r="BN123" s="162">
        <v>73.847588940999657</v>
      </c>
      <c r="BO123" s="60">
        <v>2119</v>
      </c>
      <c r="BP123" s="59">
        <v>0.01</v>
      </c>
      <c r="BQ123" s="180" t="s">
        <v>358</v>
      </c>
      <c r="BR123" s="116" t="s">
        <v>352</v>
      </c>
      <c r="BS123" s="184">
        <v>41.83</v>
      </c>
      <c r="BT123" s="124" t="s">
        <v>355</v>
      </c>
      <c r="BU123" s="131">
        <v>45.4</v>
      </c>
      <c r="BV123" s="54">
        <v>14.32</v>
      </c>
      <c r="BW123" s="177" t="s">
        <v>354</v>
      </c>
      <c r="BX123" s="177" t="s">
        <v>354</v>
      </c>
      <c r="BY123" s="189" t="s">
        <v>355</v>
      </c>
      <c r="BZ123" s="190" t="s">
        <v>359</v>
      </c>
      <c r="CA123" s="190" t="s">
        <v>359</v>
      </c>
      <c r="CB123" s="124" t="s">
        <v>355</v>
      </c>
      <c r="CC123" s="39" t="s">
        <v>351</v>
      </c>
      <c r="CD123" s="199">
        <v>46.02</v>
      </c>
    </row>
    <row r="124" spans="1:82">
      <c r="A124" s="3" t="s">
        <v>454</v>
      </c>
      <c r="B124" s="3" t="s">
        <v>502</v>
      </c>
      <c r="C124" s="27" t="s">
        <v>456</v>
      </c>
      <c r="D124" s="3" t="s">
        <v>456</v>
      </c>
      <c r="E124" s="29">
        <v>13001</v>
      </c>
      <c r="F124" s="3" t="s">
        <v>504</v>
      </c>
      <c r="G124" s="4">
        <v>13603</v>
      </c>
      <c r="H124" s="39">
        <v>468.69</v>
      </c>
      <c r="I124" s="40">
        <v>4.7300000000000004</v>
      </c>
      <c r="J124" s="42" t="s">
        <v>351</v>
      </c>
      <c r="K124" s="55" t="s">
        <v>351</v>
      </c>
      <c r="L124" s="54">
        <v>56.74</v>
      </c>
      <c r="M124" s="56" t="s">
        <v>351</v>
      </c>
      <c r="N124" s="54">
        <v>2.69</v>
      </c>
      <c r="O124" s="58">
        <v>1392.25</v>
      </c>
      <c r="P124" s="59">
        <v>20.81</v>
      </c>
      <c r="Q124" s="60">
        <v>977.48</v>
      </c>
      <c r="R124" s="61">
        <v>0.8</v>
      </c>
      <c r="S124" s="62">
        <v>1071.9100000000001</v>
      </c>
      <c r="T124" s="5" t="s">
        <v>351</v>
      </c>
      <c r="U124" s="124" t="s">
        <v>351</v>
      </c>
      <c r="V124" s="124" t="s">
        <v>351</v>
      </c>
      <c r="W124" s="124" t="s">
        <v>351</v>
      </c>
      <c r="X124" s="126">
        <v>0.24</v>
      </c>
      <c r="Y124" s="31">
        <v>21.91</v>
      </c>
      <c r="Z124" s="116" t="s">
        <v>352</v>
      </c>
      <c r="AA124" s="131">
        <v>1.54</v>
      </c>
      <c r="AB124" s="125">
        <v>21.6</v>
      </c>
      <c r="AC124" s="125">
        <v>70.8</v>
      </c>
      <c r="AD124" s="138">
        <v>92.5</v>
      </c>
      <c r="AE124" s="141">
        <v>135</v>
      </c>
      <c r="AF124" s="116" t="s">
        <v>352</v>
      </c>
      <c r="AG124" s="116" t="s">
        <v>352</v>
      </c>
      <c r="AH124" s="116" t="s">
        <v>352</v>
      </c>
      <c r="AI124" s="116" t="s">
        <v>352</v>
      </c>
      <c r="AJ124" s="150">
        <v>5.17</v>
      </c>
      <c r="AK124" s="150">
        <v>118.89</v>
      </c>
      <c r="AL124" s="123" t="s">
        <v>351</v>
      </c>
      <c r="AM124" s="123" t="s">
        <v>351</v>
      </c>
      <c r="AN124" s="122">
        <v>1.007486271274656</v>
      </c>
      <c r="AO124" s="116" t="s">
        <v>352</v>
      </c>
      <c r="AP124" s="123" t="s">
        <v>351</v>
      </c>
      <c r="AQ124" s="126">
        <v>687.73</v>
      </c>
      <c r="AR124" s="54">
        <v>1864.14</v>
      </c>
      <c r="AS124" s="200" t="s">
        <v>351</v>
      </c>
      <c r="AT124" s="116" t="s">
        <v>352</v>
      </c>
      <c r="AU124" s="116" t="s">
        <v>352</v>
      </c>
      <c r="AV124" s="163">
        <v>178.5672548790464</v>
      </c>
      <c r="AW124" s="165">
        <v>3.9493409149651071</v>
      </c>
      <c r="AX124" s="164">
        <v>17.149999999999999</v>
      </c>
      <c r="AY124" s="134">
        <v>66.53</v>
      </c>
      <c r="AZ124" s="116" t="s">
        <v>352</v>
      </c>
      <c r="BA124" s="57">
        <v>24.02</v>
      </c>
      <c r="BB124" s="60">
        <v>474</v>
      </c>
      <c r="BC124" s="168">
        <v>8.99</v>
      </c>
      <c r="BD124" s="168">
        <v>1.03</v>
      </c>
      <c r="BE124" s="116" t="s">
        <v>352</v>
      </c>
      <c r="BF124" s="116" t="s">
        <v>352</v>
      </c>
      <c r="BG124" s="169">
        <v>10.32</v>
      </c>
      <c r="BH124" s="170">
        <v>24.3</v>
      </c>
      <c r="BI124" s="116" t="s">
        <v>352</v>
      </c>
      <c r="BJ124" s="174" t="s">
        <v>351</v>
      </c>
      <c r="BK124" s="119" t="s">
        <v>351</v>
      </c>
      <c r="BL124" s="162">
        <v>43.680537606616696</v>
      </c>
      <c r="BM124" s="162">
        <v>69.010080124063066</v>
      </c>
      <c r="BN124" s="162">
        <v>58.413026621866116</v>
      </c>
      <c r="BO124" s="60">
        <v>1226</v>
      </c>
      <c r="BP124" s="59">
        <v>0.01</v>
      </c>
      <c r="BQ124" s="180" t="s">
        <v>358</v>
      </c>
      <c r="BR124" s="116" t="s">
        <v>352</v>
      </c>
      <c r="BS124" s="184">
        <v>55.69</v>
      </c>
      <c r="BT124" s="124" t="s">
        <v>355</v>
      </c>
      <c r="BU124" s="131">
        <v>45.68</v>
      </c>
      <c r="BV124" s="54">
        <v>0</v>
      </c>
      <c r="BW124" s="177" t="s">
        <v>354</v>
      </c>
      <c r="BX124" s="177" t="s">
        <v>354</v>
      </c>
      <c r="BY124" s="189" t="s">
        <v>353</v>
      </c>
      <c r="BZ124" s="190" t="s">
        <v>359</v>
      </c>
      <c r="CA124" s="190" t="s">
        <v>359</v>
      </c>
      <c r="CB124" s="124" t="s">
        <v>351</v>
      </c>
      <c r="CC124" s="39" t="s">
        <v>351</v>
      </c>
      <c r="CD124" s="199">
        <v>41.99</v>
      </c>
    </row>
    <row r="125" spans="1:82">
      <c r="A125" s="3" t="s">
        <v>454</v>
      </c>
      <c r="B125" s="3" t="s">
        <v>502</v>
      </c>
      <c r="C125" s="27" t="s">
        <v>456</v>
      </c>
      <c r="D125" s="3" t="s">
        <v>456</v>
      </c>
      <c r="E125" s="29">
        <v>13001</v>
      </c>
      <c r="F125" s="3" t="s">
        <v>505</v>
      </c>
      <c r="G125" s="4">
        <v>13604</v>
      </c>
      <c r="H125" s="39">
        <v>255.61</v>
      </c>
      <c r="I125" s="40">
        <v>6.2</v>
      </c>
      <c r="J125" s="41">
        <v>2455.8200000000002</v>
      </c>
      <c r="K125" s="54">
        <v>3.04</v>
      </c>
      <c r="L125" s="54">
        <v>82.22</v>
      </c>
      <c r="M125" s="57">
        <v>68.099999999999994</v>
      </c>
      <c r="N125" s="54">
        <v>7.17</v>
      </c>
      <c r="O125" s="58">
        <v>1289.3599999999999</v>
      </c>
      <c r="P125" s="59">
        <v>6.92</v>
      </c>
      <c r="Q125" s="60">
        <v>652.16999999999996</v>
      </c>
      <c r="R125" s="61">
        <v>0.98</v>
      </c>
      <c r="S125" s="62">
        <v>809.82</v>
      </c>
      <c r="T125" s="60">
        <v>3080</v>
      </c>
      <c r="U125" s="124" t="s">
        <v>351</v>
      </c>
      <c r="V125" s="124" t="s">
        <v>351</v>
      </c>
      <c r="W125" s="134">
        <v>0.1</v>
      </c>
      <c r="X125" s="126" t="s">
        <v>357</v>
      </c>
      <c r="Y125" s="126" t="s">
        <v>351</v>
      </c>
      <c r="Z125" s="116" t="s">
        <v>352</v>
      </c>
      <c r="AA125" s="131">
        <v>1.5</v>
      </c>
      <c r="AB125" s="125">
        <v>34.299999999999997</v>
      </c>
      <c r="AC125" s="125">
        <v>82.6</v>
      </c>
      <c r="AD125" s="138">
        <v>90</v>
      </c>
      <c r="AE125" s="140">
        <v>120</v>
      </c>
      <c r="AF125" s="116" t="s">
        <v>352</v>
      </c>
      <c r="AG125" s="116" t="s">
        <v>352</v>
      </c>
      <c r="AH125" s="116" t="s">
        <v>352</v>
      </c>
      <c r="AI125" s="116" t="s">
        <v>352</v>
      </c>
      <c r="AJ125" s="150">
        <v>2.88</v>
      </c>
      <c r="AK125" s="150">
        <v>291.93</v>
      </c>
      <c r="AL125" s="123">
        <v>6.11</v>
      </c>
      <c r="AM125" s="123">
        <v>8.16</v>
      </c>
      <c r="AN125" s="122">
        <v>1.3295653465514272</v>
      </c>
      <c r="AO125" s="116" t="s">
        <v>352</v>
      </c>
      <c r="AP125" s="123" t="s">
        <v>351</v>
      </c>
      <c r="AQ125" s="126">
        <v>678.02</v>
      </c>
      <c r="AR125" s="54">
        <v>376.52</v>
      </c>
      <c r="AS125" s="200">
        <v>8.938746123771435E-3</v>
      </c>
      <c r="AT125" s="116" t="s">
        <v>352</v>
      </c>
      <c r="AU125" s="116" t="s">
        <v>352</v>
      </c>
      <c r="AV125" s="163">
        <v>448.6438906310172</v>
      </c>
      <c r="AW125" s="165">
        <v>11.727400845580833</v>
      </c>
      <c r="AX125" s="164">
        <v>28.97</v>
      </c>
      <c r="AY125" s="134">
        <v>32.25</v>
      </c>
      <c r="AZ125" s="116" t="s">
        <v>352</v>
      </c>
      <c r="BA125" s="57">
        <v>17.43</v>
      </c>
      <c r="BB125" s="60">
        <v>1154</v>
      </c>
      <c r="BC125" s="168">
        <v>8.2100000000000009</v>
      </c>
      <c r="BD125" s="168">
        <v>1.88</v>
      </c>
      <c r="BE125" s="116" t="s">
        <v>352</v>
      </c>
      <c r="BF125" s="116" t="s">
        <v>352</v>
      </c>
      <c r="BG125" s="169">
        <v>10.27</v>
      </c>
      <c r="BH125" s="170">
        <v>21.13</v>
      </c>
      <c r="BI125" s="116" t="s">
        <v>352</v>
      </c>
      <c r="BJ125" s="173">
        <v>50</v>
      </c>
      <c r="BK125" s="119">
        <v>0.26594139989993815</v>
      </c>
      <c r="BL125" s="162">
        <v>58.385343265552649</v>
      </c>
      <c r="BM125" s="162">
        <v>70.177456930023865</v>
      </c>
      <c r="BN125" s="162">
        <v>69.746038137421266</v>
      </c>
      <c r="BO125" s="60">
        <v>1191</v>
      </c>
      <c r="BP125" s="59">
        <v>0.02</v>
      </c>
      <c r="BQ125" s="180" t="s">
        <v>358</v>
      </c>
      <c r="BR125" s="116" t="s">
        <v>352</v>
      </c>
      <c r="BS125" s="184">
        <v>60.52</v>
      </c>
      <c r="BT125" s="124" t="s">
        <v>355</v>
      </c>
      <c r="BU125" s="131">
        <v>38.89</v>
      </c>
      <c r="BV125" s="54">
        <v>0</v>
      </c>
      <c r="BW125" s="177" t="s">
        <v>354</v>
      </c>
      <c r="BX125" s="177" t="s">
        <v>354</v>
      </c>
      <c r="BY125" s="189" t="s">
        <v>355</v>
      </c>
      <c r="BZ125" s="190" t="s">
        <v>359</v>
      </c>
      <c r="CA125" s="190" t="s">
        <v>359</v>
      </c>
      <c r="CB125" s="124" t="s">
        <v>351</v>
      </c>
      <c r="CC125" s="39" t="s">
        <v>351</v>
      </c>
      <c r="CD125" s="199">
        <v>39.14</v>
      </c>
    </row>
    <row r="126" spans="1:82">
      <c r="A126" s="3" t="s">
        <v>454</v>
      </c>
      <c r="B126" s="3" t="s">
        <v>502</v>
      </c>
      <c r="C126" s="27" t="s">
        <v>456</v>
      </c>
      <c r="D126" s="3" t="s">
        <v>456</v>
      </c>
      <c r="E126" s="29">
        <v>13001</v>
      </c>
      <c r="F126" s="3" t="s">
        <v>506</v>
      </c>
      <c r="G126" s="4">
        <v>13605</v>
      </c>
      <c r="H126" s="39">
        <v>313.7</v>
      </c>
      <c r="I126" s="40">
        <v>3.25</v>
      </c>
      <c r="J126" s="41">
        <v>3644.1</v>
      </c>
      <c r="K126" s="54">
        <v>7.55</v>
      </c>
      <c r="L126" s="54">
        <v>72.17</v>
      </c>
      <c r="M126" s="57">
        <v>31.86</v>
      </c>
      <c r="N126" s="54">
        <v>4.75</v>
      </c>
      <c r="O126" s="58">
        <v>1319.17</v>
      </c>
      <c r="P126" s="59">
        <v>8.68</v>
      </c>
      <c r="Q126" s="60">
        <v>636.77</v>
      </c>
      <c r="R126" s="61">
        <v>0.84</v>
      </c>
      <c r="S126" s="62">
        <v>998.6</v>
      </c>
      <c r="T126" s="5" t="s">
        <v>351</v>
      </c>
      <c r="U126" s="124" t="s">
        <v>351</v>
      </c>
      <c r="V126" s="124" t="s">
        <v>351</v>
      </c>
      <c r="W126" s="147" t="s">
        <v>351</v>
      </c>
      <c r="X126" s="126">
        <v>0.67</v>
      </c>
      <c r="Y126" s="31">
        <v>2.44</v>
      </c>
      <c r="Z126" s="116" t="s">
        <v>352</v>
      </c>
      <c r="AA126" s="131">
        <v>1.6</v>
      </c>
      <c r="AB126" s="125">
        <v>33.5</v>
      </c>
      <c r="AC126" s="125">
        <v>71.900000000000006</v>
      </c>
      <c r="AD126" s="138">
        <v>120</v>
      </c>
      <c r="AE126" s="141">
        <v>130</v>
      </c>
      <c r="AF126" s="116" t="s">
        <v>352</v>
      </c>
      <c r="AG126" s="116" t="s">
        <v>352</v>
      </c>
      <c r="AH126" s="116" t="s">
        <v>352</v>
      </c>
      <c r="AI126" s="116" t="s">
        <v>352</v>
      </c>
      <c r="AJ126" s="150">
        <v>1.03</v>
      </c>
      <c r="AK126" s="150">
        <v>264.25</v>
      </c>
      <c r="AL126" s="123" t="s">
        <v>351</v>
      </c>
      <c r="AM126" s="123" t="s">
        <v>351</v>
      </c>
      <c r="AN126" s="122">
        <v>1.1234048606861076</v>
      </c>
      <c r="AO126" s="116" t="s">
        <v>352</v>
      </c>
      <c r="AP126" s="125">
        <v>1.1299999999999999</v>
      </c>
      <c r="AQ126" s="126">
        <v>693.8</v>
      </c>
      <c r="AR126" s="54">
        <v>552.13</v>
      </c>
      <c r="AS126" s="200">
        <v>9.9316521995688554E-3</v>
      </c>
      <c r="AT126" s="116" t="s">
        <v>352</v>
      </c>
      <c r="AU126" s="116" t="s">
        <v>352</v>
      </c>
      <c r="AV126" s="163">
        <v>534.72723816764881</v>
      </c>
      <c r="AW126" s="165">
        <v>14.463009613901598</v>
      </c>
      <c r="AX126" s="164">
        <v>11.74</v>
      </c>
      <c r="AY126" s="134">
        <v>42.57</v>
      </c>
      <c r="AZ126" s="116" t="s">
        <v>352</v>
      </c>
      <c r="BA126" s="57">
        <v>13.13</v>
      </c>
      <c r="BB126" s="60">
        <v>1223</v>
      </c>
      <c r="BC126" s="168">
        <v>7.82</v>
      </c>
      <c r="BD126" s="168">
        <v>1.27</v>
      </c>
      <c r="BE126" s="116" t="s">
        <v>352</v>
      </c>
      <c r="BF126" s="116" t="s">
        <v>352</v>
      </c>
      <c r="BG126" s="169">
        <v>7.92</v>
      </c>
      <c r="BH126" s="170">
        <v>14.91</v>
      </c>
      <c r="BI126" s="116" t="s">
        <v>352</v>
      </c>
      <c r="BJ126" s="173">
        <v>84.615384615384613</v>
      </c>
      <c r="BK126" s="119">
        <v>0.19563227010155276</v>
      </c>
      <c r="BL126" s="162">
        <v>72.387023803403423</v>
      </c>
      <c r="BM126" s="162">
        <v>111.25392010693538</v>
      </c>
      <c r="BN126" s="162">
        <v>71.461621510462194</v>
      </c>
      <c r="BO126" s="60">
        <v>1937</v>
      </c>
      <c r="BP126" s="59">
        <v>0.04</v>
      </c>
      <c r="BQ126" s="180" t="s">
        <v>358</v>
      </c>
      <c r="BR126" s="116" t="s">
        <v>352</v>
      </c>
      <c r="BS126" s="184">
        <v>62.67</v>
      </c>
      <c r="BT126" s="124" t="s">
        <v>355</v>
      </c>
      <c r="BU126" s="131">
        <v>52.51</v>
      </c>
      <c r="BV126" s="54">
        <v>0</v>
      </c>
      <c r="BW126" s="177" t="s">
        <v>354</v>
      </c>
      <c r="BX126" s="177" t="s">
        <v>354</v>
      </c>
      <c r="BY126" s="189" t="s">
        <v>355</v>
      </c>
      <c r="BZ126" s="190" t="s">
        <v>359</v>
      </c>
      <c r="CA126" s="190" t="s">
        <v>359</v>
      </c>
      <c r="CB126" s="124" t="s">
        <v>355</v>
      </c>
      <c r="CC126" s="41">
        <v>0</v>
      </c>
      <c r="CD126" s="199">
        <v>39.590000000000003</v>
      </c>
    </row>
    <row r="127" spans="1:82">
      <c r="A127" s="3" t="s">
        <v>507</v>
      </c>
      <c r="B127" s="3" t="s">
        <v>508</v>
      </c>
      <c r="C127" s="27" t="s">
        <v>349</v>
      </c>
      <c r="D127" s="3" t="s">
        <v>508</v>
      </c>
      <c r="E127" s="29">
        <v>14101</v>
      </c>
      <c r="F127" s="3" t="s">
        <v>508</v>
      </c>
      <c r="G127" s="4">
        <v>14101</v>
      </c>
      <c r="H127" s="39">
        <v>385.68</v>
      </c>
      <c r="I127" s="40">
        <v>6.41</v>
      </c>
      <c r="J127" s="41">
        <v>1425.18</v>
      </c>
      <c r="K127" s="54">
        <v>6.81</v>
      </c>
      <c r="L127" s="54">
        <v>76.48</v>
      </c>
      <c r="M127" s="57">
        <v>92.23</v>
      </c>
      <c r="N127" s="54">
        <v>11.18</v>
      </c>
      <c r="O127" s="58">
        <v>1135.19</v>
      </c>
      <c r="P127" s="59">
        <v>14.94</v>
      </c>
      <c r="Q127" s="60">
        <v>755.06</v>
      </c>
      <c r="R127" s="61">
        <v>0.88</v>
      </c>
      <c r="S127" s="62">
        <v>758.55</v>
      </c>
      <c r="T127" s="60">
        <v>289</v>
      </c>
      <c r="U127" s="125">
        <v>7.36</v>
      </c>
      <c r="V127" s="124" t="s">
        <v>351</v>
      </c>
      <c r="W127" s="147" t="s">
        <v>351</v>
      </c>
      <c r="X127" s="126">
        <v>3.87</v>
      </c>
      <c r="Y127" s="31">
        <v>82.95</v>
      </c>
      <c r="Z127" s="116" t="s">
        <v>352</v>
      </c>
      <c r="AA127" s="29">
        <v>1.1399999999999999</v>
      </c>
      <c r="AB127" s="125">
        <v>30.6</v>
      </c>
      <c r="AC127" s="125">
        <v>50.8</v>
      </c>
      <c r="AD127" s="138">
        <v>40</v>
      </c>
      <c r="AE127" s="140">
        <v>45</v>
      </c>
      <c r="AF127" s="116" t="s">
        <v>352</v>
      </c>
      <c r="AG127" s="116" t="s">
        <v>352</v>
      </c>
      <c r="AH127" s="116" t="s">
        <v>352</v>
      </c>
      <c r="AI127" s="116" t="s">
        <v>352</v>
      </c>
      <c r="AJ127" s="150">
        <v>4.6100000000000003</v>
      </c>
      <c r="AK127" s="150">
        <v>458.42</v>
      </c>
      <c r="AL127" s="123">
        <v>6.09</v>
      </c>
      <c r="AM127" s="123">
        <v>2.33</v>
      </c>
      <c r="AN127" s="122">
        <v>1.5969870122894296</v>
      </c>
      <c r="AO127" s="116" t="s">
        <v>352</v>
      </c>
      <c r="AP127" s="125">
        <v>1.33</v>
      </c>
      <c r="AQ127" s="126">
        <v>752.76</v>
      </c>
      <c r="AR127" s="54">
        <v>713.8</v>
      </c>
      <c r="AS127" s="200">
        <v>1.0803804560741264E-2</v>
      </c>
      <c r="AT127" s="116" t="s">
        <v>352</v>
      </c>
      <c r="AU127" s="116" t="s">
        <v>352</v>
      </c>
      <c r="AV127" s="163">
        <v>673.45728914039341</v>
      </c>
      <c r="AW127" s="165">
        <v>21.61688386575943</v>
      </c>
      <c r="AX127" s="164">
        <v>10.84</v>
      </c>
      <c r="AY127" s="134">
        <v>32.71</v>
      </c>
      <c r="AZ127" s="116" t="s">
        <v>352</v>
      </c>
      <c r="BA127" s="57">
        <v>15.57</v>
      </c>
      <c r="BB127" s="60">
        <v>5332</v>
      </c>
      <c r="BC127" s="168">
        <v>5.87</v>
      </c>
      <c r="BD127" s="168">
        <v>1.76</v>
      </c>
      <c r="BE127" s="116" t="s">
        <v>352</v>
      </c>
      <c r="BF127" s="116" t="s">
        <v>352</v>
      </c>
      <c r="BG127" s="169">
        <v>9.93</v>
      </c>
      <c r="BH127" s="170">
        <v>15.53</v>
      </c>
      <c r="BI127" s="116" t="s">
        <v>352</v>
      </c>
      <c r="BJ127" s="173">
        <v>65.517241379310349</v>
      </c>
      <c r="BK127" s="119">
        <v>0.28463021107259756</v>
      </c>
      <c r="BL127" s="162">
        <v>67.523930342521041</v>
      </c>
      <c r="BM127" s="162">
        <v>193.0573174950986</v>
      </c>
      <c r="BN127" s="162">
        <v>72.88663360627379</v>
      </c>
      <c r="BO127" s="60">
        <v>1644</v>
      </c>
      <c r="BP127" s="59">
        <v>0</v>
      </c>
      <c r="BQ127" s="180" t="s">
        <v>351</v>
      </c>
      <c r="BR127" s="116" t="s">
        <v>352</v>
      </c>
      <c r="BS127" s="184">
        <v>11.97</v>
      </c>
      <c r="BT127" s="124" t="s">
        <v>355</v>
      </c>
      <c r="BU127" s="131">
        <v>49.29</v>
      </c>
      <c r="BV127" s="54">
        <v>1.1000000000000001</v>
      </c>
      <c r="BW127" s="177" t="s">
        <v>354</v>
      </c>
      <c r="BX127" s="177" t="s">
        <v>354</v>
      </c>
      <c r="BY127" s="189" t="s">
        <v>353</v>
      </c>
      <c r="BZ127" s="191">
        <v>0</v>
      </c>
      <c r="CA127" s="191">
        <v>0</v>
      </c>
      <c r="CB127" s="124" t="s">
        <v>353</v>
      </c>
      <c r="CC127" s="41">
        <v>790</v>
      </c>
      <c r="CD127" s="199">
        <v>31.33</v>
      </c>
    </row>
    <row r="128" spans="1:82">
      <c r="A128" s="3" t="s">
        <v>509</v>
      </c>
      <c r="B128" s="3" t="s">
        <v>510</v>
      </c>
      <c r="C128" s="27" t="s">
        <v>349</v>
      </c>
      <c r="D128" s="3" t="s">
        <v>510</v>
      </c>
      <c r="E128" s="29">
        <v>15101</v>
      </c>
      <c r="F128" s="3" t="s">
        <v>510</v>
      </c>
      <c r="G128" s="4">
        <v>15101</v>
      </c>
      <c r="H128" s="39">
        <v>323.99</v>
      </c>
      <c r="I128" s="40">
        <v>3.15</v>
      </c>
      <c r="J128" s="41">
        <v>1180.32</v>
      </c>
      <c r="K128" s="54">
        <v>1.41</v>
      </c>
      <c r="L128" s="54">
        <v>76.03</v>
      </c>
      <c r="M128" s="57">
        <v>96.46</v>
      </c>
      <c r="N128" s="54">
        <v>3.75</v>
      </c>
      <c r="O128" s="58">
        <v>1156.1500000000001</v>
      </c>
      <c r="P128" s="59">
        <v>22.05</v>
      </c>
      <c r="Q128" s="60">
        <v>496.92</v>
      </c>
      <c r="R128" s="61">
        <v>0.92</v>
      </c>
      <c r="S128" s="62">
        <v>596.83000000000004</v>
      </c>
      <c r="T128" s="60">
        <v>241</v>
      </c>
      <c r="U128" s="125">
        <v>2.06</v>
      </c>
      <c r="V128" s="124" t="s">
        <v>351</v>
      </c>
      <c r="W128" s="134">
        <v>5.2</v>
      </c>
      <c r="X128" s="126">
        <v>2.12</v>
      </c>
      <c r="Y128" s="31">
        <v>66.08</v>
      </c>
      <c r="Z128" s="116" t="s">
        <v>352</v>
      </c>
      <c r="AA128" s="131">
        <v>1</v>
      </c>
      <c r="AB128" s="125">
        <v>23.3</v>
      </c>
      <c r="AC128" s="125">
        <v>62.1</v>
      </c>
      <c r="AD128" s="137">
        <v>30</v>
      </c>
      <c r="AE128" s="140">
        <v>40</v>
      </c>
      <c r="AF128" s="116" t="s">
        <v>352</v>
      </c>
      <c r="AG128" s="116" t="s">
        <v>352</v>
      </c>
      <c r="AH128" s="116" t="s">
        <v>352</v>
      </c>
      <c r="AI128" s="116" t="s">
        <v>352</v>
      </c>
      <c r="AJ128" s="150">
        <v>8.85</v>
      </c>
      <c r="AK128" s="150">
        <v>304.52999999999997</v>
      </c>
      <c r="AL128" s="123" t="s">
        <v>351</v>
      </c>
      <c r="AM128" s="123" t="s">
        <v>351</v>
      </c>
      <c r="AN128" s="122">
        <v>1.4714300485440142</v>
      </c>
      <c r="AO128" s="116" t="s">
        <v>352</v>
      </c>
      <c r="AP128" s="125">
        <v>0.46</v>
      </c>
      <c r="AQ128" s="126">
        <v>660.14</v>
      </c>
      <c r="AR128" s="54">
        <v>537.95000000000005</v>
      </c>
      <c r="AS128" s="200">
        <v>5.5900068408798499E-2</v>
      </c>
      <c r="AT128" s="116" t="s">
        <v>352</v>
      </c>
      <c r="AU128" s="116" t="s">
        <v>352</v>
      </c>
      <c r="AV128" s="163">
        <v>616.72373564437441</v>
      </c>
      <c r="AW128" s="165">
        <v>17.145300153319969</v>
      </c>
      <c r="AX128" s="164">
        <v>23.49</v>
      </c>
      <c r="AY128" s="134">
        <v>19.68</v>
      </c>
      <c r="AZ128" s="116" t="s">
        <v>352</v>
      </c>
      <c r="BA128" s="57">
        <v>17.239999999999998</v>
      </c>
      <c r="BB128" s="60">
        <v>6561</v>
      </c>
      <c r="BC128" s="168">
        <v>8.15</v>
      </c>
      <c r="BD128" s="168">
        <v>4.12</v>
      </c>
      <c r="BE128" s="116" t="s">
        <v>352</v>
      </c>
      <c r="BF128" s="116" t="s">
        <v>352</v>
      </c>
      <c r="BG128" s="169">
        <v>8.86</v>
      </c>
      <c r="BH128" s="170">
        <v>18.05</v>
      </c>
      <c r="BI128" s="116" t="s">
        <v>352</v>
      </c>
      <c r="BJ128" s="173">
        <v>19.23076923076923</v>
      </c>
      <c r="BK128" s="119">
        <v>0.4827095997757157</v>
      </c>
      <c r="BL128" s="162">
        <v>86.64262969015887</v>
      </c>
      <c r="BM128" s="162">
        <v>139.71492595151045</v>
      </c>
      <c r="BN128" s="162">
        <v>69.45731471029265</v>
      </c>
      <c r="BO128" s="60">
        <v>1738</v>
      </c>
      <c r="BP128" s="59">
        <v>0.4</v>
      </c>
      <c r="BQ128" s="126">
        <v>23.67</v>
      </c>
      <c r="BR128" s="116" t="s">
        <v>352</v>
      </c>
      <c r="BS128" s="184">
        <v>2.75</v>
      </c>
      <c r="BT128" s="124" t="s">
        <v>353</v>
      </c>
      <c r="BU128" s="131">
        <v>50.14</v>
      </c>
      <c r="BV128" s="54">
        <v>0</v>
      </c>
      <c r="BW128" s="189" t="s">
        <v>355</v>
      </c>
      <c r="BX128" s="189" t="s">
        <v>355</v>
      </c>
      <c r="BY128" s="189" t="s">
        <v>353</v>
      </c>
      <c r="BZ128" s="191">
        <v>0</v>
      </c>
      <c r="CA128" s="191">
        <v>0</v>
      </c>
      <c r="CB128" s="124" t="s">
        <v>355</v>
      </c>
      <c r="CC128" s="41">
        <v>150.19999999999999</v>
      </c>
      <c r="CD128" s="199">
        <v>29.07</v>
      </c>
    </row>
    <row r="129" spans="1:82">
      <c r="A129" s="3" t="s">
        <v>511</v>
      </c>
      <c r="B129" s="28" t="s">
        <v>512</v>
      </c>
      <c r="C129" s="27" t="s">
        <v>349</v>
      </c>
      <c r="D129" s="3" t="s">
        <v>513</v>
      </c>
      <c r="E129" s="29">
        <v>16101</v>
      </c>
      <c r="F129" s="3" t="s">
        <v>514</v>
      </c>
      <c r="G129" s="4">
        <v>16101</v>
      </c>
      <c r="H129" s="39">
        <v>232.25</v>
      </c>
      <c r="I129" s="40">
        <v>6.31</v>
      </c>
      <c r="J129" s="41">
        <v>1674.6</v>
      </c>
      <c r="K129" s="54">
        <v>0.35</v>
      </c>
      <c r="L129" s="54">
        <v>86.27</v>
      </c>
      <c r="M129" s="57">
        <v>88.58</v>
      </c>
      <c r="N129" s="54">
        <v>5.75</v>
      </c>
      <c r="O129" s="58">
        <v>1111.43</v>
      </c>
      <c r="P129" s="59">
        <v>9.98</v>
      </c>
      <c r="Q129" s="60">
        <v>767.29</v>
      </c>
      <c r="R129" s="61">
        <v>0.97</v>
      </c>
      <c r="S129" s="62">
        <v>684.32</v>
      </c>
      <c r="T129" s="60">
        <v>279</v>
      </c>
      <c r="U129" s="124" t="s">
        <v>351</v>
      </c>
      <c r="V129" s="124" t="s">
        <v>351</v>
      </c>
      <c r="W129" s="124" t="s">
        <v>351</v>
      </c>
      <c r="X129" s="126">
        <v>1.85</v>
      </c>
      <c r="Y129" s="31">
        <v>41.75</v>
      </c>
      <c r="Z129" s="116" t="s">
        <v>352</v>
      </c>
      <c r="AA129" s="127" t="s">
        <v>351</v>
      </c>
      <c r="AB129" s="124" t="s">
        <v>351</v>
      </c>
      <c r="AC129" s="124" t="s">
        <v>351</v>
      </c>
      <c r="AD129" s="139" t="s">
        <v>351</v>
      </c>
      <c r="AE129" s="127" t="s">
        <v>351</v>
      </c>
      <c r="AF129" s="116" t="s">
        <v>352</v>
      </c>
      <c r="AG129" s="116" t="s">
        <v>352</v>
      </c>
      <c r="AH129" s="116" t="s">
        <v>352</v>
      </c>
      <c r="AI129" s="116" t="s">
        <v>352</v>
      </c>
      <c r="AJ129" s="150">
        <v>7.18</v>
      </c>
      <c r="AK129" s="150">
        <v>382.99</v>
      </c>
      <c r="AL129" s="123" t="s">
        <v>351</v>
      </c>
      <c r="AM129" s="123" t="s">
        <v>351</v>
      </c>
      <c r="AN129" s="122">
        <v>1.0224531899205973</v>
      </c>
      <c r="AO129" s="116" t="s">
        <v>352</v>
      </c>
      <c r="AP129" s="123" t="s">
        <v>351</v>
      </c>
      <c r="AQ129" s="126">
        <v>763.91</v>
      </c>
      <c r="AR129" s="54">
        <v>575.91999999999996</v>
      </c>
      <c r="AS129" s="200" t="s">
        <v>351</v>
      </c>
      <c r="AT129" s="116" t="s">
        <v>352</v>
      </c>
      <c r="AU129" s="116" t="s">
        <v>352</v>
      </c>
      <c r="AV129" s="163">
        <v>595.1361422547642</v>
      </c>
      <c r="AW129" s="165">
        <v>18.669824960777678</v>
      </c>
      <c r="AX129" s="164">
        <v>4.6500000000000004</v>
      </c>
      <c r="AY129" s="134">
        <v>58.84</v>
      </c>
      <c r="AZ129" s="116" t="s">
        <v>352</v>
      </c>
      <c r="BA129" s="57">
        <v>11.53</v>
      </c>
      <c r="BB129" s="167">
        <v>2339</v>
      </c>
      <c r="BC129" s="168">
        <v>5.43</v>
      </c>
      <c r="BD129" s="168">
        <v>1.37</v>
      </c>
      <c r="BE129" s="116" t="s">
        <v>352</v>
      </c>
      <c r="BF129" s="116" t="s">
        <v>352</v>
      </c>
      <c r="BG129" s="169">
        <v>16.260000000000002</v>
      </c>
      <c r="BH129" s="170">
        <v>18.079999999999998</v>
      </c>
      <c r="BI129" s="116" t="s">
        <v>352</v>
      </c>
      <c r="BJ129" s="173">
        <v>51.612903225806448</v>
      </c>
      <c r="BK129" s="119">
        <v>0.35891578711627997</v>
      </c>
      <c r="BL129" s="162">
        <v>65.934516668204807</v>
      </c>
      <c r="BM129" s="162">
        <v>178.26929584397206</v>
      </c>
      <c r="BN129" s="162">
        <v>60.140892730796445</v>
      </c>
      <c r="BO129" s="60">
        <v>1712</v>
      </c>
      <c r="BP129" s="59">
        <v>0.02</v>
      </c>
      <c r="BQ129" s="180" t="s">
        <v>358</v>
      </c>
      <c r="BR129" s="116" t="s">
        <v>352</v>
      </c>
      <c r="BS129" s="184">
        <v>5.41</v>
      </c>
      <c r="BT129" s="124" t="s">
        <v>353</v>
      </c>
      <c r="BU129" s="131">
        <v>43.83</v>
      </c>
      <c r="BV129" s="54">
        <v>0.45</v>
      </c>
      <c r="BW129" s="177" t="s">
        <v>354</v>
      </c>
      <c r="BX129" s="177" t="s">
        <v>354</v>
      </c>
      <c r="BY129" s="189" t="s">
        <v>353</v>
      </c>
      <c r="BZ129" s="190" t="s">
        <v>359</v>
      </c>
      <c r="CA129" s="190" t="s">
        <v>359</v>
      </c>
      <c r="CB129" s="124" t="s">
        <v>351</v>
      </c>
      <c r="CC129" s="39" t="s">
        <v>351</v>
      </c>
      <c r="CD129" s="199">
        <v>33.79</v>
      </c>
    </row>
    <row r="130" spans="1:82">
      <c r="A130" s="3" t="s">
        <v>511</v>
      </c>
      <c r="B130" s="28" t="s">
        <v>512</v>
      </c>
      <c r="C130" s="27" t="s">
        <v>349</v>
      </c>
      <c r="D130" s="3" t="s">
        <v>513</v>
      </c>
      <c r="E130" s="29">
        <v>16101</v>
      </c>
      <c r="F130" s="3" t="s">
        <v>515</v>
      </c>
      <c r="G130" s="4">
        <v>16103</v>
      </c>
      <c r="H130" s="39">
        <v>313.8</v>
      </c>
      <c r="I130" s="40">
        <v>5.53</v>
      </c>
      <c r="J130" s="41">
        <v>1572.94</v>
      </c>
      <c r="K130" s="54">
        <v>1.25</v>
      </c>
      <c r="L130" s="54">
        <v>68.680000000000007</v>
      </c>
      <c r="M130" s="57">
        <v>99.24</v>
      </c>
      <c r="N130" s="54">
        <v>5.04</v>
      </c>
      <c r="O130" s="58">
        <v>912.22</v>
      </c>
      <c r="P130" s="59">
        <v>17.54</v>
      </c>
      <c r="Q130" s="60">
        <v>752.11</v>
      </c>
      <c r="R130" s="61">
        <v>0.67</v>
      </c>
      <c r="S130" s="62">
        <v>573.04999999999995</v>
      </c>
      <c r="T130" s="60">
        <v>287</v>
      </c>
      <c r="U130" s="124" t="s">
        <v>351</v>
      </c>
      <c r="V130" s="124" t="s">
        <v>351</v>
      </c>
      <c r="W130" s="124" t="s">
        <v>351</v>
      </c>
      <c r="X130" s="126">
        <v>5.3</v>
      </c>
      <c r="Y130" s="31">
        <v>59.36</v>
      </c>
      <c r="Z130" s="116" t="s">
        <v>352</v>
      </c>
      <c r="AA130" s="127" t="s">
        <v>351</v>
      </c>
      <c r="AB130" s="124" t="s">
        <v>351</v>
      </c>
      <c r="AC130" s="124" t="s">
        <v>351</v>
      </c>
      <c r="AD130" s="139" t="s">
        <v>351</v>
      </c>
      <c r="AE130" s="127" t="s">
        <v>351</v>
      </c>
      <c r="AF130" s="116" t="s">
        <v>352</v>
      </c>
      <c r="AG130" s="116" t="s">
        <v>352</v>
      </c>
      <c r="AH130" s="116" t="s">
        <v>352</v>
      </c>
      <c r="AI130" s="116" t="s">
        <v>352</v>
      </c>
      <c r="AJ130" s="151">
        <v>6.11</v>
      </c>
      <c r="AK130" s="151">
        <v>403.24</v>
      </c>
      <c r="AL130" s="123" t="s">
        <v>351</v>
      </c>
      <c r="AM130" s="123" t="s">
        <v>351</v>
      </c>
      <c r="AN130" s="122">
        <v>0.79105728651206975</v>
      </c>
      <c r="AO130" s="116" t="s">
        <v>352</v>
      </c>
      <c r="AP130" s="123" t="s">
        <v>351</v>
      </c>
      <c r="AQ130" s="126">
        <v>601.57000000000005</v>
      </c>
      <c r="AR130" s="54">
        <v>709.33</v>
      </c>
      <c r="AS130" s="200" t="s">
        <v>351</v>
      </c>
      <c r="AT130" s="116" t="s">
        <v>352</v>
      </c>
      <c r="AU130" s="116" t="s">
        <v>352</v>
      </c>
      <c r="AV130" s="163">
        <v>318.43517753922379</v>
      </c>
      <c r="AW130" s="165">
        <v>9.4241637391171533</v>
      </c>
      <c r="AX130" s="164">
        <v>5.45</v>
      </c>
      <c r="AY130" s="134">
        <v>60.57</v>
      </c>
      <c r="AZ130" s="116" t="s">
        <v>352</v>
      </c>
      <c r="BA130" s="57">
        <v>13.56</v>
      </c>
      <c r="BB130" s="167">
        <v>382</v>
      </c>
      <c r="BC130" s="168">
        <v>6.61</v>
      </c>
      <c r="BD130" s="168">
        <v>0.73</v>
      </c>
      <c r="BE130" s="116" t="s">
        <v>352</v>
      </c>
      <c r="BF130" s="116" t="s">
        <v>352</v>
      </c>
      <c r="BG130" s="169">
        <v>9.92</v>
      </c>
      <c r="BH130" s="170">
        <v>14.55</v>
      </c>
      <c r="BI130" s="116" t="s">
        <v>352</v>
      </c>
      <c r="BJ130" s="173">
        <v>50</v>
      </c>
      <c r="BK130" s="119">
        <v>0.31178620316741301</v>
      </c>
      <c r="BL130" s="162">
        <v>34.214143882694366</v>
      </c>
      <c r="BM130" s="162">
        <v>81.258591721399114</v>
      </c>
      <c r="BN130" s="162">
        <v>33.297693600122194</v>
      </c>
      <c r="BO130" s="60">
        <v>1382</v>
      </c>
      <c r="BP130" s="59">
        <v>0.03</v>
      </c>
      <c r="BQ130" s="180" t="s">
        <v>358</v>
      </c>
      <c r="BR130" s="116" t="s">
        <v>352</v>
      </c>
      <c r="BS130" s="184">
        <v>46.1</v>
      </c>
      <c r="BT130" s="124" t="s">
        <v>353</v>
      </c>
      <c r="BU130" s="131">
        <v>57.1</v>
      </c>
      <c r="BV130" s="54">
        <v>0</v>
      </c>
      <c r="BW130" s="177" t="s">
        <v>354</v>
      </c>
      <c r="BX130" s="177" t="s">
        <v>354</v>
      </c>
      <c r="BY130" s="189" t="s">
        <v>353</v>
      </c>
      <c r="BZ130" s="191">
        <v>0</v>
      </c>
      <c r="CA130" s="191">
        <v>0</v>
      </c>
      <c r="CB130" s="124" t="s">
        <v>351</v>
      </c>
      <c r="CC130" s="39" t="s">
        <v>351</v>
      </c>
      <c r="CD130" s="199">
        <v>46.03</v>
      </c>
    </row>
    <row r="131" spans="1:82">
      <c r="A131" s="3" t="s">
        <v>511</v>
      </c>
      <c r="B131" s="28" t="s">
        <v>516</v>
      </c>
      <c r="C131" s="27" t="s">
        <v>349</v>
      </c>
      <c r="D131" s="5" t="s">
        <v>517</v>
      </c>
      <c r="E131" s="29">
        <v>16301</v>
      </c>
      <c r="F131" s="5" t="s">
        <v>517</v>
      </c>
      <c r="G131" s="4">
        <v>16301</v>
      </c>
      <c r="H131" s="39">
        <v>288.51</v>
      </c>
      <c r="I131" s="40">
        <v>5.28</v>
      </c>
      <c r="J131" s="41">
        <v>1353.43</v>
      </c>
      <c r="K131" s="54">
        <v>3.29</v>
      </c>
      <c r="L131" s="54">
        <v>83.61</v>
      </c>
      <c r="M131" s="57">
        <v>98.19</v>
      </c>
      <c r="N131" s="54">
        <v>7.65</v>
      </c>
      <c r="O131" s="58">
        <v>898.85</v>
      </c>
      <c r="P131" s="59">
        <v>31.41</v>
      </c>
      <c r="Q131" s="60">
        <v>543.63</v>
      </c>
      <c r="R131" s="61">
        <v>1.1000000000000001</v>
      </c>
      <c r="S131" s="62">
        <v>535.19000000000005</v>
      </c>
      <c r="T131" s="5" t="s">
        <v>351</v>
      </c>
      <c r="U131" s="124" t="s">
        <v>351</v>
      </c>
      <c r="V131" s="124" t="s">
        <v>351</v>
      </c>
      <c r="W131" s="124" t="s">
        <v>351</v>
      </c>
      <c r="X131" s="126" t="s">
        <v>357</v>
      </c>
      <c r="Y131" s="126" t="s">
        <v>351</v>
      </c>
      <c r="Z131" s="116" t="s">
        <v>352</v>
      </c>
      <c r="AA131" s="127" t="s">
        <v>351</v>
      </c>
      <c r="AB131" s="124" t="s">
        <v>351</v>
      </c>
      <c r="AC131" s="124" t="s">
        <v>351</v>
      </c>
      <c r="AD131" s="139" t="s">
        <v>351</v>
      </c>
      <c r="AE131" s="127" t="s">
        <v>351</v>
      </c>
      <c r="AF131" s="116" t="s">
        <v>352</v>
      </c>
      <c r="AG131" s="116" t="s">
        <v>352</v>
      </c>
      <c r="AH131" s="116" t="s">
        <v>352</v>
      </c>
      <c r="AI131" s="116" t="s">
        <v>352</v>
      </c>
      <c r="AJ131" s="150">
        <v>30.57</v>
      </c>
      <c r="AK131" s="150">
        <v>498.13</v>
      </c>
      <c r="AL131" s="123" t="s">
        <v>351</v>
      </c>
      <c r="AM131" s="123" t="s">
        <v>351</v>
      </c>
      <c r="AN131" s="122">
        <v>0.75434745764381994</v>
      </c>
      <c r="AO131" s="116" t="s">
        <v>352</v>
      </c>
      <c r="AP131" s="125">
        <v>0</v>
      </c>
      <c r="AQ131" s="126">
        <v>616.29</v>
      </c>
      <c r="AR131" s="54">
        <v>704.32</v>
      </c>
      <c r="AS131" s="200" t="s">
        <v>351</v>
      </c>
      <c r="AT131" s="116" t="s">
        <v>352</v>
      </c>
      <c r="AU131" s="116" t="s">
        <v>352</v>
      </c>
      <c r="AV131" s="163">
        <v>340.52097269221684</v>
      </c>
      <c r="AW131" s="165">
        <v>7.7812544957560057</v>
      </c>
      <c r="AX131" s="164">
        <v>15.2</v>
      </c>
      <c r="AY131" s="134">
        <v>39.130000000000003</v>
      </c>
      <c r="AZ131" s="116" t="s">
        <v>352</v>
      </c>
      <c r="BA131" s="57">
        <v>16.64</v>
      </c>
      <c r="BB131" s="167">
        <v>373</v>
      </c>
      <c r="BC131" s="168">
        <v>6</v>
      </c>
      <c r="BD131" s="168">
        <v>0.81</v>
      </c>
      <c r="BE131" s="116" t="s">
        <v>352</v>
      </c>
      <c r="BF131" s="116" t="s">
        <v>352</v>
      </c>
      <c r="BG131" s="169">
        <v>27.18</v>
      </c>
      <c r="BH131" s="170">
        <v>26.51</v>
      </c>
      <c r="BI131" s="116" t="s">
        <v>352</v>
      </c>
      <c r="BJ131" s="174" t="s">
        <v>351</v>
      </c>
      <c r="BK131" s="119" t="s">
        <v>351</v>
      </c>
      <c r="BL131" s="162">
        <v>54.848223277226296</v>
      </c>
      <c r="BM131" s="162">
        <v>127.85930082002589</v>
      </c>
      <c r="BN131" s="162">
        <v>92.432743490145299</v>
      </c>
      <c r="BO131" s="60">
        <v>1291</v>
      </c>
      <c r="BP131" s="59">
        <v>0.02</v>
      </c>
      <c r="BQ131" s="180" t="s">
        <v>358</v>
      </c>
      <c r="BR131" s="116" t="s">
        <v>352</v>
      </c>
      <c r="BS131" s="184">
        <v>12.28</v>
      </c>
      <c r="BT131" s="124" t="s">
        <v>353</v>
      </c>
      <c r="BU131" s="131">
        <v>66.97</v>
      </c>
      <c r="BV131" s="54">
        <v>7.14</v>
      </c>
      <c r="BW131" s="189" t="s">
        <v>355</v>
      </c>
      <c r="BX131" s="189" t="s">
        <v>355</v>
      </c>
      <c r="BY131" s="189" t="s">
        <v>353</v>
      </c>
      <c r="BZ131" s="190" t="s">
        <v>359</v>
      </c>
      <c r="CA131" s="190" t="s">
        <v>359</v>
      </c>
      <c r="CB131" s="124" t="s">
        <v>355</v>
      </c>
      <c r="CC131" s="39" t="s">
        <v>351</v>
      </c>
      <c r="CD131" s="199">
        <v>41.75</v>
      </c>
    </row>
    <row r="132" spans="1:82">
      <c r="A132" s="83"/>
      <c r="B132" s="84"/>
      <c r="C132" s="85"/>
      <c r="D132" s="86"/>
      <c r="E132" s="87"/>
      <c r="F132" s="86"/>
      <c r="G132" s="88"/>
      <c r="H132" s="95"/>
      <c r="I132" s="96"/>
      <c r="J132" s="91"/>
      <c r="K132" s="97"/>
      <c r="L132" s="97"/>
      <c r="M132" s="98"/>
      <c r="N132" s="97"/>
      <c r="O132" s="99"/>
      <c r="P132" s="100"/>
      <c r="Q132" s="101"/>
      <c r="R132" s="102"/>
      <c r="S132" s="103"/>
    </row>
    <row r="134" spans="1:82">
      <c r="A134" s="104"/>
      <c r="G134" s="43" t="s">
        <v>289</v>
      </c>
      <c r="H134" s="106" t="s">
        <v>69</v>
      </c>
      <c r="I134" s="106" t="s">
        <v>111</v>
      </c>
      <c r="J134" s="106" t="s">
        <v>114</v>
      </c>
      <c r="K134" s="106" t="s">
        <v>117</v>
      </c>
      <c r="L134" s="106" t="s">
        <v>127</v>
      </c>
      <c r="M134" s="106" t="s">
        <v>129</v>
      </c>
      <c r="N134" s="106" t="s">
        <v>147</v>
      </c>
      <c r="O134" s="106" t="s">
        <v>149</v>
      </c>
      <c r="P134" s="106" t="s">
        <v>151</v>
      </c>
      <c r="Q134" s="106" t="s">
        <v>212</v>
      </c>
      <c r="R134" s="106" t="s">
        <v>268</v>
      </c>
      <c r="S134" s="106" t="s">
        <v>270</v>
      </c>
      <c r="T134" s="106" t="s">
        <v>273</v>
      </c>
    </row>
    <row r="135" spans="1:82" ht="25.5">
      <c r="G135" s="43" t="s">
        <v>290</v>
      </c>
      <c r="H135" s="176" t="s">
        <v>518</v>
      </c>
      <c r="I135" s="176" t="s">
        <v>115</v>
      </c>
      <c r="J135" s="176" t="s">
        <v>115</v>
      </c>
      <c r="K135" s="178" t="s">
        <v>28</v>
      </c>
      <c r="L135" s="178" t="s">
        <v>28</v>
      </c>
      <c r="M135" s="178" t="s">
        <v>28</v>
      </c>
      <c r="N135" s="178" t="s">
        <v>28</v>
      </c>
      <c r="O135" s="178" t="s">
        <v>28</v>
      </c>
      <c r="P135" s="178" t="s">
        <v>28</v>
      </c>
      <c r="Q135" s="178" t="s">
        <v>28</v>
      </c>
      <c r="R135" s="178" t="s">
        <v>28</v>
      </c>
      <c r="S135" s="178" t="s">
        <v>28</v>
      </c>
      <c r="T135" s="176" t="s">
        <v>274</v>
      </c>
    </row>
    <row r="136" spans="1:82" ht="38.25">
      <c r="A136" s="109" t="s">
        <v>519</v>
      </c>
      <c r="G136" s="64" t="s">
        <v>294</v>
      </c>
      <c r="H136" s="178" t="s">
        <v>297</v>
      </c>
      <c r="I136" s="176" t="s">
        <v>318</v>
      </c>
      <c r="J136" s="176" t="s">
        <v>318</v>
      </c>
      <c r="K136" s="176" t="s">
        <v>520</v>
      </c>
      <c r="L136" s="110" t="s">
        <v>521</v>
      </c>
      <c r="M136" s="178" t="s">
        <v>297</v>
      </c>
      <c r="N136" s="178" t="s">
        <v>522</v>
      </c>
      <c r="O136" s="178" t="s">
        <v>522</v>
      </c>
      <c r="P136" s="178" t="s">
        <v>522</v>
      </c>
      <c r="Q136" s="178" t="s">
        <v>297</v>
      </c>
      <c r="R136" s="114" t="s">
        <v>523</v>
      </c>
      <c r="S136" s="114" t="s">
        <v>523</v>
      </c>
      <c r="T136" s="178" t="s">
        <v>297</v>
      </c>
    </row>
    <row r="137" spans="1:82" ht="76.5">
      <c r="A137" s="66" t="s">
        <v>320</v>
      </c>
      <c r="B137" s="43" t="s">
        <v>321</v>
      </c>
      <c r="C137" s="77" t="s">
        <v>322</v>
      </c>
      <c r="D137" s="78" t="s">
        <v>323</v>
      </c>
      <c r="E137" s="78" t="s">
        <v>324</v>
      </c>
      <c r="F137" s="43" t="s">
        <v>25</v>
      </c>
      <c r="G137" s="43" t="s">
        <v>325</v>
      </c>
      <c r="H137" s="64" t="s">
        <v>71</v>
      </c>
      <c r="I137" s="80" t="s">
        <v>113</v>
      </c>
      <c r="J137" s="80" t="s">
        <v>116</v>
      </c>
      <c r="K137" s="80" t="s">
        <v>524</v>
      </c>
      <c r="L137" s="64" t="s">
        <v>128</v>
      </c>
      <c r="M137" s="64" t="s">
        <v>130</v>
      </c>
      <c r="N137" s="64" t="s">
        <v>525</v>
      </c>
      <c r="O137" s="64" t="s">
        <v>526</v>
      </c>
      <c r="P137" s="64" t="s">
        <v>527</v>
      </c>
      <c r="Q137" s="64" t="s">
        <v>213</v>
      </c>
      <c r="R137" s="64" t="s">
        <v>269</v>
      </c>
      <c r="S137" s="64" t="s">
        <v>271</v>
      </c>
      <c r="T137" s="64" t="s">
        <v>275</v>
      </c>
    </row>
    <row r="138" spans="1:82">
      <c r="A138" s="68" t="s">
        <v>347</v>
      </c>
      <c r="B138" s="79" t="s">
        <v>528</v>
      </c>
      <c r="C138" s="75" t="s">
        <v>349</v>
      </c>
      <c r="D138" s="74" t="s">
        <v>350</v>
      </c>
      <c r="E138" s="76">
        <v>1001</v>
      </c>
      <c r="F138" s="79" t="s">
        <v>528</v>
      </c>
      <c r="G138" s="79" t="s">
        <v>528</v>
      </c>
      <c r="H138" s="72">
        <v>92.17</v>
      </c>
      <c r="I138" s="156" t="s">
        <v>357</v>
      </c>
      <c r="J138" s="157" t="s">
        <v>355</v>
      </c>
      <c r="K138" s="117" t="s">
        <v>351</v>
      </c>
      <c r="L138" s="59">
        <v>157.61000000000001</v>
      </c>
      <c r="M138" s="59">
        <v>22.34</v>
      </c>
      <c r="N138" s="61">
        <v>3496.48</v>
      </c>
      <c r="O138" s="55" t="s">
        <v>351</v>
      </c>
      <c r="P138" s="54">
        <v>11986.83</v>
      </c>
      <c r="Q138" s="59">
        <v>1.94</v>
      </c>
      <c r="R138" s="134">
        <v>8.77</v>
      </c>
      <c r="S138" s="59">
        <v>6.66</v>
      </c>
      <c r="T138" s="205">
        <v>50</v>
      </c>
    </row>
    <row r="139" spans="1:82">
      <c r="A139" s="67" t="s">
        <v>360</v>
      </c>
      <c r="B139" s="79" t="s">
        <v>528</v>
      </c>
      <c r="C139" s="73" t="s">
        <v>349</v>
      </c>
      <c r="D139" s="70" t="s">
        <v>360</v>
      </c>
      <c r="E139" s="69">
        <v>2101</v>
      </c>
      <c r="F139" s="79" t="s">
        <v>528</v>
      </c>
      <c r="G139" s="79" t="s">
        <v>528</v>
      </c>
      <c r="H139" s="72">
        <v>80.39</v>
      </c>
      <c r="I139" s="156" t="s">
        <v>357</v>
      </c>
      <c r="J139" s="157" t="s">
        <v>355</v>
      </c>
      <c r="K139" s="117" t="s">
        <v>351</v>
      </c>
      <c r="L139" s="59">
        <v>146.54</v>
      </c>
      <c r="M139" s="59">
        <v>49.13</v>
      </c>
      <c r="N139" s="61">
        <v>4013.08</v>
      </c>
      <c r="O139" s="55" t="s">
        <v>351</v>
      </c>
      <c r="P139" s="54">
        <v>18511.46</v>
      </c>
      <c r="Q139" s="59">
        <v>3.34</v>
      </c>
      <c r="R139" s="134">
        <v>13.11</v>
      </c>
      <c r="S139" s="59">
        <v>10.84</v>
      </c>
      <c r="T139" s="205">
        <v>16.670000000000002</v>
      </c>
    </row>
    <row r="140" spans="1:82">
      <c r="A140" s="67" t="s">
        <v>360</v>
      </c>
      <c r="B140" s="79" t="s">
        <v>528</v>
      </c>
      <c r="C140" s="73" t="s">
        <v>349</v>
      </c>
      <c r="D140" s="70" t="s">
        <v>362</v>
      </c>
      <c r="E140" s="69">
        <v>2201</v>
      </c>
      <c r="F140" s="79" t="s">
        <v>528</v>
      </c>
      <c r="G140" s="79" t="s">
        <v>528</v>
      </c>
      <c r="H140" s="72">
        <v>69.48</v>
      </c>
      <c r="I140" s="155" t="s">
        <v>357</v>
      </c>
      <c r="J140" s="155" t="s">
        <v>357</v>
      </c>
      <c r="K140" s="117" t="s">
        <v>351</v>
      </c>
      <c r="L140" s="59">
        <v>151.85</v>
      </c>
      <c r="M140" s="59">
        <v>38.869999999999997</v>
      </c>
      <c r="N140" s="61">
        <v>2504.87</v>
      </c>
      <c r="O140" s="55" t="s">
        <v>351</v>
      </c>
      <c r="P140" s="54">
        <v>15129.5</v>
      </c>
      <c r="Q140" s="59">
        <v>2.11</v>
      </c>
      <c r="R140" s="134">
        <v>11.13</v>
      </c>
      <c r="S140" s="59">
        <v>10.199999999999999</v>
      </c>
      <c r="T140" s="205">
        <v>100</v>
      </c>
    </row>
    <row r="141" spans="1:82">
      <c r="A141" s="67" t="s">
        <v>363</v>
      </c>
      <c r="B141" s="79" t="s">
        <v>528</v>
      </c>
      <c r="C141" s="73" t="s">
        <v>349</v>
      </c>
      <c r="D141" s="70" t="s">
        <v>365</v>
      </c>
      <c r="E141" s="69">
        <v>3001</v>
      </c>
      <c r="F141" s="79" t="s">
        <v>528</v>
      </c>
      <c r="G141" s="79" t="s">
        <v>528</v>
      </c>
      <c r="H141" s="72">
        <v>88.76</v>
      </c>
      <c r="I141" s="156" t="s">
        <v>357</v>
      </c>
      <c r="J141" s="157" t="s">
        <v>355</v>
      </c>
      <c r="K141" s="117" t="s">
        <v>351</v>
      </c>
      <c r="L141" s="59">
        <v>165.29</v>
      </c>
      <c r="M141" s="59">
        <v>49.85</v>
      </c>
      <c r="N141" s="61">
        <v>2775.4100000000003</v>
      </c>
      <c r="O141" s="54">
        <v>10765.61</v>
      </c>
      <c r="P141" s="54">
        <v>109468.84</v>
      </c>
      <c r="Q141" s="59">
        <v>2.36</v>
      </c>
      <c r="R141" s="134">
        <v>3.67</v>
      </c>
      <c r="S141" s="59">
        <v>1.39</v>
      </c>
      <c r="T141" s="205">
        <v>50</v>
      </c>
    </row>
    <row r="142" spans="1:82">
      <c r="A142" s="67" t="s">
        <v>363</v>
      </c>
      <c r="B142" s="79" t="s">
        <v>528</v>
      </c>
      <c r="C142" s="73" t="s">
        <v>349</v>
      </c>
      <c r="D142" s="71" t="s">
        <v>368</v>
      </c>
      <c r="E142" s="69">
        <v>3301</v>
      </c>
      <c r="F142" s="79" t="s">
        <v>528</v>
      </c>
      <c r="G142" s="79" t="s">
        <v>528</v>
      </c>
      <c r="H142" s="117" t="s">
        <v>351</v>
      </c>
      <c r="I142" s="155" t="s">
        <v>357</v>
      </c>
      <c r="J142" s="155" t="s">
        <v>357</v>
      </c>
      <c r="K142" s="117" t="s">
        <v>351</v>
      </c>
      <c r="L142" s="59">
        <v>158.15</v>
      </c>
      <c r="M142" s="59">
        <v>53.27</v>
      </c>
      <c r="N142" s="61">
        <v>938.13</v>
      </c>
      <c r="O142" s="54">
        <v>7059.37</v>
      </c>
      <c r="P142" s="54">
        <v>66160.73</v>
      </c>
      <c r="Q142" s="59">
        <v>0.79</v>
      </c>
      <c r="R142" s="134">
        <v>7.98</v>
      </c>
      <c r="S142" s="59">
        <v>6.42</v>
      </c>
      <c r="T142" s="205">
        <v>57.14</v>
      </c>
    </row>
    <row r="143" spans="1:82">
      <c r="A143" s="67" t="s">
        <v>369</v>
      </c>
      <c r="B143" s="79" t="s">
        <v>528</v>
      </c>
      <c r="C143" s="73" t="s">
        <v>349</v>
      </c>
      <c r="D143" s="70" t="s">
        <v>371</v>
      </c>
      <c r="E143" s="69">
        <v>4001</v>
      </c>
      <c r="F143" s="79" t="s">
        <v>528</v>
      </c>
      <c r="G143" s="79" t="s">
        <v>528</v>
      </c>
      <c r="H143" s="72">
        <v>80.81</v>
      </c>
      <c r="I143" s="156" t="s">
        <v>357</v>
      </c>
      <c r="J143" s="157" t="s">
        <v>355</v>
      </c>
      <c r="K143" s="117" t="s">
        <v>351</v>
      </c>
      <c r="L143" s="59">
        <v>178.65</v>
      </c>
      <c r="M143" s="59">
        <v>40.840000000000003</v>
      </c>
      <c r="N143" s="61">
        <v>8234.4599999999991</v>
      </c>
      <c r="O143" s="54">
        <v>30059.279999999999</v>
      </c>
      <c r="P143" s="54">
        <v>8277.33</v>
      </c>
      <c r="Q143" s="59">
        <v>2.4700000000000002</v>
      </c>
      <c r="R143" s="134">
        <v>7.82</v>
      </c>
      <c r="S143" s="59">
        <v>5.86</v>
      </c>
      <c r="T143" s="205">
        <v>100</v>
      </c>
    </row>
    <row r="144" spans="1:82">
      <c r="A144" s="67" t="s">
        <v>369</v>
      </c>
      <c r="B144" s="79" t="s">
        <v>528</v>
      </c>
      <c r="C144" s="73" t="s">
        <v>349</v>
      </c>
      <c r="D144" s="70" t="s">
        <v>374</v>
      </c>
      <c r="E144" s="69">
        <v>4301</v>
      </c>
      <c r="F144" s="79" t="s">
        <v>528</v>
      </c>
      <c r="G144" s="79" t="s">
        <v>528</v>
      </c>
      <c r="H144" s="72">
        <v>73.180000000000007</v>
      </c>
      <c r="I144" s="155" t="s">
        <v>357</v>
      </c>
      <c r="J144" s="155" t="s">
        <v>357</v>
      </c>
      <c r="K144" s="117" t="s">
        <v>351</v>
      </c>
      <c r="L144" s="59">
        <v>159.63</v>
      </c>
      <c r="M144" s="59">
        <v>46.48</v>
      </c>
      <c r="N144" s="61">
        <v>1635.93</v>
      </c>
      <c r="O144" s="54">
        <v>17676.810000000001</v>
      </c>
      <c r="P144" s="54">
        <v>612.59</v>
      </c>
      <c r="Q144" s="59">
        <v>0.43</v>
      </c>
      <c r="R144" s="134">
        <v>4.05</v>
      </c>
      <c r="S144" s="59">
        <v>2.68</v>
      </c>
      <c r="T144" s="200" t="s">
        <v>351</v>
      </c>
    </row>
    <row r="145" spans="1:20">
      <c r="A145" s="67" t="s">
        <v>375</v>
      </c>
      <c r="B145" s="79" t="s">
        <v>528</v>
      </c>
      <c r="C145" s="73" t="s">
        <v>376</v>
      </c>
      <c r="D145" s="70" t="s">
        <v>376</v>
      </c>
      <c r="E145" s="69">
        <v>5001</v>
      </c>
      <c r="F145" s="79" t="s">
        <v>528</v>
      </c>
      <c r="G145" s="79" t="s">
        <v>528</v>
      </c>
      <c r="H145" s="72">
        <v>86.41</v>
      </c>
      <c r="I145" s="156" t="s">
        <v>357</v>
      </c>
      <c r="J145" s="157" t="s">
        <v>355</v>
      </c>
      <c r="K145" s="117" t="s">
        <v>351</v>
      </c>
      <c r="L145" s="59">
        <v>158.21</v>
      </c>
      <c r="M145" s="59">
        <v>47.32</v>
      </c>
      <c r="N145" s="61">
        <v>21086.760000000002</v>
      </c>
      <c r="O145" s="54">
        <v>66111.33</v>
      </c>
      <c r="P145" s="54">
        <v>75379.039999999994</v>
      </c>
      <c r="Q145" s="59">
        <v>4.1100000000000003</v>
      </c>
      <c r="R145" s="134">
        <v>7.99</v>
      </c>
      <c r="S145" s="59">
        <v>5.68</v>
      </c>
      <c r="T145" s="205">
        <v>90</v>
      </c>
    </row>
    <row r="146" spans="1:20">
      <c r="A146" s="67" t="s">
        <v>375</v>
      </c>
      <c r="B146" s="79" t="s">
        <v>528</v>
      </c>
      <c r="C146" s="73" t="s">
        <v>349</v>
      </c>
      <c r="D146" s="71" t="s">
        <v>383</v>
      </c>
      <c r="E146" s="69">
        <v>5301</v>
      </c>
      <c r="F146" s="79" t="s">
        <v>528</v>
      </c>
      <c r="G146" s="79" t="s">
        <v>528</v>
      </c>
      <c r="H146" s="72">
        <v>12.78</v>
      </c>
      <c r="I146" s="155" t="s">
        <v>357</v>
      </c>
      <c r="J146" s="155" t="s">
        <v>357</v>
      </c>
      <c r="K146" s="117" t="s">
        <v>351</v>
      </c>
      <c r="L146" s="59">
        <v>200.24</v>
      </c>
      <c r="M146" s="59">
        <v>47.51</v>
      </c>
      <c r="N146" s="61">
        <v>1443.82</v>
      </c>
      <c r="O146" s="54">
        <v>44174.96</v>
      </c>
      <c r="P146" s="54">
        <v>10830.079999999998</v>
      </c>
      <c r="Q146" s="59">
        <v>1.84</v>
      </c>
      <c r="R146" s="134">
        <v>13.41</v>
      </c>
      <c r="S146" s="59">
        <v>10.7</v>
      </c>
      <c r="T146" s="200" t="s">
        <v>351</v>
      </c>
    </row>
    <row r="147" spans="1:20">
      <c r="A147" s="67" t="s">
        <v>375</v>
      </c>
      <c r="B147" s="79" t="s">
        <v>528</v>
      </c>
      <c r="C147" s="73" t="s">
        <v>349</v>
      </c>
      <c r="D147" s="71" t="s">
        <v>386</v>
      </c>
      <c r="E147" s="69">
        <v>5501</v>
      </c>
      <c r="F147" s="79" t="s">
        <v>528</v>
      </c>
      <c r="G147" s="79" t="s">
        <v>528</v>
      </c>
      <c r="H147" s="72">
        <v>50.2</v>
      </c>
      <c r="I147" s="155" t="s">
        <v>357</v>
      </c>
      <c r="J147" s="155" t="s">
        <v>357</v>
      </c>
      <c r="K147" s="117" t="s">
        <v>351</v>
      </c>
      <c r="L147" s="59">
        <v>177.82</v>
      </c>
      <c r="M147" s="59">
        <v>48.53</v>
      </c>
      <c r="N147" s="61">
        <v>3102.12</v>
      </c>
      <c r="O147" s="54">
        <v>68629.149999999994</v>
      </c>
      <c r="P147" s="54">
        <v>33283.33</v>
      </c>
      <c r="Q147" s="59">
        <v>2.9</v>
      </c>
      <c r="R147" s="134">
        <v>13.95</v>
      </c>
      <c r="S147" s="59">
        <v>11.98</v>
      </c>
      <c r="T147" s="200" t="s">
        <v>351</v>
      </c>
    </row>
    <row r="148" spans="1:20">
      <c r="A148" s="67" t="s">
        <v>375</v>
      </c>
      <c r="B148" s="79" t="s">
        <v>528</v>
      </c>
      <c r="C148" s="73" t="s">
        <v>349</v>
      </c>
      <c r="D148" s="70" t="s">
        <v>391</v>
      </c>
      <c r="E148" s="69">
        <v>5601</v>
      </c>
      <c r="F148" s="79" t="s">
        <v>528</v>
      </c>
      <c r="G148" s="79" t="s">
        <v>528</v>
      </c>
      <c r="H148" s="117" t="s">
        <v>351</v>
      </c>
      <c r="I148" s="155" t="s">
        <v>357</v>
      </c>
      <c r="J148" s="155" t="s">
        <v>357</v>
      </c>
      <c r="K148" s="117" t="s">
        <v>351</v>
      </c>
      <c r="L148" s="59">
        <v>190.7</v>
      </c>
      <c r="M148" s="59">
        <v>42.14</v>
      </c>
      <c r="N148" s="61">
        <v>3665.17</v>
      </c>
      <c r="O148" s="54">
        <v>15599.6</v>
      </c>
      <c r="P148" s="54">
        <v>16542.879999999997</v>
      </c>
      <c r="Q148" s="59">
        <v>2.67</v>
      </c>
      <c r="R148" s="134">
        <v>26.12</v>
      </c>
      <c r="S148" s="59">
        <v>23.19</v>
      </c>
      <c r="T148" s="200" t="s">
        <v>351</v>
      </c>
    </row>
    <row r="149" spans="1:20">
      <c r="A149" s="67" t="s">
        <v>375</v>
      </c>
      <c r="B149" s="79" t="s">
        <v>528</v>
      </c>
      <c r="C149" s="73" t="s">
        <v>349</v>
      </c>
      <c r="D149" s="71" t="s">
        <v>395</v>
      </c>
      <c r="E149" s="69">
        <v>5701</v>
      </c>
      <c r="F149" s="79" t="s">
        <v>528</v>
      </c>
      <c r="G149" s="79" t="s">
        <v>528</v>
      </c>
      <c r="H149" s="72">
        <v>15</v>
      </c>
      <c r="I149" s="155" t="s">
        <v>357</v>
      </c>
      <c r="J149" s="155" t="s">
        <v>357</v>
      </c>
      <c r="K149" s="117" t="s">
        <v>351</v>
      </c>
      <c r="L149" s="59">
        <v>197.21</v>
      </c>
      <c r="M149" s="59">
        <v>52.55</v>
      </c>
      <c r="N149" s="61">
        <v>1419.12</v>
      </c>
      <c r="O149" s="54">
        <v>30026.58</v>
      </c>
      <c r="P149" s="54">
        <v>12065.11</v>
      </c>
      <c r="Q149" s="59">
        <v>1.49</v>
      </c>
      <c r="R149" s="134">
        <v>14.17</v>
      </c>
      <c r="S149" s="59">
        <v>11.24</v>
      </c>
      <c r="T149" s="200" t="s">
        <v>351</v>
      </c>
    </row>
    <row r="150" spans="1:20">
      <c r="A150" s="67" t="s">
        <v>401</v>
      </c>
      <c r="B150" s="79" t="s">
        <v>528</v>
      </c>
      <c r="C150" s="73" t="s">
        <v>349</v>
      </c>
      <c r="D150" s="70" t="s">
        <v>403</v>
      </c>
      <c r="E150" s="69">
        <v>6001</v>
      </c>
      <c r="F150" s="79" t="s">
        <v>528</v>
      </c>
      <c r="G150" s="79" t="s">
        <v>528</v>
      </c>
      <c r="H150" s="72">
        <v>76.31</v>
      </c>
      <c r="I150" s="156" t="s">
        <v>355</v>
      </c>
      <c r="J150" s="157" t="s">
        <v>353</v>
      </c>
      <c r="K150" s="158">
        <v>31</v>
      </c>
      <c r="L150" s="59">
        <v>201.19</v>
      </c>
      <c r="M150" s="59">
        <v>42.5</v>
      </c>
      <c r="N150" s="61">
        <v>4957.0600000000004</v>
      </c>
      <c r="O150" s="54">
        <v>58166.31</v>
      </c>
      <c r="P150" s="54">
        <v>64855.68</v>
      </c>
      <c r="Q150" s="59">
        <v>4.45</v>
      </c>
      <c r="R150" s="134">
        <v>17.07</v>
      </c>
      <c r="S150" s="59">
        <v>14.28</v>
      </c>
      <c r="T150" s="205">
        <v>50</v>
      </c>
    </row>
    <row r="151" spans="1:20">
      <c r="A151" s="67" t="s">
        <v>401</v>
      </c>
      <c r="B151" s="79" t="s">
        <v>528</v>
      </c>
      <c r="C151" s="73" t="s">
        <v>349</v>
      </c>
      <c r="D151" s="71" t="s">
        <v>406</v>
      </c>
      <c r="E151" s="69">
        <v>6115</v>
      </c>
      <c r="F151" s="79" t="s">
        <v>528</v>
      </c>
      <c r="G151" s="79" t="s">
        <v>528</v>
      </c>
      <c r="H151" s="117" t="s">
        <v>351</v>
      </c>
      <c r="I151" s="156" t="s">
        <v>357</v>
      </c>
      <c r="J151" s="157" t="s">
        <v>355</v>
      </c>
      <c r="K151" s="117" t="s">
        <v>351</v>
      </c>
      <c r="L151" s="59">
        <v>202.02</v>
      </c>
      <c r="M151" s="59">
        <v>51.08</v>
      </c>
      <c r="N151" s="61">
        <v>1422.98</v>
      </c>
      <c r="O151" s="54">
        <v>38947.43</v>
      </c>
      <c r="P151" s="54">
        <v>16735.37</v>
      </c>
      <c r="Q151" s="59">
        <v>1.67</v>
      </c>
      <c r="R151" s="134">
        <v>18.05</v>
      </c>
      <c r="S151" s="59">
        <v>15.36</v>
      </c>
      <c r="T151" s="205">
        <v>0</v>
      </c>
    </row>
    <row r="152" spans="1:20">
      <c r="A152" s="67" t="s">
        <v>401</v>
      </c>
      <c r="B152" s="79" t="s">
        <v>528</v>
      </c>
      <c r="C152" s="73" t="s">
        <v>349</v>
      </c>
      <c r="D152" s="71" t="s">
        <v>408</v>
      </c>
      <c r="E152" s="69">
        <v>6301</v>
      </c>
      <c r="F152" s="79" t="s">
        <v>528</v>
      </c>
      <c r="G152" s="79" t="s">
        <v>528</v>
      </c>
      <c r="H152" s="117" t="s">
        <v>351</v>
      </c>
      <c r="I152" s="156" t="s">
        <v>355</v>
      </c>
      <c r="J152" s="157" t="s">
        <v>353</v>
      </c>
      <c r="K152" s="117" t="s">
        <v>351</v>
      </c>
      <c r="L152" s="59">
        <v>179.12</v>
      </c>
      <c r="M152" s="59">
        <v>49.16</v>
      </c>
      <c r="N152" s="61">
        <v>1593.84</v>
      </c>
      <c r="O152" s="54">
        <v>34336.36</v>
      </c>
      <c r="P152" s="54">
        <v>46125.71</v>
      </c>
      <c r="Q152" s="59">
        <v>2.5299999999999998</v>
      </c>
      <c r="R152" s="134">
        <v>3.57</v>
      </c>
      <c r="S152" s="59">
        <v>2.09</v>
      </c>
      <c r="T152" s="205">
        <v>0</v>
      </c>
    </row>
    <row r="153" spans="1:20">
      <c r="A153" s="67" t="s">
        <v>409</v>
      </c>
      <c r="B153" s="79" t="s">
        <v>528</v>
      </c>
      <c r="C153" s="73" t="s">
        <v>349</v>
      </c>
      <c r="D153" s="70" t="s">
        <v>411</v>
      </c>
      <c r="E153" s="69">
        <v>7001</v>
      </c>
      <c r="F153" s="79" t="s">
        <v>528</v>
      </c>
      <c r="G153" s="79" t="s">
        <v>528</v>
      </c>
      <c r="H153" s="72">
        <v>84.26</v>
      </c>
      <c r="I153" s="156" t="s">
        <v>355</v>
      </c>
      <c r="J153" s="157" t="s">
        <v>353</v>
      </c>
      <c r="K153" s="158">
        <v>49</v>
      </c>
      <c r="L153" s="59">
        <v>198.71</v>
      </c>
      <c r="M153" s="59">
        <v>52.04</v>
      </c>
      <c r="N153" s="61">
        <v>4604.42</v>
      </c>
      <c r="O153" s="54">
        <v>62951.49</v>
      </c>
      <c r="P153" s="54">
        <v>562.88</v>
      </c>
      <c r="Q153" s="59">
        <v>3.49</v>
      </c>
      <c r="R153" s="134">
        <v>17.61</v>
      </c>
      <c r="S153" s="59">
        <v>15.34</v>
      </c>
      <c r="T153" s="200" t="s">
        <v>351</v>
      </c>
    </row>
    <row r="154" spans="1:20">
      <c r="A154" s="67" t="s">
        <v>409</v>
      </c>
      <c r="B154" s="79" t="s">
        <v>528</v>
      </c>
      <c r="C154" s="73" t="s">
        <v>349</v>
      </c>
      <c r="D154" s="71" t="s">
        <v>412</v>
      </c>
      <c r="E154" s="69">
        <v>7102</v>
      </c>
      <c r="F154" s="79" t="s">
        <v>528</v>
      </c>
      <c r="G154" s="79" t="s">
        <v>528</v>
      </c>
      <c r="H154" s="117" t="s">
        <v>351</v>
      </c>
      <c r="I154" s="155" t="s">
        <v>357</v>
      </c>
      <c r="J154" s="155" t="s">
        <v>357</v>
      </c>
      <c r="K154" s="117" t="s">
        <v>351</v>
      </c>
      <c r="L154" s="59">
        <v>159.52000000000001</v>
      </c>
      <c r="M154" s="59">
        <v>25.07</v>
      </c>
      <c r="N154" s="61">
        <v>1037.6400000000001</v>
      </c>
      <c r="O154" s="54">
        <v>4784.97</v>
      </c>
      <c r="P154" s="54">
        <v>6422.19</v>
      </c>
      <c r="Q154" s="59">
        <v>2.7</v>
      </c>
      <c r="R154" s="134">
        <v>13.18</v>
      </c>
      <c r="S154" s="59">
        <v>10.91</v>
      </c>
      <c r="T154" s="200" t="s">
        <v>351</v>
      </c>
    </row>
    <row r="155" spans="1:20">
      <c r="A155" s="67" t="s">
        <v>409</v>
      </c>
      <c r="B155" s="79" t="s">
        <v>528</v>
      </c>
      <c r="C155" s="73" t="s">
        <v>349</v>
      </c>
      <c r="D155" s="70" t="s">
        <v>414</v>
      </c>
      <c r="E155" s="69">
        <v>7301</v>
      </c>
      <c r="F155" s="79" t="s">
        <v>528</v>
      </c>
      <c r="G155" s="79" t="s">
        <v>528</v>
      </c>
      <c r="H155" s="117" t="s">
        <v>351</v>
      </c>
      <c r="I155" s="156" t="s">
        <v>355</v>
      </c>
      <c r="J155" s="157" t="s">
        <v>353</v>
      </c>
      <c r="K155" s="158">
        <v>39</v>
      </c>
      <c r="L155" s="59">
        <v>188.51</v>
      </c>
      <c r="M155" s="59">
        <v>58.01</v>
      </c>
      <c r="N155" s="61">
        <v>3327.1099999999997</v>
      </c>
      <c r="O155" s="54">
        <v>100874.97</v>
      </c>
      <c r="P155" s="54">
        <v>35189.9</v>
      </c>
      <c r="Q155" s="59">
        <v>2.72</v>
      </c>
      <c r="R155" s="134">
        <v>23.46</v>
      </c>
      <c r="S155" s="59">
        <v>20.07</v>
      </c>
      <c r="T155" s="205">
        <v>0</v>
      </c>
    </row>
    <row r="156" spans="1:20">
      <c r="A156" s="67" t="s">
        <v>409</v>
      </c>
      <c r="B156" s="79" t="s">
        <v>528</v>
      </c>
      <c r="C156" s="73" t="s">
        <v>349</v>
      </c>
      <c r="D156" s="71" t="s">
        <v>417</v>
      </c>
      <c r="E156" s="69">
        <v>7401</v>
      </c>
      <c r="F156" s="79" t="s">
        <v>528</v>
      </c>
      <c r="G156" s="79" t="s">
        <v>528</v>
      </c>
      <c r="H156" s="117" t="s">
        <v>351</v>
      </c>
      <c r="I156" s="156" t="s">
        <v>355</v>
      </c>
      <c r="J156" s="157" t="s">
        <v>353</v>
      </c>
      <c r="K156" s="158">
        <v>61</v>
      </c>
      <c r="L156" s="59">
        <v>169.12</v>
      </c>
      <c r="M156" s="59">
        <v>53.5</v>
      </c>
      <c r="N156" s="61">
        <v>1658.93</v>
      </c>
      <c r="O156" s="54">
        <v>48394.69</v>
      </c>
      <c r="P156" s="54">
        <v>12015.52</v>
      </c>
      <c r="Q156" s="59">
        <v>1.95</v>
      </c>
      <c r="R156" s="134">
        <v>21.09</v>
      </c>
      <c r="S156" s="59">
        <v>17.100000000000001</v>
      </c>
      <c r="T156" s="205">
        <v>66.67</v>
      </c>
    </row>
    <row r="157" spans="1:20">
      <c r="A157" s="67" t="s">
        <v>418</v>
      </c>
      <c r="B157" s="79" t="s">
        <v>528</v>
      </c>
      <c r="C157" s="73" t="s">
        <v>420</v>
      </c>
      <c r="D157" s="70" t="s">
        <v>420</v>
      </c>
      <c r="E157" s="69">
        <v>8001</v>
      </c>
      <c r="F157" s="79" t="s">
        <v>528</v>
      </c>
      <c r="G157" s="79" t="s">
        <v>528</v>
      </c>
      <c r="H157" s="72">
        <v>80.05</v>
      </c>
      <c r="I157" s="156" t="s">
        <v>355</v>
      </c>
      <c r="J157" s="157" t="s">
        <v>353</v>
      </c>
      <c r="K157" s="158">
        <v>28</v>
      </c>
      <c r="L157" s="59">
        <v>149.32</v>
      </c>
      <c r="M157" s="59">
        <v>50.8</v>
      </c>
      <c r="N157" s="61">
        <v>16752.749999999996</v>
      </c>
      <c r="O157" s="54">
        <v>19122.66</v>
      </c>
      <c r="P157" s="54">
        <v>26748.519999999997</v>
      </c>
      <c r="Q157" s="59">
        <v>3.64</v>
      </c>
      <c r="R157" s="134">
        <v>10.38</v>
      </c>
      <c r="S157" s="59">
        <v>8.3000000000000007</v>
      </c>
      <c r="T157" s="205">
        <v>83.33</v>
      </c>
    </row>
    <row r="158" spans="1:20">
      <c r="A158" s="67" t="s">
        <v>418</v>
      </c>
      <c r="B158" s="79" t="s">
        <v>528</v>
      </c>
      <c r="C158" s="73" t="s">
        <v>349</v>
      </c>
      <c r="D158" s="70" t="s">
        <v>431</v>
      </c>
      <c r="E158" s="69">
        <v>8301</v>
      </c>
      <c r="F158" s="79" t="s">
        <v>528</v>
      </c>
      <c r="G158" s="79" t="s">
        <v>528</v>
      </c>
      <c r="H158" s="72">
        <v>81.77</v>
      </c>
      <c r="I158" s="156" t="s">
        <v>355</v>
      </c>
      <c r="J158" s="157" t="s">
        <v>353</v>
      </c>
      <c r="K158" s="158">
        <v>64</v>
      </c>
      <c r="L158" s="59">
        <v>176.94</v>
      </c>
      <c r="M158" s="59">
        <v>37.270000000000003</v>
      </c>
      <c r="N158" s="61">
        <v>3713.04</v>
      </c>
      <c r="O158" s="54">
        <v>83994.96</v>
      </c>
      <c r="P158" s="54">
        <v>0</v>
      </c>
      <c r="Q158" s="59">
        <v>3.98</v>
      </c>
      <c r="R158" s="134">
        <v>3.14</v>
      </c>
      <c r="S158" s="59">
        <v>2.34</v>
      </c>
      <c r="T158" s="205">
        <v>100</v>
      </c>
    </row>
    <row r="159" spans="1:20">
      <c r="A159" s="67" t="s">
        <v>434</v>
      </c>
      <c r="B159" s="79" t="s">
        <v>528</v>
      </c>
      <c r="C159" s="73" t="s">
        <v>349</v>
      </c>
      <c r="D159" s="70" t="s">
        <v>436</v>
      </c>
      <c r="E159" s="69">
        <v>9001</v>
      </c>
      <c r="F159" s="79" t="s">
        <v>528</v>
      </c>
      <c r="G159" s="79" t="s">
        <v>528</v>
      </c>
      <c r="H159" s="72">
        <v>90.84</v>
      </c>
      <c r="I159" s="156" t="s">
        <v>355</v>
      </c>
      <c r="J159" s="157" t="s">
        <v>353</v>
      </c>
      <c r="K159" s="158">
        <v>112</v>
      </c>
      <c r="L159" s="59">
        <v>164.6</v>
      </c>
      <c r="M159" s="59">
        <v>52.55</v>
      </c>
      <c r="N159" s="61">
        <v>4757.2</v>
      </c>
      <c r="O159" s="54">
        <v>87576.74</v>
      </c>
      <c r="P159" s="54">
        <v>1159.17</v>
      </c>
      <c r="Q159" s="59">
        <v>3.5</v>
      </c>
      <c r="R159" s="134">
        <v>27.83</v>
      </c>
      <c r="S159" s="59">
        <v>24.77</v>
      </c>
      <c r="T159" s="200" t="s">
        <v>351</v>
      </c>
    </row>
    <row r="160" spans="1:20">
      <c r="A160" s="67" t="s">
        <v>434</v>
      </c>
      <c r="B160" s="79" t="s">
        <v>528</v>
      </c>
      <c r="C160" s="73" t="s">
        <v>349</v>
      </c>
      <c r="D160" s="71" t="s">
        <v>439</v>
      </c>
      <c r="E160" s="69">
        <v>9120</v>
      </c>
      <c r="F160" s="79" t="s">
        <v>528</v>
      </c>
      <c r="G160" s="79" t="s">
        <v>528</v>
      </c>
      <c r="H160" s="72">
        <v>86.24</v>
      </c>
      <c r="I160" s="155" t="s">
        <v>357</v>
      </c>
      <c r="J160" s="155" t="s">
        <v>357</v>
      </c>
      <c r="K160" s="117" t="s">
        <v>351</v>
      </c>
      <c r="L160" s="59">
        <v>188.7</v>
      </c>
      <c r="M160" s="59">
        <v>51.27</v>
      </c>
      <c r="N160" s="61">
        <v>1042.1199999999999</v>
      </c>
      <c r="O160" s="54">
        <v>25871.29</v>
      </c>
      <c r="P160" s="54">
        <v>0</v>
      </c>
      <c r="Q160" s="59">
        <v>5.43</v>
      </c>
      <c r="R160" s="134">
        <v>13.72</v>
      </c>
      <c r="S160" s="59">
        <v>10.19</v>
      </c>
      <c r="T160" s="200" t="s">
        <v>351</v>
      </c>
    </row>
    <row r="161" spans="1:20">
      <c r="A161" s="67" t="s">
        <v>434</v>
      </c>
      <c r="B161" s="79" t="s">
        <v>528</v>
      </c>
      <c r="C161" s="73" t="s">
        <v>349</v>
      </c>
      <c r="D161" s="71" t="s">
        <v>441</v>
      </c>
      <c r="E161" s="69">
        <v>9201</v>
      </c>
      <c r="F161" s="79" t="s">
        <v>528</v>
      </c>
      <c r="G161" s="79" t="s">
        <v>528</v>
      </c>
      <c r="H161" s="117" t="s">
        <v>351</v>
      </c>
      <c r="I161" s="155" t="s">
        <v>357</v>
      </c>
      <c r="J161" s="155" t="s">
        <v>357</v>
      </c>
      <c r="K161" s="117" t="s">
        <v>351</v>
      </c>
      <c r="L161" s="59">
        <v>184.55</v>
      </c>
      <c r="M161" s="59">
        <v>39.340000000000003</v>
      </c>
      <c r="N161" s="61">
        <v>1070.8900000000001</v>
      </c>
      <c r="O161" s="54">
        <v>11860.36</v>
      </c>
      <c r="P161" s="54">
        <v>0</v>
      </c>
      <c r="Q161" s="59">
        <v>2.62</v>
      </c>
      <c r="R161" s="134">
        <v>23.06</v>
      </c>
      <c r="S161" s="59">
        <v>21.83</v>
      </c>
      <c r="T161" s="200" t="s">
        <v>351</v>
      </c>
    </row>
    <row r="162" spans="1:20">
      <c r="A162" s="67" t="s">
        <v>442</v>
      </c>
      <c r="B162" s="79" t="s">
        <v>528</v>
      </c>
      <c r="C162" s="73" t="s">
        <v>349</v>
      </c>
      <c r="D162" s="70" t="s">
        <v>444</v>
      </c>
      <c r="E162" s="69">
        <v>10001</v>
      </c>
      <c r="F162" s="79" t="s">
        <v>528</v>
      </c>
      <c r="G162" s="79" t="s">
        <v>528</v>
      </c>
      <c r="H162" s="72">
        <v>70.209999999999994</v>
      </c>
      <c r="I162" s="156" t="s">
        <v>355</v>
      </c>
      <c r="J162" s="157" t="s">
        <v>353</v>
      </c>
      <c r="K162" s="158">
        <v>40</v>
      </c>
      <c r="L162" s="59">
        <v>138.32</v>
      </c>
      <c r="M162" s="59">
        <v>54.21</v>
      </c>
      <c r="N162" s="61">
        <v>5361.24</v>
      </c>
      <c r="O162" s="54">
        <v>29738.65</v>
      </c>
      <c r="P162" s="54">
        <v>13253.510000000002</v>
      </c>
      <c r="Q162" s="59">
        <v>4.0199999999999996</v>
      </c>
      <c r="R162" s="134">
        <v>19.440000000000001</v>
      </c>
      <c r="S162" s="59">
        <v>16.66</v>
      </c>
      <c r="T162" s="205">
        <v>100</v>
      </c>
    </row>
    <row r="163" spans="1:20">
      <c r="A163" s="67" t="s">
        <v>442</v>
      </c>
      <c r="B163" s="79" t="s">
        <v>528</v>
      </c>
      <c r="C163" s="73" t="s">
        <v>349</v>
      </c>
      <c r="D163" s="71" t="s">
        <v>448</v>
      </c>
      <c r="E163" s="69">
        <v>10201</v>
      </c>
      <c r="F163" s="79" t="s">
        <v>528</v>
      </c>
      <c r="G163" s="79" t="s">
        <v>528</v>
      </c>
      <c r="H163" s="72">
        <v>75.83</v>
      </c>
      <c r="I163" s="155" t="s">
        <v>357</v>
      </c>
      <c r="J163" s="155" t="s">
        <v>357</v>
      </c>
      <c r="K163" s="117" t="s">
        <v>351</v>
      </c>
      <c r="L163" s="59">
        <v>167.83</v>
      </c>
      <c r="M163" s="59">
        <v>39.9</v>
      </c>
      <c r="N163" s="61">
        <v>707.2</v>
      </c>
      <c r="O163" s="54">
        <v>11949.33</v>
      </c>
      <c r="P163" s="54">
        <v>1437.48</v>
      </c>
      <c r="Q163" s="59">
        <v>4.83</v>
      </c>
      <c r="R163" s="134">
        <v>2.46</v>
      </c>
      <c r="S163" s="59">
        <v>1.68</v>
      </c>
      <c r="T163" s="200" t="s">
        <v>351</v>
      </c>
    </row>
    <row r="164" spans="1:20">
      <c r="A164" s="67" t="s">
        <v>442</v>
      </c>
      <c r="B164" s="79" t="s">
        <v>528</v>
      </c>
      <c r="C164" s="73" t="s">
        <v>349</v>
      </c>
      <c r="D164" s="70" t="s">
        <v>449</v>
      </c>
      <c r="E164" s="69">
        <v>10301</v>
      </c>
      <c r="F164" s="79" t="s">
        <v>528</v>
      </c>
      <c r="G164" s="79" t="s">
        <v>528</v>
      </c>
      <c r="H164" s="72">
        <v>88.87</v>
      </c>
      <c r="I164" s="156" t="s">
        <v>355</v>
      </c>
      <c r="J164" s="157" t="s">
        <v>353</v>
      </c>
      <c r="K164" s="158">
        <v>97</v>
      </c>
      <c r="L164" s="59">
        <v>134.69999999999999</v>
      </c>
      <c r="M164" s="59">
        <v>37.83</v>
      </c>
      <c r="N164" s="61">
        <v>2662.32</v>
      </c>
      <c r="O164" s="54">
        <v>75207.73</v>
      </c>
      <c r="P164" s="54">
        <v>0</v>
      </c>
      <c r="Q164" s="59">
        <v>3.99</v>
      </c>
      <c r="R164" s="134">
        <v>8.5500000000000007</v>
      </c>
      <c r="S164" s="59">
        <v>6.1</v>
      </c>
      <c r="T164" s="205">
        <v>100</v>
      </c>
    </row>
    <row r="165" spans="1:20">
      <c r="A165" s="67" t="s">
        <v>450</v>
      </c>
      <c r="B165" s="79" t="s">
        <v>528</v>
      </c>
      <c r="C165" s="73" t="s">
        <v>349</v>
      </c>
      <c r="D165" s="71" t="s">
        <v>451</v>
      </c>
      <c r="E165" s="69">
        <v>11101</v>
      </c>
      <c r="F165" s="79" t="s">
        <v>528</v>
      </c>
      <c r="G165" s="79" t="s">
        <v>528</v>
      </c>
      <c r="H165" s="72">
        <v>12.32</v>
      </c>
      <c r="I165" s="156" t="s">
        <v>355</v>
      </c>
      <c r="J165" s="157" t="s">
        <v>353</v>
      </c>
      <c r="K165" s="158">
        <v>100</v>
      </c>
      <c r="L165" s="59">
        <v>127.57</v>
      </c>
      <c r="M165" s="59">
        <v>47.87</v>
      </c>
      <c r="N165" s="61">
        <v>1140.75</v>
      </c>
      <c r="O165" s="54">
        <v>33533.75</v>
      </c>
      <c r="P165" s="54">
        <v>0</v>
      </c>
      <c r="Q165" s="59">
        <v>5.17</v>
      </c>
      <c r="R165" s="134">
        <v>25.37</v>
      </c>
      <c r="S165" s="59">
        <v>21.6</v>
      </c>
      <c r="T165" s="200" t="s">
        <v>351</v>
      </c>
    </row>
    <row r="166" spans="1:20">
      <c r="A166" s="67" t="s">
        <v>452</v>
      </c>
      <c r="B166" s="79" t="s">
        <v>528</v>
      </c>
      <c r="C166" s="73" t="s">
        <v>349</v>
      </c>
      <c r="D166" s="70" t="s">
        <v>453</v>
      </c>
      <c r="E166" s="69">
        <v>12101</v>
      </c>
      <c r="F166" s="79" t="s">
        <v>528</v>
      </c>
      <c r="G166" s="79" t="s">
        <v>528</v>
      </c>
      <c r="H166" s="72">
        <v>90.11</v>
      </c>
      <c r="I166" s="156" t="s">
        <v>357</v>
      </c>
      <c r="J166" s="157" t="s">
        <v>355</v>
      </c>
      <c r="K166" s="117" t="s">
        <v>351</v>
      </c>
      <c r="L166" s="59">
        <v>159.77000000000001</v>
      </c>
      <c r="M166" s="59">
        <v>35.18</v>
      </c>
      <c r="N166" s="61">
        <v>2834.03</v>
      </c>
      <c r="O166" s="55" t="s">
        <v>351</v>
      </c>
      <c r="P166" s="54">
        <v>83.79</v>
      </c>
      <c r="Q166" s="59">
        <v>4.24</v>
      </c>
      <c r="R166" s="134">
        <v>18.95</v>
      </c>
      <c r="S166" s="59">
        <v>15.64</v>
      </c>
      <c r="T166" s="200" t="s">
        <v>351</v>
      </c>
    </row>
    <row r="167" spans="1:20">
      <c r="A167" s="67" t="s">
        <v>454</v>
      </c>
      <c r="B167" s="79" t="s">
        <v>528</v>
      </c>
      <c r="C167" s="73" t="s">
        <v>456</v>
      </c>
      <c r="D167" s="70" t="s">
        <v>456</v>
      </c>
      <c r="E167" s="69">
        <v>13001</v>
      </c>
      <c r="F167" s="79" t="s">
        <v>528</v>
      </c>
      <c r="G167" s="79" t="s">
        <v>528</v>
      </c>
      <c r="H167" s="72">
        <v>93.66</v>
      </c>
      <c r="I167" s="156" t="s">
        <v>355</v>
      </c>
      <c r="J167" s="157" t="s">
        <v>353</v>
      </c>
      <c r="K167" s="158">
        <v>40</v>
      </c>
      <c r="L167" s="59">
        <v>195.21</v>
      </c>
      <c r="M167" s="59">
        <v>50.97</v>
      </c>
      <c r="N167" s="61">
        <v>92716.290000000023</v>
      </c>
      <c r="O167" s="54">
        <v>648781.02</v>
      </c>
      <c r="P167" s="54">
        <v>745264.3899999999</v>
      </c>
      <c r="Q167" s="59">
        <v>3.81</v>
      </c>
      <c r="R167" s="134">
        <v>7.73</v>
      </c>
      <c r="S167" s="59">
        <v>6.15</v>
      </c>
      <c r="T167" s="205">
        <v>44.44</v>
      </c>
    </row>
    <row r="168" spans="1:20">
      <c r="A168" s="67" t="s">
        <v>454</v>
      </c>
      <c r="B168" s="79" t="s">
        <v>528</v>
      </c>
      <c r="C168" s="73" t="s">
        <v>349</v>
      </c>
      <c r="D168" s="70" t="s">
        <v>501</v>
      </c>
      <c r="E168" s="69">
        <v>13501</v>
      </c>
      <c r="F168" s="79" t="s">
        <v>528</v>
      </c>
      <c r="G168" s="79" t="s">
        <v>528</v>
      </c>
      <c r="H168" s="117" t="s">
        <v>351</v>
      </c>
      <c r="I168" s="155" t="s">
        <v>357</v>
      </c>
      <c r="J168" s="155" t="s">
        <v>357</v>
      </c>
      <c r="K168" s="117" t="s">
        <v>351</v>
      </c>
      <c r="L168" s="59">
        <v>183.39</v>
      </c>
      <c r="M168" s="59">
        <v>47.1</v>
      </c>
      <c r="N168" s="61">
        <v>1617.87</v>
      </c>
      <c r="O168" s="54">
        <v>49236.08</v>
      </c>
      <c r="P168" s="54">
        <v>65128.42</v>
      </c>
      <c r="Q168" s="59">
        <v>2.17</v>
      </c>
      <c r="R168" s="134">
        <v>18.77</v>
      </c>
      <c r="S168" s="59">
        <v>16.73</v>
      </c>
      <c r="T168" s="205">
        <v>100</v>
      </c>
    </row>
    <row r="169" spans="1:20">
      <c r="A169" s="67" t="s">
        <v>507</v>
      </c>
      <c r="B169" s="79" t="s">
        <v>528</v>
      </c>
      <c r="C169" s="73" t="s">
        <v>349</v>
      </c>
      <c r="D169" s="70" t="s">
        <v>508</v>
      </c>
      <c r="E169" s="69">
        <v>14101</v>
      </c>
      <c r="F169" s="79" t="s">
        <v>528</v>
      </c>
      <c r="G169" s="79" t="s">
        <v>528</v>
      </c>
      <c r="H169" s="72">
        <v>89.23</v>
      </c>
      <c r="I169" s="156" t="s">
        <v>355</v>
      </c>
      <c r="J169" s="157" t="s">
        <v>353</v>
      </c>
      <c r="K169" s="158">
        <v>81</v>
      </c>
      <c r="L169" s="59">
        <v>156.51</v>
      </c>
      <c r="M169" s="59">
        <v>35.29</v>
      </c>
      <c r="N169" s="61">
        <v>2780.17</v>
      </c>
      <c r="O169" s="54">
        <v>12808.72</v>
      </c>
      <c r="P169" s="54">
        <v>20828.599999999999</v>
      </c>
      <c r="Q169" s="59">
        <v>2.97</v>
      </c>
      <c r="R169" s="134">
        <v>23.32</v>
      </c>
      <c r="S169" s="59">
        <v>19.34</v>
      </c>
      <c r="T169" s="205">
        <v>80</v>
      </c>
    </row>
    <row r="170" spans="1:20">
      <c r="A170" s="67" t="s">
        <v>509</v>
      </c>
      <c r="B170" s="79" t="s">
        <v>528</v>
      </c>
      <c r="C170" s="73" t="s">
        <v>349</v>
      </c>
      <c r="D170" s="70" t="s">
        <v>510</v>
      </c>
      <c r="E170" s="69">
        <v>15101</v>
      </c>
      <c r="F170" s="79" t="s">
        <v>528</v>
      </c>
      <c r="G170" s="79" t="s">
        <v>528</v>
      </c>
      <c r="H170" s="72">
        <v>94.26</v>
      </c>
      <c r="I170" s="156" t="s">
        <v>357</v>
      </c>
      <c r="J170" s="157" t="s">
        <v>355</v>
      </c>
      <c r="K170" s="117" t="s">
        <v>351</v>
      </c>
      <c r="L170" s="59">
        <v>145.5</v>
      </c>
      <c r="M170" s="59">
        <v>45.52</v>
      </c>
      <c r="N170" s="61">
        <v>3026.68</v>
      </c>
      <c r="O170" s="55" t="s">
        <v>351</v>
      </c>
      <c r="P170" s="54">
        <v>12353.97</v>
      </c>
      <c r="Q170" s="59">
        <v>3.25</v>
      </c>
      <c r="R170" s="134">
        <v>3.68</v>
      </c>
      <c r="S170" s="59">
        <v>1.51</v>
      </c>
      <c r="T170" s="205">
        <v>100</v>
      </c>
    </row>
    <row r="171" spans="1:20">
      <c r="A171" s="67" t="s">
        <v>511</v>
      </c>
      <c r="B171" s="79" t="s">
        <v>528</v>
      </c>
      <c r="C171" s="73" t="s">
        <v>349</v>
      </c>
      <c r="D171" s="70" t="s">
        <v>513</v>
      </c>
      <c r="E171" s="69">
        <v>16101</v>
      </c>
      <c r="F171" s="79" t="s">
        <v>528</v>
      </c>
      <c r="G171" s="79" t="s">
        <v>528</v>
      </c>
      <c r="H171" s="72">
        <v>87.74</v>
      </c>
      <c r="I171" s="156" t="s">
        <v>355</v>
      </c>
      <c r="J171" s="157" t="s">
        <v>353</v>
      </c>
      <c r="K171" s="158">
        <v>76</v>
      </c>
      <c r="L171" s="59">
        <v>138.78</v>
      </c>
      <c r="M171" s="59">
        <v>41.02</v>
      </c>
      <c r="N171" s="61">
        <v>3437.06</v>
      </c>
      <c r="O171" s="54">
        <v>91949.55</v>
      </c>
      <c r="P171" s="54">
        <v>0</v>
      </c>
      <c r="Q171" s="59">
        <v>3.94</v>
      </c>
      <c r="R171" s="134">
        <v>15.55</v>
      </c>
      <c r="S171" s="59">
        <v>14.31</v>
      </c>
      <c r="T171" s="200" t="s">
        <v>351</v>
      </c>
    </row>
    <row r="172" spans="1:20">
      <c r="A172" s="67" t="s">
        <v>511</v>
      </c>
      <c r="B172" s="79" t="s">
        <v>528</v>
      </c>
      <c r="C172" s="73" t="s">
        <v>349</v>
      </c>
      <c r="D172" s="71" t="s">
        <v>517</v>
      </c>
      <c r="E172" s="69">
        <v>16301</v>
      </c>
      <c r="F172" s="79" t="s">
        <v>528</v>
      </c>
      <c r="G172" s="79" t="s">
        <v>528</v>
      </c>
      <c r="H172" s="117" t="s">
        <v>351</v>
      </c>
      <c r="I172" s="155" t="s">
        <v>357</v>
      </c>
      <c r="J172" s="155" t="s">
        <v>357</v>
      </c>
      <c r="K172" s="117" t="s">
        <v>351</v>
      </c>
      <c r="L172" s="59">
        <v>177.59</v>
      </c>
      <c r="M172" s="59">
        <v>44.59</v>
      </c>
      <c r="N172" s="61">
        <v>785.86</v>
      </c>
      <c r="O172" s="54">
        <v>69728.490000000005</v>
      </c>
      <c r="P172" s="54">
        <v>0</v>
      </c>
      <c r="Q172" s="59">
        <v>4.17</v>
      </c>
      <c r="R172" s="134">
        <v>24.6</v>
      </c>
      <c r="S172" s="59">
        <v>21.38</v>
      </c>
      <c r="T172" s="200" t="s">
        <v>351</v>
      </c>
    </row>
    <row r="173" spans="1:20">
      <c r="A173" s="231"/>
      <c r="B173" s="232"/>
      <c r="C173" s="233"/>
      <c r="D173" s="234"/>
      <c r="E173" s="235"/>
      <c r="F173" s="232"/>
      <c r="G173" s="232"/>
      <c r="H173" s="236"/>
      <c r="I173" s="237"/>
      <c r="J173" s="237"/>
      <c r="K173" s="236"/>
      <c r="L173" s="100"/>
      <c r="M173" s="100"/>
      <c r="N173" s="102"/>
      <c r="O173" s="97"/>
      <c r="P173" s="97"/>
      <c r="Q173" s="100"/>
      <c r="R173" s="238"/>
      <c r="S173" s="100"/>
      <c r="T173" s="239"/>
    </row>
    <row r="174" spans="1:20">
      <c r="A174" s="231"/>
      <c r="B174" s="232"/>
      <c r="C174" s="233"/>
      <c r="D174" s="234"/>
      <c r="E174" s="235"/>
      <c r="F174" s="232"/>
      <c r="G174" s="232"/>
      <c r="H174" s="236"/>
      <c r="I174" s="236"/>
      <c r="J174" s="236"/>
      <c r="K174" s="236"/>
      <c r="L174" s="100"/>
      <c r="M174" s="100"/>
      <c r="N174" s="102"/>
      <c r="O174" s="97"/>
      <c r="P174" s="97"/>
      <c r="Q174" s="100"/>
      <c r="R174" s="238"/>
      <c r="S174" s="100"/>
      <c r="T174" s="239"/>
    </row>
    <row r="175" spans="1:20">
      <c r="A175" s="231"/>
      <c r="B175" s="232"/>
      <c r="C175" s="233"/>
      <c r="D175" s="234"/>
      <c r="G175" s="43" t="s">
        <v>289</v>
      </c>
      <c r="H175" s="106" t="s">
        <v>238</v>
      </c>
      <c r="I175" s="106" t="s">
        <v>240</v>
      </c>
      <c r="J175" s="106" t="s">
        <v>242</v>
      </c>
      <c r="K175" s="106" t="s">
        <v>244</v>
      </c>
      <c r="L175" s="106" t="s">
        <v>247</v>
      </c>
      <c r="M175" s="100"/>
      <c r="N175" s="102"/>
      <c r="O175" s="97"/>
      <c r="P175" s="97"/>
      <c r="Q175" s="100"/>
      <c r="R175" s="238"/>
      <c r="S175" s="100"/>
      <c r="T175" s="239"/>
    </row>
    <row r="176" spans="1:20">
      <c r="A176" s="109" t="s">
        <v>529</v>
      </c>
      <c r="B176" s="232"/>
      <c r="C176" s="233"/>
      <c r="D176" s="234"/>
      <c r="G176" s="43" t="s">
        <v>290</v>
      </c>
      <c r="H176" s="178" t="s">
        <v>28</v>
      </c>
      <c r="I176" s="178" t="s">
        <v>28</v>
      </c>
      <c r="J176" s="178" t="s">
        <v>28</v>
      </c>
      <c r="K176" s="176" t="s">
        <v>245</v>
      </c>
      <c r="L176" s="178" t="s">
        <v>28</v>
      </c>
      <c r="M176" s="100"/>
      <c r="N176" s="102"/>
      <c r="O176" s="97"/>
      <c r="P176" s="97"/>
      <c r="Q176" s="100"/>
      <c r="R176" s="238"/>
      <c r="S176" s="100"/>
      <c r="T176" s="239"/>
    </row>
    <row r="177" spans="1:20" ht="25.5">
      <c r="A177" s="231"/>
      <c r="B177" s="232"/>
      <c r="C177" s="233"/>
      <c r="D177" s="234"/>
      <c r="G177" s="64" t="s">
        <v>294</v>
      </c>
      <c r="H177" s="178" t="s">
        <v>297</v>
      </c>
      <c r="I177" s="178" t="s">
        <v>297</v>
      </c>
      <c r="J177" s="178" t="s">
        <v>297</v>
      </c>
      <c r="K177" s="178" t="s">
        <v>297</v>
      </c>
      <c r="L177" s="178" t="s">
        <v>297</v>
      </c>
      <c r="M177" s="100"/>
      <c r="N177" s="102"/>
      <c r="O177" s="97"/>
      <c r="P177" s="97"/>
      <c r="Q177" s="100"/>
      <c r="R177" s="238"/>
      <c r="S177" s="100"/>
      <c r="T177" s="239"/>
    </row>
    <row r="178" spans="1:20" ht="63.75">
      <c r="A178" s="66" t="s">
        <v>320</v>
      </c>
      <c r="B178" s="43" t="s">
        <v>321</v>
      </c>
      <c r="C178" s="77" t="s">
        <v>322</v>
      </c>
      <c r="D178" s="78" t="s">
        <v>530</v>
      </c>
      <c r="E178" s="78" t="s">
        <v>324</v>
      </c>
      <c r="F178" s="43" t="s">
        <v>25</v>
      </c>
      <c r="G178" s="43" t="s">
        <v>325</v>
      </c>
      <c r="H178" s="80" t="s">
        <v>239</v>
      </c>
      <c r="I178" s="80" t="s">
        <v>241</v>
      </c>
      <c r="J178" s="80" t="s">
        <v>243</v>
      </c>
      <c r="K178" s="80" t="s">
        <v>246</v>
      </c>
      <c r="L178" s="80" t="s">
        <v>248</v>
      </c>
      <c r="M178" s="100"/>
      <c r="N178" s="85" t="s">
        <v>531</v>
      </c>
      <c r="O178" s="85"/>
      <c r="P178" s="85"/>
      <c r="Q178" s="85"/>
      <c r="R178" s="238"/>
      <c r="S178" s="100"/>
      <c r="T178" s="239"/>
    </row>
    <row r="179" spans="1:20">
      <c r="A179" s="208" t="s">
        <v>347</v>
      </c>
      <c r="B179" s="79" t="s">
        <v>528</v>
      </c>
      <c r="C179" s="207" t="s">
        <v>349</v>
      </c>
      <c r="D179" s="208" t="s">
        <v>356</v>
      </c>
      <c r="E179" s="79" t="s">
        <v>528</v>
      </c>
      <c r="F179" s="79" t="s">
        <v>528</v>
      </c>
      <c r="G179" s="79" t="s">
        <v>528</v>
      </c>
      <c r="H179" s="216">
        <v>7.52</v>
      </c>
      <c r="I179" s="200">
        <v>17.690000000000001</v>
      </c>
      <c r="J179" s="200">
        <v>74.790000000000006</v>
      </c>
      <c r="K179" s="200">
        <v>10.24</v>
      </c>
      <c r="L179" s="200">
        <v>31.6</v>
      </c>
      <c r="M179" s="100"/>
      <c r="N179" s="324" t="s">
        <v>532</v>
      </c>
      <c r="O179" s="324"/>
      <c r="P179" s="324"/>
      <c r="Q179" s="324"/>
      <c r="R179" s="238"/>
      <c r="S179" s="100"/>
      <c r="T179" s="239"/>
    </row>
    <row r="180" spans="1:20">
      <c r="A180" s="208" t="s">
        <v>347</v>
      </c>
      <c r="B180" s="79" t="s">
        <v>528</v>
      </c>
      <c r="C180" s="207" t="s">
        <v>349</v>
      </c>
      <c r="D180" s="208" t="s">
        <v>533</v>
      </c>
      <c r="E180" s="79" t="s">
        <v>528</v>
      </c>
      <c r="F180" s="79" t="s">
        <v>528</v>
      </c>
      <c r="G180" s="79" t="s">
        <v>528</v>
      </c>
      <c r="H180" s="216">
        <v>7.36</v>
      </c>
      <c r="I180" s="200">
        <v>8.86</v>
      </c>
      <c r="J180" s="200">
        <v>83.78</v>
      </c>
      <c r="K180" s="200">
        <v>8.27</v>
      </c>
      <c r="L180" s="200">
        <v>19.82</v>
      </c>
      <c r="M180" s="100"/>
      <c r="N180" s="324"/>
      <c r="O180" s="324"/>
      <c r="P180" s="324"/>
      <c r="Q180" s="324"/>
      <c r="R180" s="238"/>
      <c r="S180" s="100"/>
      <c r="T180" s="239"/>
    </row>
    <row r="181" spans="1:20">
      <c r="A181" s="208" t="s">
        <v>360</v>
      </c>
      <c r="B181" s="79" t="s">
        <v>528</v>
      </c>
      <c r="C181" s="207" t="s">
        <v>349</v>
      </c>
      <c r="D181" s="208" t="s">
        <v>534</v>
      </c>
      <c r="E181" s="79" t="s">
        <v>528</v>
      </c>
      <c r="F181" s="79" t="s">
        <v>528</v>
      </c>
      <c r="G181" s="79" t="s">
        <v>528</v>
      </c>
      <c r="H181" s="216">
        <v>14.09</v>
      </c>
      <c r="I181" s="200">
        <v>15.1</v>
      </c>
      <c r="J181" s="200">
        <v>70.81</v>
      </c>
      <c r="K181" s="200">
        <v>8.0299999999999994</v>
      </c>
      <c r="L181" s="200">
        <v>13.85</v>
      </c>
      <c r="M181" s="100"/>
      <c r="N181" s="85" t="s">
        <v>535</v>
      </c>
      <c r="O181" s="85"/>
      <c r="P181" s="85"/>
      <c r="Q181" s="85"/>
      <c r="R181" s="238"/>
      <c r="S181" s="100"/>
      <c r="T181" s="239"/>
    </row>
    <row r="182" spans="1:20">
      <c r="A182" s="208" t="s">
        <v>360</v>
      </c>
      <c r="B182" s="79" t="s">
        <v>528</v>
      </c>
      <c r="C182" s="207" t="s">
        <v>349</v>
      </c>
      <c r="D182" s="206" t="s">
        <v>536</v>
      </c>
      <c r="E182" s="79" t="s">
        <v>528</v>
      </c>
      <c r="F182" s="79" t="s">
        <v>528</v>
      </c>
      <c r="G182" s="79" t="s">
        <v>528</v>
      </c>
      <c r="H182" s="216">
        <v>31.93</v>
      </c>
      <c r="I182" s="200">
        <v>8.61</v>
      </c>
      <c r="J182" s="200">
        <v>59.46</v>
      </c>
      <c r="K182" s="200">
        <v>9.9499999999999993</v>
      </c>
      <c r="L182" s="200">
        <v>17.309999999999999</v>
      </c>
      <c r="M182" s="100"/>
      <c r="N182" s="85" t="s">
        <v>537</v>
      </c>
      <c r="O182" s="85"/>
      <c r="P182" s="85"/>
      <c r="Q182" s="85"/>
      <c r="R182" s="238"/>
      <c r="S182" s="100"/>
      <c r="T182" s="239"/>
    </row>
    <row r="183" spans="1:20">
      <c r="A183" s="208" t="s">
        <v>363</v>
      </c>
      <c r="B183" s="79" t="s">
        <v>528</v>
      </c>
      <c r="C183" s="207" t="s">
        <v>349</v>
      </c>
      <c r="D183" s="206" t="s">
        <v>538</v>
      </c>
      <c r="E183" s="79" t="s">
        <v>528</v>
      </c>
      <c r="F183" s="79" t="s">
        <v>528</v>
      </c>
      <c r="G183" s="79" t="s">
        <v>528</v>
      </c>
      <c r="H183" s="216">
        <v>18.96</v>
      </c>
      <c r="I183" s="200">
        <v>12.63</v>
      </c>
      <c r="J183" s="200">
        <v>68.41</v>
      </c>
      <c r="K183" s="200">
        <v>7.73</v>
      </c>
      <c r="L183" s="200">
        <v>21.42</v>
      </c>
      <c r="M183" s="100"/>
      <c r="N183" s="85" t="s">
        <v>539</v>
      </c>
      <c r="O183" s="85"/>
      <c r="P183" s="85"/>
      <c r="Q183" s="85"/>
      <c r="R183" s="238"/>
      <c r="S183" s="100"/>
      <c r="T183" s="239"/>
    </row>
    <row r="184" spans="1:20">
      <c r="A184" s="208" t="s">
        <v>363</v>
      </c>
      <c r="B184" s="79" t="s">
        <v>528</v>
      </c>
      <c r="C184" s="207" t="s">
        <v>349</v>
      </c>
      <c r="D184" s="208" t="s">
        <v>540</v>
      </c>
      <c r="E184" s="79" t="s">
        <v>528</v>
      </c>
      <c r="F184" s="79" t="s">
        <v>528</v>
      </c>
      <c r="G184" s="79" t="s">
        <v>528</v>
      </c>
      <c r="H184" s="216">
        <v>18.09</v>
      </c>
      <c r="I184" s="200">
        <v>16.809999999999999</v>
      </c>
      <c r="J184" s="200">
        <v>65.099999999999994</v>
      </c>
      <c r="K184" s="200">
        <v>9</v>
      </c>
      <c r="L184" s="200">
        <v>22.6</v>
      </c>
      <c r="M184" s="100"/>
      <c r="N184" s="85"/>
      <c r="O184" s="85"/>
      <c r="P184" s="85"/>
      <c r="Q184" s="85"/>
      <c r="R184" s="238"/>
      <c r="S184" s="100"/>
      <c r="T184" s="239"/>
    </row>
    <row r="185" spans="1:20">
      <c r="A185" s="208" t="s">
        <v>369</v>
      </c>
      <c r="B185" s="79" t="s">
        <v>528</v>
      </c>
      <c r="C185" s="207" t="s">
        <v>349</v>
      </c>
      <c r="D185" s="208" t="s">
        <v>541</v>
      </c>
      <c r="E185" s="79" t="s">
        <v>528</v>
      </c>
      <c r="F185" s="79" t="s">
        <v>528</v>
      </c>
      <c r="G185" s="79" t="s">
        <v>528</v>
      </c>
      <c r="H185" s="216">
        <v>8.7200000000000006</v>
      </c>
      <c r="I185" s="200">
        <v>20.91</v>
      </c>
      <c r="J185" s="200">
        <v>70.37</v>
      </c>
      <c r="K185" s="200">
        <v>8.66</v>
      </c>
      <c r="L185" s="200">
        <v>22.22</v>
      </c>
      <c r="M185" s="100"/>
      <c r="N185" s="102"/>
      <c r="O185" s="97"/>
      <c r="P185" s="97"/>
      <c r="Q185" s="100"/>
      <c r="R185" s="238"/>
      <c r="S185" s="100"/>
      <c r="T185" s="239"/>
    </row>
    <row r="186" spans="1:20">
      <c r="A186" s="208" t="s">
        <v>369</v>
      </c>
      <c r="B186" s="79" t="s">
        <v>528</v>
      </c>
      <c r="C186" s="207" t="s">
        <v>349</v>
      </c>
      <c r="D186" s="208" t="s">
        <v>542</v>
      </c>
      <c r="E186" s="79" t="s">
        <v>528</v>
      </c>
      <c r="F186" s="79" t="s">
        <v>528</v>
      </c>
      <c r="G186" s="79" t="s">
        <v>528</v>
      </c>
      <c r="H186" s="216">
        <v>9.48</v>
      </c>
      <c r="I186" s="200">
        <v>15.99</v>
      </c>
      <c r="J186" s="200">
        <v>74.540000000000006</v>
      </c>
      <c r="K186" s="200">
        <v>8.77</v>
      </c>
      <c r="L186" s="200">
        <v>21.94</v>
      </c>
      <c r="M186" s="100"/>
      <c r="N186" s="102"/>
      <c r="O186" s="97"/>
      <c r="P186" s="97"/>
      <c r="Q186" s="100"/>
      <c r="R186" s="238"/>
      <c r="S186" s="100"/>
      <c r="T186" s="239"/>
    </row>
    <row r="187" spans="1:20">
      <c r="A187" s="208" t="s">
        <v>369</v>
      </c>
      <c r="B187" s="79" t="s">
        <v>528</v>
      </c>
      <c r="C187" s="207" t="s">
        <v>349</v>
      </c>
      <c r="D187" s="208" t="s">
        <v>543</v>
      </c>
      <c r="E187" s="79" t="s">
        <v>528</v>
      </c>
      <c r="F187" s="79" t="s">
        <v>528</v>
      </c>
      <c r="G187" s="79" t="s">
        <v>528</v>
      </c>
      <c r="H187" s="216">
        <v>14.14</v>
      </c>
      <c r="I187" s="200">
        <v>11.77</v>
      </c>
      <c r="J187" s="200">
        <v>74.099999999999994</v>
      </c>
      <c r="K187" s="200">
        <v>6.27</v>
      </c>
      <c r="L187" s="200">
        <v>20.38</v>
      </c>
      <c r="M187" s="100"/>
      <c r="N187" s="102"/>
      <c r="O187" s="97"/>
      <c r="P187" s="97"/>
      <c r="Q187" s="100"/>
      <c r="R187" s="238"/>
      <c r="S187" s="100"/>
      <c r="T187" s="239"/>
    </row>
    <row r="188" spans="1:20">
      <c r="A188" s="208" t="s">
        <v>375</v>
      </c>
      <c r="B188" s="79" t="s">
        <v>528</v>
      </c>
      <c r="C188" s="207" t="s">
        <v>376</v>
      </c>
      <c r="D188" s="208" t="s">
        <v>544</v>
      </c>
      <c r="E188" s="79" t="s">
        <v>528</v>
      </c>
      <c r="F188" s="79" t="s">
        <v>528</v>
      </c>
      <c r="G188" s="79" t="s">
        <v>528</v>
      </c>
      <c r="H188" s="216">
        <v>2.2799999999999998</v>
      </c>
      <c r="I188" s="200">
        <v>13.59</v>
      </c>
      <c r="J188" s="200">
        <v>84.13</v>
      </c>
      <c r="K188" s="200">
        <v>7.89</v>
      </c>
      <c r="L188" s="200">
        <v>16.62</v>
      </c>
      <c r="M188" s="100"/>
      <c r="N188" s="102"/>
      <c r="O188" s="97"/>
      <c r="P188" s="97"/>
      <c r="Q188" s="100"/>
      <c r="R188" s="238"/>
      <c r="S188" s="100"/>
      <c r="T188" s="239"/>
    </row>
    <row r="189" spans="1:20">
      <c r="A189" s="208" t="s">
        <v>375</v>
      </c>
      <c r="B189" s="79" t="s">
        <v>528</v>
      </c>
      <c r="C189" s="207" t="s">
        <v>376</v>
      </c>
      <c r="D189" s="208" t="s">
        <v>545</v>
      </c>
      <c r="E189" s="79" t="s">
        <v>528</v>
      </c>
      <c r="F189" s="79" t="s">
        <v>528</v>
      </c>
      <c r="G189" s="79" t="s">
        <v>528</v>
      </c>
      <c r="H189" s="216">
        <v>1.1399999999999999</v>
      </c>
      <c r="I189" s="200">
        <v>18.260000000000002</v>
      </c>
      <c r="J189" s="200">
        <v>80.599999999999994</v>
      </c>
      <c r="K189" s="200">
        <v>7.09</v>
      </c>
      <c r="L189" s="200">
        <v>17.010000000000002</v>
      </c>
      <c r="M189" s="100"/>
      <c r="N189" s="102"/>
      <c r="O189" s="97"/>
      <c r="P189" s="97"/>
      <c r="Q189" s="100"/>
      <c r="R189" s="238"/>
      <c r="S189" s="100"/>
      <c r="T189" s="239"/>
    </row>
    <row r="190" spans="1:20">
      <c r="A190" s="208" t="s">
        <v>375</v>
      </c>
      <c r="B190" s="79" t="s">
        <v>528</v>
      </c>
      <c r="C190" s="207" t="s">
        <v>349</v>
      </c>
      <c r="D190" s="208" t="s">
        <v>546</v>
      </c>
      <c r="E190" s="79" t="s">
        <v>528</v>
      </c>
      <c r="F190" s="79" t="s">
        <v>528</v>
      </c>
      <c r="G190" s="79" t="s">
        <v>528</v>
      </c>
      <c r="H190" s="216">
        <v>4.0199999999999996</v>
      </c>
      <c r="I190" s="200">
        <v>16.78</v>
      </c>
      <c r="J190" s="200">
        <v>79.209999999999994</v>
      </c>
      <c r="K190" s="200">
        <v>7.22</v>
      </c>
      <c r="L190" s="200">
        <v>19.02</v>
      </c>
      <c r="M190" s="100"/>
      <c r="N190" s="102"/>
      <c r="O190" s="97"/>
      <c r="P190" s="97"/>
      <c r="Q190" s="100"/>
      <c r="R190" s="238"/>
      <c r="S190" s="100"/>
      <c r="T190" s="239"/>
    </row>
    <row r="191" spans="1:20">
      <c r="A191" s="208" t="s">
        <v>401</v>
      </c>
      <c r="B191" s="79" t="s">
        <v>528</v>
      </c>
      <c r="C191" s="207" t="s">
        <v>349</v>
      </c>
      <c r="D191" s="206" t="s">
        <v>547</v>
      </c>
      <c r="E191" s="79" t="s">
        <v>528</v>
      </c>
      <c r="F191" s="79" t="s">
        <v>528</v>
      </c>
      <c r="G191" s="79" t="s">
        <v>528</v>
      </c>
      <c r="H191" s="216">
        <v>13.4</v>
      </c>
      <c r="I191" s="200">
        <v>15.7</v>
      </c>
      <c r="J191" s="200">
        <v>70.91</v>
      </c>
      <c r="K191" s="200">
        <v>9.18</v>
      </c>
      <c r="L191" s="200">
        <v>15.37</v>
      </c>
      <c r="M191" s="100"/>
      <c r="N191" s="102"/>
      <c r="O191" s="97"/>
      <c r="P191" s="97"/>
      <c r="Q191" s="100"/>
      <c r="R191" s="238"/>
      <c r="S191" s="100"/>
      <c r="T191" s="239"/>
    </row>
    <row r="192" spans="1:20">
      <c r="A192" s="208" t="s">
        <v>401</v>
      </c>
      <c r="B192" s="79" t="s">
        <v>528</v>
      </c>
      <c r="C192" s="207" t="s">
        <v>349</v>
      </c>
      <c r="D192" s="208" t="s">
        <v>548</v>
      </c>
      <c r="E192" s="79" t="s">
        <v>528</v>
      </c>
      <c r="F192" s="79" t="s">
        <v>528</v>
      </c>
      <c r="G192" s="79" t="s">
        <v>528</v>
      </c>
      <c r="H192" s="216">
        <v>7.64</v>
      </c>
      <c r="I192" s="200">
        <v>16.190000000000001</v>
      </c>
      <c r="J192" s="200">
        <v>76.17</v>
      </c>
      <c r="K192" s="200">
        <v>5.42</v>
      </c>
      <c r="L192" s="200">
        <v>14.62</v>
      </c>
      <c r="M192" s="100"/>
      <c r="N192" s="102"/>
      <c r="O192" s="97"/>
      <c r="P192" s="97"/>
      <c r="Q192" s="100"/>
      <c r="R192" s="238"/>
      <c r="S192" s="100"/>
      <c r="T192" s="239"/>
    </row>
    <row r="193" spans="1:20">
      <c r="A193" s="208" t="s">
        <v>409</v>
      </c>
      <c r="B193" s="79" t="s">
        <v>528</v>
      </c>
      <c r="C193" s="207" t="s">
        <v>349</v>
      </c>
      <c r="D193" s="208" t="s">
        <v>549</v>
      </c>
      <c r="E193" s="79" t="s">
        <v>528</v>
      </c>
      <c r="F193" s="79" t="s">
        <v>528</v>
      </c>
      <c r="G193" s="79" t="s">
        <v>528</v>
      </c>
      <c r="H193" s="216">
        <v>9.56</v>
      </c>
      <c r="I193" s="200">
        <v>15.32</v>
      </c>
      <c r="J193" s="200">
        <v>75.12</v>
      </c>
      <c r="K193" s="200">
        <v>7.69</v>
      </c>
      <c r="L193" s="200">
        <v>16.95</v>
      </c>
      <c r="M193" s="100"/>
      <c r="N193" s="102"/>
      <c r="O193" s="97"/>
      <c r="P193" s="97"/>
      <c r="Q193" s="100"/>
      <c r="R193" s="238"/>
      <c r="S193" s="100"/>
      <c r="T193" s="239"/>
    </row>
    <row r="194" spans="1:20">
      <c r="A194" s="208" t="s">
        <v>409</v>
      </c>
      <c r="B194" s="79" t="s">
        <v>528</v>
      </c>
      <c r="C194" s="207" t="s">
        <v>349</v>
      </c>
      <c r="D194" s="208" t="s">
        <v>550</v>
      </c>
      <c r="E194" s="79" t="s">
        <v>528</v>
      </c>
      <c r="F194" s="79" t="s">
        <v>528</v>
      </c>
      <c r="G194" s="79" t="s">
        <v>528</v>
      </c>
      <c r="H194" s="216">
        <v>3.01</v>
      </c>
      <c r="I194" s="200">
        <v>19.72</v>
      </c>
      <c r="J194" s="200">
        <v>77.27</v>
      </c>
      <c r="K194" s="200">
        <v>7.76</v>
      </c>
      <c r="L194" s="200">
        <v>20.239999999999998</v>
      </c>
      <c r="M194" s="100"/>
      <c r="N194" s="102"/>
      <c r="O194" s="97"/>
      <c r="P194" s="97"/>
      <c r="Q194" s="100"/>
      <c r="R194" s="238"/>
      <c r="S194" s="100"/>
      <c r="T194" s="239"/>
    </row>
    <row r="195" spans="1:20">
      <c r="A195" s="208" t="s">
        <v>409</v>
      </c>
      <c r="B195" s="79" t="s">
        <v>528</v>
      </c>
      <c r="C195" s="207" t="s">
        <v>349</v>
      </c>
      <c r="D195" s="208" t="s">
        <v>551</v>
      </c>
      <c r="E195" s="79" t="s">
        <v>528</v>
      </c>
      <c r="F195" s="79" t="s">
        <v>528</v>
      </c>
      <c r="G195" s="79" t="s">
        <v>528</v>
      </c>
      <c r="H195" s="216">
        <v>7.4</v>
      </c>
      <c r="I195" s="200">
        <v>13.92</v>
      </c>
      <c r="J195" s="200">
        <v>78.680000000000007</v>
      </c>
      <c r="K195" s="200">
        <v>8.36</v>
      </c>
      <c r="L195" s="200">
        <v>19.41</v>
      </c>
      <c r="M195" s="100"/>
      <c r="N195" s="102"/>
      <c r="O195" s="97"/>
      <c r="P195" s="97"/>
      <c r="Q195" s="100"/>
      <c r="R195" s="238"/>
      <c r="S195" s="100"/>
      <c r="T195" s="239"/>
    </row>
    <row r="196" spans="1:20">
      <c r="A196" s="208" t="s">
        <v>418</v>
      </c>
      <c r="B196" s="79" t="s">
        <v>528</v>
      </c>
      <c r="C196" s="207" t="s">
        <v>420</v>
      </c>
      <c r="D196" s="208" t="s">
        <v>552</v>
      </c>
      <c r="E196" s="79" t="s">
        <v>528</v>
      </c>
      <c r="F196" s="79" t="s">
        <v>528</v>
      </c>
      <c r="G196" s="79" t="s">
        <v>528</v>
      </c>
      <c r="H196" s="216">
        <v>3.01</v>
      </c>
      <c r="I196" s="200">
        <v>20.37</v>
      </c>
      <c r="J196" s="200">
        <v>76.62</v>
      </c>
      <c r="K196" s="200">
        <v>7.5</v>
      </c>
      <c r="L196" s="200">
        <v>17.73</v>
      </c>
      <c r="M196" s="100"/>
      <c r="N196" s="102"/>
      <c r="O196" s="97"/>
      <c r="P196" s="97"/>
      <c r="Q196" s="100"/>
      <c r="R196" s="238"/>
      <c r="S196" s="100"/>
      <c r="T196" s="239"/>
    </row>
    <row r="197" spans="1:20">
      <c r="A197" s="208" t="s">
        <v>418</v>
      </c>
      <c r="B197" s="79" t="s">
        <v>528</v>
      </c>
      <c r="C197" s="207" t="s">
        <v>420</v>
      </c>
      <c r="D197" s="206" t="s">
        <v>553</v>
      </c>
      <c r="E197" s="79" t="s">
        <v>528</v>
      </c>
      <c r="F197" s="79" t="s">
        <v>528</v>
      </c>
      <c r="G197" s="79" t="s">
        <v>528</v>
      </c>
      <c r="H197" s="216">
        <v>2.88</v>
      </c>
      <c r="I197" s="200">
        <v>20.53</v>
      </c>
      <c r="J197" s="200">
        <v>76.59</v>
      </c>
      <c r="K197" s="200">
        <v>7.29</v>
      </c>
      <c r="L197" s="200">
        <v>15.17</v>
      </c>
      <c r="M197" s="100"/>
      <c r="N197" s="102"/>
      <c r="O197" s="97"/>
      <c r="P197" s="97"/>
      <c r="Q197" s="100"/>
      <c r="R197" s="238"/>
      <c r="S197" s="100"/>
      <c r="T197" s="239"/>
    </row>
    <row r="198" spans="1:20">
      <c r="A198" s="208" t="s">
        <v>418</v>
      </c>
      <c r="B198" s="79" t="s">
        <v>528</v>
      </c>
      <c r="C198" s="207" t="s">
        <v>420</v>
      </c>
      <c r="D198" s="208" t="s">
        <v>554</v>
      </c>
      <c r="E198" s="79" t="s">
        <v>528</v>
      </c>
      <c r="F198" s="79" t="s">
        <v>528</v>
      </c>
      <c r="G198" s="79" t="s">
        <v>528</v>
      </c>
      <c r="H198" s="216">
        <v>4.95</v>
      </c>
      <c r="I198" s="200">
        <v>23.77</v>
      </c>
      <c r="J198" s="200">
        <v>71.27</v>
      </c>
      <c r="K198" s="200">
        <v>9.9600000000000009</v>
      </c>
      <c r="L198" s="200">
        <v>14.83</v>
      </c>
      <c r="M198" s="100"/>
      <c r="N198" s="102"/>
      <c r="O198" s="97"/>
      <c r="P198" s="97"/>
      <c r="Q198" s="100"/>
      <c r="R198" s="238"/>
      <c r="S198" s="100"/>
      <c r="T198" s="239"/>
    </row>
    <row r="199" spans="1:20">
      <c r="A199" s="208" t="s">
        <v>418</v>
      </c>
      <c r="B199" s="79" t="s">
        <v>528</v>
      </c>
      <c r="C199" s="207" t="s">
        <v>420</v>
      </c>
      <c r="D199" s="208" t="s">
        <v>555</v>
      </c>
      <c r="E199" s="79" t="s">
        <v>528</v>
      </c>
      <c r="F199" s="79" t="s">
        <v>528</v>
      </c>
      <c r="G199" s="79" t="s">
        <v>528</v>
      </c>
      <c r="H199" s="216">
        <v>5.04</v>
      </c>
      <c r="I199" s="200">
        <v>30.85</v>
      </c>
      <c r="J199" s="200">
        <v>64.11</v>
      </c>
      <c r="K199" s="200">
        <v>9.17</v>
      </c>
      <c r="L199" s="200">
        <v>14.13</v>
      </c>
      <c r="M199" s="100"/>
      <c r="N199" s="102"/>
      <c r="O199" s="97"/>
      <c r="P199" s="97"/>
      <c r="Q199" s="100"/>
      <c r="R199" s="238"/>
      <c r="S199" s="100"/>
      <c r="T199" s="239"/>
    </row>
    <row r="200" spans="1:20">
      <c r="A200" s="208" t="s">
        <v>418</v>
      </c>
      <c r="B200" s="79" t="s">
        <v>528</v>
      </c>
      <c r="C200" s="207" t="s">
        <v>349</v>
      </c>
      <c r="D200" s="208" t="s">
        <v>556</v>
      </c>
      <c r="E200" s="79" t="s">
        <v>528</v>
      </c>
      <c r="F200" s="79" t="s">
        <v>528</v>
      </c>
      <c r="G200" s="79" t="s">
        <v>528</v>
      </c>
      <c r="H200" s="216">
        <v>4.01</v>
      </c>
      <c r="I200" s="200">
        <v>24.84</v>
      </c>
      <c r="J200" s="200">
        <v>71.150000000000006</v>
      </c>
      <c r="K200" s="200">
        <v>6.42</v>
      </c>
      <c r="L200" s="200">
        <v>17.29</v>
      </c>
      <c r="M200" s="100"/>
      <c r="N200" s="102"/>
      <c r="O200" s="97"/>
      <c r="P200" s="97"/>
      <c r="Q200" s="100"/>
      <c r="R200" s="238"/>
      <c r="S200" s="100"/>
      <c r="T200" s="239"/>
    </row>
    <row r="201" spans="1:20">
      <c r="A201" s="67" t="s">
        <v>434</v>
      </c>
      <c r="B201" s="79" t="s">
        <v>528</v>
      </c>
      <c r="C201" s="207" t="s">
        <v>349</v>
      </c>
      <c r="D201" s="208" t="s">
        <v>557</v>
      </c>
      <c r="E201" s="79" t="s">
        <v>528</v>
      </c>
      <c r="F201" s="79" t="s">
        <v>528</v>
      </c>
      <c r="G201" s="79" t="s">
        <v>528</v>
      </c>
      <c r="H201" s="216">
        <v>11.24</v>
      </c>
      <c r="I201" s="200">
        <v>19.329999999999998</v>
      </c>
      <c r="J201" s="200">
        <v>69.430000000000007</v>
      </c>
      <c r="K201" s="200">
        <v>8.61</v>
      </c>
      <c r="L201" s="200">
        <v>16.920000000000002</v>
      </c>
      <c r="M201" s="100"/>
      <c r="N201" s="102"/>
      <c r="O201" s="97"/>
      <c r="P201" s="97"/>
      <c r="Q201" s="100"/>
      <c r="R201" s="238"/>
      <c r="S201" s="100"/>
      <c r="T201" s="239"/>
    </row>
    <row r="202" spans="1:20">
      <c r="A202" s="67" t="s">
        <v>434</v>
      </c>
      <c r="B202" s="79" t="s">
        <v>528</v>
      </c>
      <c r="C202" s="207" t="s">
        <v>349</v>
      </c>
      <c r="D202" s="206" t="s">
        <v>558</v>
      </c>
      <c r="E202" s="79" t="s">
        <v>528</v>
      </c>
      <c r="F202" s="79" t="s">
        <v>528</v>
      </c>
      <c r="G202" s="79" t="s">
        <v>528</v>
      </c>
      <c r="H202" s="216">
        <v>1.8</v>
      </c>
      <c r="I202" s="200">
        <v>17.48</v>
      </c>
      <c r="J202" s="200">
        <v>80.72</v>
      </c>
      <c r="K202" s="200">
        <v>7.27</v>
      </c>
      <c r="L202" s="200">
        <v>21.87</v>
      </c>
      <c r="M202" s="100"/>
      <c r="N202" s="102"/>
      <c r="O202" s="97"/>
      <c r="P202" s="97"/>
      <c r="Q202" s="100"/>
      <c r="R202" s="238"/>
      <c r="S202" s="100"/>
      <c r="T202" s="239"/>
    </row>
    <row r="203" spans="1:20">
      <c r="A203" s="208" t="s">
        <v>442</v>
      </c>
      <c r="B203" s="79" t="s">
        <v>528</v>
      </c>
      <c r="C203" s="207" t="s">
        <v>349</v>
      </c>
      <c r="D203" s="208" t="s">
        <v>559</v>
      </c>
      <c r="E203" s="79" t="s">
        <v>528</v>
      </c>
      <c r="F203" s="79" t="s">
        <v>528</v>
      </c>
      <c r="G203" s="79" t="s">
        <v>528</v>
      </c>
      <c r="H203" s="216">
        <v>3.7</v>
      </c>
      <c r="I203" s="200">
        <v>19.829999999999998</v>
      </c>
      <c r="J203" s="200">
        <v>76.47</v>
      </c>
      <c r="K203" s="200">
        <v>3.77</v>
      </c>
      <c r="L203" s="200">
        <v>17.64</v>
      </c>
      <c r="M203" s="100"/>
      <c r="N203" s="102"/>
      <c r="O203" s="97"/>
      <c r="P203" s="97"/>
      <c r="Q203" s="100"/>
      <c r="R203" s="238"/>
      <c r="S203" s="100"/>
      <c r="T203" s="239"/>
    </row>
    <row r="204" spans="1:20">
      <c r="A204" s="208" t="s">
        <v>442</v>
      </c>
      <c r="B204" s="79" t="s">
        <v>528</v>
      </c>
      <c r="C204" s="207" t="s">
        <v>349</v>
      </c>
      <c r="D204" s="208" t="s">
        <v>560</v>
      </c>
      <c r="E204" s="79" t="s">
        <v>528</v>
      </c>
      <c r="F204" s="79" t="s">
        <v>528</v>
      </c>
      <c r="G204" s="79" t="s">
        <v>528</v>
      </c>
      <c r="H204" s="216">
        <v>2.02</v>
      </c>
      <c r="I204" s="200">
        <v>22.69</v>
      </c>
      <c r="J204" s="200">
        <v>75.28</v>
      </c>
      <c r="K204" s="200">
        <v>4.08</v>
      </c>
      <c r="L204" s="200">
        <v>17.89</v>
      </c>
      <c r="M204" s="100"/>
      <c r="N204" s="102"/>
      <c r="O204" s="97"/>
      <c r="P204" s="97"/>
      <c r="Q204" s="100"/>
      <c r="R204" s="238"/>
      <c r="S204" s="100"/>
      <c r="T204" s="239"/>
    </row>
    <row r="205" spans="1:20">
      <c r="A205" s="208" t="s">
        <v>450</v>
      </c>
      <c r="B205" s="79" t="s">
        <v>528</v>
      </c>
      <c r="C205" s="207" t="s">
        <v>349</v>
      </c>
      <c r="D205" s="208" t="s">
        <v>561</v>
      </c>
      <c r="E205" s="79" t="s">
        <v>528</v>
      </c>
      <c r="F205" s="79" t="s">
        <v>528</v>
      </c>
      <c r="G205" s="79" t="s">
        <v>528</v>
      </c>
      <c r="H205" s="216">
        <v>4.8</v>
      </c>
      <c r="I205" s="200">
        <v>17.309999999999999</v>
      </c>
      <c r="J205" s="200">
        <v>77.88</v>
      </c>
      <c r="K205" s="200">
        <v>3.66</v>
      </c>
      <c r="L205" s="200">
        <v>21.28</v>
      </c>
      <c r="M205" s="100"/>
      <c r="N205" s="102"/>
      <c r="O205" s="97"/>
      <c r="P205" s="97"/>
      <c r="Q205" s="100"/>
      <c r="R205" s="238"/>
      <c r="S205" s="100"/>
      <c r="T205" s="239"/>
    </row>
    <row r="206" spans="1:20">
      <c r="A206" s="208" t="s">
        <v>450</v>
      </c>
      <c r="B206" s="79" t="s">
        <v>528</v>
      </c>
      <c r="C206" s="207" t="s">
        <v>349</v>
      </c>
      <c r="D206" s="208" t="s">
        <v>562</v>
      </c>
      <c r="E206" s="79" t="s">
        <v>528</v>
      </c>
      <c r="F206" s="79" t="s">
        <v>528</v>
      </c>
      <c r="G206" s="79" t="s">
        <v>528</v>
      </c>
      <c r="H206" s="216">
        <v>9.61</v>
      </c>
      <c r="I206" s="200">
        <v>21.42</v>
      </c>
      <c r="J206" s="200">
        <v>68.97</v>
      </c>
      <c r="K206" s="200">
        <v>2.73</v>
      </c>
      <c r="L206" s="200">
        <v>20.34</v>
      </c>
      <c r="M206" s="100"/>
      <c r="N206" s="102"/>
      <c r="O206" s="97"/>
      <c r="P206" s="97"/>
      <c r="Q206" s="100"/>
      <c r="R206" s="238"/>
      <c r="S206" s="100"/>
      <c r="T206" s="239"/>
    </row>
    <row r="207" spans="1:20">
      <c r="A207" s="207" t="s">
        <v>452</v>
      </c>
      <c r="B207" s="79" t="s">
        <v>528</v>
      </c>
      <c r="C207" s="207" t="s">
        <v>349</v>
      </c>
      <c r="D207" s="207" t="s">
        <v>563</v>
      </c>
      <c r="E207" s="79" t="s">
        <v>528</v>
      </c>
      <c r="F207" s="79" t="s">
        <v>528</v>
      </c>
      <c r="G207" s="79" t="s">
        <v>528</v>
      </c>
      <c r="H207" s="216">
        <v>6.85</v>
      </c>
      <c r="I207" s="200">
        <v>14.72</v>
      </c>
      <c r="J207" s="200">
        <v>78.430000000000007</v>
      </c>
      <c r="K207" s="200">
        <v>3.9</v>
      </c>
      <c r="L207" s="200">
        <v>14.51</v>
      </c>
      <c r="M207" s="100"/>
      <c r="N207" s="102"/>
      <c r="O207" s="97"/>
      <c r="P207" s="97"/>
      <c r="Q207" s="100"/>
      <c r="R207" s="238"/>
      <c r="S207" s="100"/>
      <c r="T207" s="239"/>
    </row>
    <row r="208" spans="1:20">
      <c r="A208" s="208" t="s">
        <v>454</v>
      </c>
      <c r="B208" s="79" t="s">
        <v>528</v>
      </c>
      <c r="C208" s="207" t="s">
        <v>456</v>
      </c>
      <c r="D208" s="208" t="s">
        <v>564</v>
      </c>
      <c r="E208" s="79" t="s">
        <v>528</v>
      </c>
      <c r="F208" s="79" t="s">
        <v>528</v>
      </c>
      <c r="G208" s="79" t="s">
        <v>528</v>
      </c>
      <c r="H208" s="216">
        <v>0.93</v>
      </c>
      <c r="I208" s="200">
        <v>19.86</v>
      </c>
      <c r="J208" s="200">
        <v>79.22</v>
      </c>
      <c r="K208" s="200">
        <v>7.74</v>
      </c>
      <c r="L208" s="200">
        <v>20.62</v>
      </c>
      <c r="M208" s="100"/>
      <c r="N208" s="102"/>
      <c r="O208" s="97"/>
      <c r="P208" s="97"/>
      <c r="Q208" s="100"/>
      <c r="R208" s="238"/>
      <c r="S208" s="100"/>
      <c r="T208" s="239"/>
    </row>
    <row r="209" spans="1:20">
      <c r="A209" s="208" t="s">
        <v>507</v>
      </c>
      <c r="B209" s="79" t="s">
        <v>528</v>
      </c>
      <c r="C209" s="207" t="s">
        <v>349</v>
      </c>
      <c r="D209" s="208" t="s">
        <v>565</v>
      </c>
      <c r="E209" s="79" t="s">
        <v>528</v>
      </c>
      <c r="F209" s="79" t="s">
        <v>528</v>
      </c>
      <c r="G209" s="79" t="s">
        <v>528</v>
      </c>
      <c r="H209" s="216">
        <v>1.48</v>
      </c>
      <c r="I209" s="200">
        <v>18.170000000000002</v>
      </c>
      <c r="J209" s="200">
        <v>80.34</v>
      </c>
      <c r="K209" s="200">
        <v>6.73</v>
      </c>
      <c r="L209" s="200">
        <v>18.760000000000002</v>
      </c>
      <c r="M209" s="100"/>
      <c r="N209" s="102"/>
      <c r="O209" s="97"/>
      <c r="P209" s="97"/>
      <c r="Q209" s="100"/>
      <c r="R209" s="238"/>
      <c r="S209" s="100"/>
      <c r="T209" s="239"/>
    </row>
    <row r="210" spans="1:20">
      <c r="A210" s="209" t="s">
        <v>509</v>
      </c>
      <c r="B210" s="79" t="s">
        <v>528</v>
      </c>
      <c r="C210" s="219" t="s">
        <v>349</v>
      </c>
      <c r="D210" s="209" t="s">
        <v>566</v>
      </c>
      <c r="E210" s="79" t="s">
        <v>528</v>
      </c>
      <c r="F210" s="79" t="s">
        <v>528</v>
      </c>
      <c r="G210" s="79" t="s">
        <v>528</v>
      </c>
      <c r="H210" s="216">
        <v>9.35</v>
      </c>
      <c r="I210" s="200">
        <v>14.54</v>
      </c>
      <c r="J210" s="200">
        <v>76.11</v>
      </c>
      <c r="K210" s="200">
        <v>8.19</v>
      </c>
      <c r="L210" s="200">
        <v>22.48</v>
      </c>
      <c r="M210" s="100"/>
      <c r="N210" s="102"/>
      <c r="O210" s="97"/>
      <c r="P210" s="97"/>
      <c r="Q210" s="100"/>
      <c r="R210" s="238"/>
      <c r="S210" s="100"/>
      <c r="T210" s="239"/>
    </row>
    <row r="211" spans="1:20">
      <c r="A211" s="208" t="s">
        <v>511</v>
      </c>
      <c r="B211" s="79" t="s">
        <v>528</v>
      </c>
      <c r="C211" s="207" t="s">
        <v>349</v>
      </c>
      <c r="D211" s="208" t="s">
        <v>567</v>
      </c>
      <c r="E211" s="79" t="s">
        <v>528</v>
      </c>
      <c r="F211" s="79" t="s">
        <v>528</v>
      </c>
      <c r="G211" s="79" t="s">
        <v>528</v>
      </c>
      <c r="H211" s="216">
        <v>5.66</v>
      </c>
      <c r="I211" s="200">
        <v>21.75</v>
      </c>
      <c r="J211" s="200">
        <v>72.59</v>
      </c>
      <c r="K211" s="200">
        <v>10.27</v>
      </c>
      <c r="L211" s="200">
        <v>23.28</v>
      </c>
      <c r="M211" s="100"/>
      <c r="N211" s="102"/>
      <c r="O211" s="97"/>
      <c r="P211" s="97"/>
      <c r="Q211" s="100"/>
      <c r="R211" s="238"/>
      <c r="S211" s="100"/>
      <c r="T211" s="239"/>
    </row>
    <row r="212" spans="1:20">
      <c r="A212" s="231"/>
      <c r="B212" s="232"/>
      <c r="C212" s="233"/>
      <c r="D212" s="234"/>
      <c r="E212" s="235"/>
      <c r="F212" s="232"/>
      <c r="G212" s="232"/>
      <c r="H212" s="236"/>
      <c r="I212" s="237"/>
      <c r="J212" s="259"/>
      <c r="K212" s="236"/>
      <c r="L212" s="100"/>
      <c r="M212" s="100"/>
      <c r="N212" s="102"/>
      <c r="O212" s="97"/>
      <c r="P212" s="97"/>
      <c r="Q212" s="100"/>
      <c r="R212" s="238"/>
      <c r="S212" s="100"/>
      <c r="T212" s="239"/>
    </row>
    <row r="213" spans="1:20">
      <c r="A213" s="231"/>
      <c r="B213" s="232"/>
      <c r="C213" s="233"/>
      <c r="D213" s="234"/>
      <c r="E213" s="235"/>
      <c r="F213" s="232"/>
      <c r="G213" s="232"/>
      <c r="H213" s="236"/>
      <c r="I213" s="237"/>
      <c r="J213" s="237"/>
      <c r="K213" s="236"/>
      <c r="L213" s="100"/>
      <c r="M213" s="100"/>
      <c r="N213" s="102"/>
      <c r="O213" s="97"/>
      <c r="P213" s="97"/>
      <c r="Q213" s="100"/>
      <c r="R213" s="238"/>
      <c r="S213" s="100"/>
      <c r="T213" s="239"/>
    </row>
    <row r="214" spans="1:20">
      <c r="F214" s="43" t="s">
        <v>289</v>
      </c>
      <c r="G214" s="106" t="s">
        <v>215</v>
      </c>
    </row>
    <row r="215" spans="1:20">
      <c r="A215" s="109" t="s">
        <v>568</v>
      </c>
      <c r="F215" s="43" t="s">
        <v>290</v>
      </c>
      <c r="G215" s="178" t="s">
        <v>28</v>
      </c>
    </row>
    <row r="216" spans="1:20" ht="25.5">
      <c r="F216" s="64" t="s">
        <v>294</v>
      </c>
      <c r="G216" s="178" t="s">
        <v>317</v>
      </c>
    </row>
    <row r="217" spans="1:20" ht="51">
      <c r="A217" s="226" t="s">
        <v>320</v>
      </c>
      <c r="B217" s="43" t="s">
        <v>321</v>
      </c>
      <c r="C217" s="225" t="s">
        <v>322</v>
      </c>
      <c r="D217" s="78" t="s">
        <v>569</v>
      </c>
      <c r="E217" s="77" t="s">
        <v>570</v>
      </c>
      <c r="F217" s="226" t="s">
        <v>571</v>
      </c>
      <c r="G217" s="80" t="s">
        <v>216</v>
      </c>
    </row>
    <row r="218" spans="1:20" ht="25.5">
      <c r="A218" s="223" t="s">
        <v>347</v>
      </c>
      <c r="B218" s="79" t="s">
        <v>528</v>
      </c>
      <c r="C218" s="223" t="s">
        <v>349</v>
      </c>
      <c r="D218" s="224" t="s">
        <v>572</v>
      </c>
      <c r="E218" s="224" t="s">
        <v>573</v>
      </c>
      <c r="F218" s="222">
        <v>1031</v>
      </c>
      <c r="G218" s="227">
        <v>1.88</v>
      </c>
    </row>
    <row r="219" spans="1:20">
      <c r="A219" s="190" t="s">
        <v>360</v>
      </c>
      <c r="B219" s="79" t="s">
        <v>528</v>
      </c>
      <c r="C219" s="190" t="s">
        <v>349</v>
      </c>
      <c r="D219" s="221" t="s">
        <v>360</v>
      </c>
      <c r="E219" s="221" t="s">
        <v>360</v>
      </c>
      <c r="F219" s="195">
        <v>2003</v>
      </c>
      <c r="G219" s="227">
        <v>1.26</v>
      </c>
    </row>
    <row r="220" spans="1:20">
      <c r="A220" s="190" t="s">
        <v>360</v>
      </c>
      <c r="B220" s="79" t="s">
        <v>528</v>
      </c>
      <c r="C220" s="190" t="s">
        <v>349</v>
      </c>
      <c r="D220" s="221" t="s">
        <v>362</v>
      </c>
      <c r="E220" s="221" t="s">
        <v>362</v>
      </c>
      <c r="F220" s="195">
        <v>2005</v>
      </c>
      <c r="G220" s="227">
        <v>1.82</v>
      </c>
    </row>
    <row r="221" spans="1:20">
      <c r="A221" s="190" t="s">
        <v>363</v>
      </c>
      <c r="B221" s="79" t="s">
        <v>528</v>
      </c>
      <c r="C221" s="190" t="s">
        <v>349</v>
      </c>
      <c r="D221" s="221" t="s">
        <v>364</v>
      </c>
      <c r="E221" s="221" t="s">
        <v>364</v>
      </c>
      <c r="F221" s="195">
        <v>3018</v>
      </c>
      <c r="G221" s="227">
        <v>0.67</v>
      </c>
    </row>
    <row r="222" spans="1:20">
      <c r="A222" s="190" t="s">
        <v>363</v>
      </c>
      <c r="B222" s="79" t="s">
        <v>528</v>
      </c>
      <c r="C222" s="190" t="s">
        <v>349</v>
      </c>
      <c r="D222" s="221" t="s">
        <v>366</v>
      </c>
      <c r="E222" s="221" t="s">
        <v>366</v>
      </c>
      <c r="F222" s="195">
        <v>3064</v>
      </c>
      <c r="G222" s="227">
        <v>1.59</v>
      </c>
    </row>
    <row r="223" spans="1:20">
      <c r="A223" s="190" t="s">
        <v>363</v>
      </c>
      <c r="B223" s="79" t="s">
        <v>528</v>
      </c>
      <c r="C223" s="190" t="s">
        <v>349</v>
      </c>
      <c r="D223" s="221" t="s">
        <v>368</v>
      </c>
      <c r="E223" s="221" t="s">
        <v>368</v>
      </c>
      <c r="F223" s="195">
        <v>3068</v>
      </c>
      <c r="G223" s="227">
        <v>3.43</v>
      </c>
    </row>
    <row r="224" spans="1:20" ht="25.5">
      <c r="A224" s="190" t="s">
        <v>369</v>
      </c>
      <c r="B224" s="79" t="s">
        <v>528</v>
      </c>
      <c r="C224" s="190" t="s">
        <v>349</v>
      </c>
      <c r="D224" s="221" t="s">
        <v>574</v>
      </c>
      <c r="E224" s="221" t="s">
        <v>575</v>
      </c>
      <c r="F224" s="195">
        <v>4107</v>
      </c>
      <c r="G224" s="227">
        <v>3.29</v>
      </c>
    </row>
    <row r="225" spans="1:7">
      <c r="A225" s="190" t="s">
        <v>369</v>
      </c>
      <c r="B225" s="79" t="s">
        <v>528</v>
      </c>
      <c r="C225" s="190" t="s">
        <v>349</v>
      </c>
      <c r="D225" s="221" t="s">
        <v>374</v>
      </c>
      <c r="E225" s="221" t="s">
        <v>374</v>
      </c>
      <c r="F225" s="195">
        <v>4144</v>
      </c>
      <c r="G225" s="227">
        <v>1.89</v>
      </c>
    </row>
    <row r="226" spans="1:7">
      <c r="A226" s="190" t="s">
        <v>375</v>
      </c>
      <c r="B226" s="79" t="s">
        <v>528</v>
      </c>
      <c r="C226" s="190" t="s">
        <v>349</v>
      </c>
      <c r="D226" s="221" t="s">
        <v>377</v>
      </c>
      <c r="E226" s="221" t="s">
        <v>377</v>
      </c>
      <c r="F226" s="195">
        <v>5006</v>
      </c>
      <c r="G226" s="227">
        <v>2.98</v>
      </c>
    </row>
    <row r="227" spans="1:7" ht="38.25">
      <c r="A227" s="190" t="s">
        <v>375</v>
      </c>
      <c r="B227" s="79" t="s">
        <v>528</v>
      </c>
      <c r="C227" s="190" t="s">
        <v>376</v>
      </c>
      <c r="D227" s="221" t="s">
        <v>576</v>
      </c>
      <c r="E227" s="221" t="s">
        <v>376</v>
      </c>
      <c r="F227" s="195">
        <v>5025</v>
      </c>
      <c r="G227" s="227">
        <v>0.61</v>
      </c>
    </row>
    <row r="228" spans="1:7">
      <c r="A228" s="190" t="s">
        <v>375</v>
      </c>
      <c r="B228" s="79" t="s">
        <v>528</v>
      </c>
      <c r="C228" s="190" t="s">
        <v>349</v>
      </c>
      <c r="D228" s="221" t="s">
        <v>398</v>
      </c>
      <c r="E228" s="221" t="s">
        <v>398</v>
      </c>
      <c r="F228" s="195">
        <v>5044</v>
      </c>
      <c r="G228" s="227">
        <v>0.86</v>
      </c>
    </row>
    <row r="229" spans="1:7" ht="25.5">
      <c r="A229" s="190" t="s">
        <v>375</v>
      </c>
      <c r="B229" s="79" t="s">
        <v>528</v>
      </c>
      <c r="C229" s="190" t="s">
        <v>349</v>
      </c>
      <c r="D229" s="221" t="s">
        <v>577</v>
      </c>
      <c r="E229" s="221" t="s">
        <v>578</v>
      </c>
      <c r="F229" s="195">
        <v>5049</v>
      </c>
      <c r="G229" s="227">
        <v>1.03</v>
      </c>
    </row>
    <row r="230" spans="1:7">
      <c r="A230" s="190" t="s">
        <v>375</v>
      </c>
      <c r="B230" s="79" t="s">
        <v>528</v>
      </c>
      <c r="C230" s="190" t="s">
        <v>349</v>
      </c>
      <c r="D230" s="221" t="s">
        <v>579</v>
      </c>
      <c r="E230" s="221" t="s">
        <v>399</v>
      </c>
      <c r="F230" s="195">
        <v>5059</v>
      </c>
      <c r="G230" s="227">
        <v>0.96</v>
      </c>
    </row>
    <row r="231" spans="1:7">
      <c r="A231" s="190" t="s">
        <v>375</v>
      </c>
      <c r="B231" s="79" t="s">
        <v>528</v>
      </c>
      <c r="C231" s="190" t="s">
        <v>349</v>
      </c>
      <c r="D231" s="221" t="s">
        <v>379</v>
      </c>
      <c r="E231" s="221" t="s">
        <v>379</v>
      </c>
      <c r="F231" s="195">
        <v>5069</v>
      </c>
      <c r="G231" s="227">
        <v>7.61</v>
      </c>
    </row>
    <row r="232" spans="1:7" ht="38.25">
      <c r="A232" s="190" t="s">
        <v>375</v>
      </c>
      <c r="B232" s="79" t="s">
        <v>528</v>
      </c>
      <c r="C232" s="190" t="s">
        <v>349</v>
      </c>
      <c r="D232" s="221" t="s">
        <v>580</v>
      </c>
      <c r="E232" s="221" t="s">
        <v>581</v>
      </c>
      <c r="F232" s="195">
        <v>5074</v>
      </c>
      <c r="G232" s="227">
        <v>1.73</v>
      </c>
    </row>
    <row r="233" spans="1:7">
      <c r="A233" s="190" t="s">
        <v>375</v>
      </c>
      <c r="B233" s="79" t="s">
        <v>528</v>
      </c>
      <c r="C233" s="190" t="s">
        <v>349</v>
      </c>
      <c r="D233" s="221" t="s">
        <v>380</v>
      </c>
      <c r="E233" s="221" t="s">
        <v>380</v>
      </c>
      <c r="F233" s="195">
        <v>5077</v>
      </c>
      <c r="G233" s="227">
        <v>1.08</v>
      </c>
    </row>
    <row r="234" spans="1:7" ht="38.25">
      <c r="A234" s="190" t="s">
        <v>375</v>
      </c>
      <c r="B234" s="79" t="s">
        <v>528</v>
      </c>
      <c r="C234" s="190" t="s">
        <v>349</v>
      </c>
      <c r="D234" s="221" t="s">
        <v>582</v>
      </c>
      <c r="E234" s="221" t="s">
        <v>583</v>
      </c>
      <c r="F234" s="195">
        <v>5080</v>
      </c>
      <c r="G234" s="227">
        <v>1.05</v>
      </c>
    </row>
    <row r="235" spans="1:7">
      <c r="A235" s="190" t="s">
        <v>375</v>
      </c>
      <c r="B235" s="79" t="s">
        <v>528</v>
      </c>
      <c r="C235" s="190" t="s">
        <v>349</v>
      </c>
      <c r="D235" s="221" t="s">
        <v>384</v>
      </c>
      <c r="E235" s="221" t="s">
        <v>384</v>
      </c>
      <c r="F235" s="195">
        <v>5081</v>
      </c>
      <c r="G235" s="227">
        <v>1.57</v>
      </c>
    </row>
    <row r="236" spans="1:7">
      <c r="A236" s="190" t="s">
        <v>375</v>
      </c>
      <c r="B236" s="79" t="s">
        <v>528</v>
      </c>
      <c r="C236" s="190" t="s">
        <v>349</v>
      </c>
      <c r="D236" s="221" t="s">
        <v>395</v>
      </c>
      <c r="E236" s="221" t="s">
        <v>395</v>
      </c>
      <c r="F236" s="195">
        <v>5082</v>
      </c>
      <c r="G236" s="227">
        <v>1.44</v>
      </c>
    </row>
    <row r="237" spans="1:7">
      <c r="A237" s="190" t="s">
        <v>375</v>
      </c>
      <c r="B237" s="79" t="s">
        <v>528</v>
      </c>
      <c r="C237" s="190" t="s">
        <v>349</v>
      </c>
      <c r="D237" s="221" t="s">
        <v>393</v>
      </c>
      <c r="E237" s="221" t="s">
        <v>393</v>
      </c>
      <c r="F237" s="195">
        <v>5091</v>
      </c>
      <c r="G237" s="227">
        <v>4.09</v>
      </c>
    </row>
    <row r="238" spans="1:7" ht="38.25">
      <c r="A238" s="190" t="s">
        <v>401</v>
      </c>
      <c r="B238" s="79" t="s">
        <v>528</v>
      </c>
      <c r="C238" s="190" t="s">
        <v>349</v>
      </c>
      <c r="D238" s="221" t="s">
        <v>584</v>
      </c>
      <c r="E238" s="221" t="s">
        <v>585</v>
      </c>
      <c r="F238" s="195">
        <v>6089</v>
      </c>
      <c r="G238" s="227">
        <v>3.56</v>
      </c>
    </row>
    <row r="239" spans="1:7">
      <c r="A239" s="190" t="s">
        <v>401</v>
      </c>
      <c r="B239" s="79" t="s">
        <v>528</v>
      </c>
      <c r="C239" s="190" t="s">
        <v>349</v>
      </c>
      <c r="D239" s="221" t="s">
        <v>406</v>
      </c>
      <c r="E239" s="221" t="s">
        <v>406</v>
      </c>
      <c r="F239" s="195">
        <v>6092</v>
      </c>
      <c r="G239" s="227">
        <v>4.04</v>
      </c>
    </row>
    <row r="240" spans="1:7">
      <c r="A240" s="190" t="s">
        <v>401</v>
      </c>
      <c r="B240" s="79" t="s">
        <v>528</v>
      </c>
      <c r="C240" s="190" t="s">
        <v>349</v>
      </c>
      <c r="D240" s="221" t="s">
        <v>408</v>
      </c>
      <c r="E240" s="221" t="s">
        <v>408</v>
      </c>
      <c r="F240" s="195">
        <v>6099</v>
      </c>
      <c r="G240" s="227">
        <v>2.2200000000000002</v>
      </c>
    </row>
    <row r="241" spans="1:7">
      <c r="A241" s="190" t="s">
        <v>409</v>
      </c>
      <c r="B241" s="79" t="s">
        <v>528</v>
      </c>
      <c r="C241" s="190" t="s">
        <v>349</v>
      </c>
      <c r="D241" s="221" t="s">
        <v>412</v>
      </c>
      <c r="E241" s="221" t="s">
        <v>412</v>
      </c>
      <c r="F241" s="195">
        <v>7016</v>
      </c>
      <c r="G241" s="227">
        <v>3.29</v>
      </c>
    </row>
    <row r="242" spans="1:7">
      <c r="A242" s="190" t="s">
        <v>409</v>
      </c>
      <c r="B242" s="79" t="s">
        <v>528</v>
      </c>
      <c r="C242" s="190" t="s">
        <v>349</v>
      </c>
      <c r="D242" s="221" t="s">
        <v>413</v>
      </c>
      <c r="E242" s="221" t="s">
        <v>413</v>
      </c>
      <c r="F242" s="195">
        <v>7024</v>
      </c>
      <c r="G242" s="227">
        <v>4.5599999999999996</v>
      </c>
    </row>
    <row r="243" spans="1:7">
      <c r="A243" s="190" t="s">
        <v>409</v>
      </c>
      <c r="B243" s="79" t="s">
        <v>528</v>
      </c>
      <c r="C243" s="190" t="s">
        <v>349</v>
      </c>
      <c r="D243" s="221" t="s">
        <v>417</v>
      </c>
      <c r="E243" s="221" t="s">
        <v>417</v>
      </c>
      <c r="F243" s="195">
        <v>7055</v>
      </c>
      <c r="G243" s="227">
        <v>1.66</v>
      </c>
    </row>
    <row r="244" spans="1:7" ht="25.5">
      <c r="A244" s="190" t="s">
        <v>409</v>
      </c>
      <c r="B244" s="79" t="s">
        <v>528</v>
      </c>
      <c r="C244" s="190" t="s">
        <v>349</v>
      </c>
      <c r="D244" s="221" t="s">
        <v>586</v>
      </c>
      <c r="E244" s="221" t="s">
        <v>409</v>
      </c>
      <c r="F244" s="195">
        <v>7066</v>
      </c>
      <c r="G244" s="227">
        <v>2.5299999999999998</v>
      </c>
    </row>
    <row r="245" spans="1:7">
      <c r="A245" s="190" t="s">
        <v>409</v>
      </c>
      <c r="B245" s="79" t="s">
        <v>528</v>
      </c>
      <c r="C245" s="190" t="s">
        <v>349</v>
      </c>
      <c r="D245" s="221" t="s">
        <v>415</v>
      </c>
      <c r="E245" s="221" t="s">
        <v>415</v>
      </c>
      <c r="F245" s="195">
        <v>7089</v>
      </c>
      <c r="G245" s="227">
        <v>4.62</v>
      </c>
    </row>
    <row r="246" spans="1:7">
      <c r="A246" s="190" t="s">
        <v>409</v>
      </c>
      <c r="B246" s="79" t="s">
        <v>528</v>
      </c>
      <c r="C246" s="190" t="s">
        <v>349</v>
      </c>
      <c r="D246" s="221" t="s">
        <v>416</v>
      </c>
      <c r="E246" s="221" t="s">
        <v>416</v>
      </c>
      <c r="F246" s="195">
        <v>7091</v>
      </c>
      <c r="G246" s="227">
        <v>2.27</v>
      </c>
    </row>
    <row r="247" spans="1:7">
      <c r="A247" s="190" t="s">
        <v>409</v>
      </c>
      <c r="B247" s="79" t="s">
        <v>528</v>
      </c>
      <c r="C247" s="190" t="s">
        <v>349</v>
      </c>
      <c r="D247" s="221" t="s">
        <v>587</v>
      </c>
      <c r="E247" s="221" t="s">
        <v>588</v>
      </c>
      <c r="F247" s="195">
        <v>7110</v>
      </c>
      <c r="G247" s="227">
        <v>2.89</v>
      </c>
    </row>
    <row r="248" spans="1:7" ht="25.5">
      <c r="A248" s="190" t="s">
        <v>418</v>
      </c>
      <c r="B248" s="79" t="s">
        <v>528</v>
      </c>
      <c r="C248" s="190" t="s">
        <v>420</v>
      </c>
      <c r="D248" s="221" t="s">
        <v>589</v>
      </c>
      <c r="E248" s="221" t="s">
        <v>420</v>
      </c>
      <c r="F248" s="195">
        <v>8025</v>
      </c>
      <c r="G248" s="227">
        <v>1.87</v>
      </c>
    </row>
    <row r="249" spans="1:7">
      <c r="A249" s="190" t="s">
        <v>418</v>
      </c>
      <c r="B249" s="79" t="s">
        <v>528</v>
      </c>
      <c r="C249" s="190" t="s">
        <v>349</v>
      </c>
      <c r="D249" s="221" t="s">
        <v>423</v>
      </c>
      <c r="E249" s="221" t="s">
        <v>423</v>
      </c>
      <c r="F249" s="195">
        <v>8026</v>
      </c>
      <c r="G249" s="227">
        <v>4.9400000000000004</v>
      </c>
    </row>
    <row r="250" spans="1:7">
      <c r="A250" s="190" t="s">
        <v>418</v>
      </c>
      <c r="B250" s="79" t="s">
        <v>528</v>
      </c>
      <c r="C250" s="190" t="s">
        <v>349</v>
      </c>
      <c r="D250" s="221" t="s">
        <v>432</v>
      </c>
      <c r="E250" s="221" t="s">
        <v>432</v>
      </c>
      <c r="F250" s="195">
        <v>8036</v>
      </c>
      <c r="G250" s="227">
        <v>6.89</v>
      </c>
    </row>
    <row r="251" spans="1:7">
      <c r="A251" s="190" t="s">
        <v>418</v>
      </c>
      <c r="B251" s="79" t="s">
        <v>528</v>
      </c>
      <c r="C251" s="190" t="s">
        <v>349</v>
      </c>
      <c r="D251" s="221" t="s">
        <v>424</v>
      </c>
      <c r="E251" s="221" t="s">
        <v>424</v>
      </c>
      <c r="F251" s="195">
        <v>8037</v>
      </c>
      <c r="G251" s="227">
        <v>0.27</v>
      </c>
    </row>
    <row r="252" spans="1:7">
      <c r="A252" s="190" t="s">
        <v>418</v>
      </c>
      <c r="B252" s="79" t="s">
        <v>528</v>
      </c>
      <c r="C252" s="190" t="s">
        <v>349</v>
      </c>
      <c r="D252" s="221" t="s">
        <v>433</v>
      </c>
      <c r="E252" s="221" t="s">
        <v>433</v>
      </c>
      <c r="F252" s="195">
        <v>8042</v>
      </c>
      <c r="G252" s="227">
        <v>0.74</v>
      </c>
    </row>
    <row r="253" spans="1:7">
      <c r="A253" s="190" t="s">
        <v>418</v>
      </c>
      <c r="B253" s="79" t="s">
        <v>528</v>
      </c>
      <c r="C253" s="190" t="s">
        <v>349</v>
      </c>
      <c r="D253" s="221" t="s">
        <v>427</v>
      </c>
      <c r="E253" s="221" t="s">
        <v>427</v>
      </c>
      <c r="F253" s="195">
        <v>8068</v>
      </c>
      <c r="G253" s="227">
        <v>3.26</v>
      </c>
    </row>
    <row r="254" spans="1:7">
      <c r="A254" s="190" t="s">
        <v>418</v>
      </c>
      <c r="B254" s="79" t="s">
        <v>528</v>
      </c>
      <c r="C254" s="190" t="s">
        <v>349</v>
      </c>
      <c r="D254" s="221" t="s">
        <v>429</v>
      </c>
      <c r="E254" s="221" t="s">
        <v>429</v>
      </c>
      <c r="F254" s="195">
        <v>8072</v>
      </c>
      <c r="G254" s="227">
        <v>0.99</v>
      </c>
    </row>
    <row r="255" spans="1:7">
      <c r="A255" s="190" t="s">
        <v>590</v>
      </c>
      <c r="B255" s="79" t="s">
        <v>528</v>
      </c>
      <c r="C255" s="190" t="s">
        <v>349</v>
      </c>
      <c r="D255" s="221" t="s">
        <v>441</v>
      </c>
      <c r="E255" s="221" t="s">
        <v>441</v>
      </c>
      <c r="F255" s="195">
        <v>9001</v>
      </c>
      <c r="G255" s="227">
        <v>1.21</v>
      </c>
    </row>
    <row r="256" spans="1:7" ht="25.5">
      <c r="A256" s="190" t="s">
        <v>590</v>
      </c>
      <c r="B256" s="79" t="s">
        <v>528</v>
      </c>
      <c r="C256" s="190" t="s">
        <v>349</v>
      </c>
      <c r="D256" s="221" t="s">
        <v>591</v>
      </c>
      <c r="E256" s="221" t="s">
        <v>592</v>
      </c>
      <c r="F256" s="195">
        <v>9068</v>
      </c>
      <c r="G256" s="227">
        <v>1.76</v>
      </c>
    </row>
    <row r="257" spans="1:7">
      <c r="A257" s="190" t="s">
        <v>590</v>
      </c>
      <c r="B257" s="79" t="s">
        <v>528</v>
      </c>
      <c r="C257" s="190" t="s">
        <v>349</v>
      </c>
      <c r="D257" s="221" t="s">
        <v>439</v>
      </c>
      <c r="E257" s="221" t="s">
        <v>439</v>
      </c>
      <c r="F257" s="195">
        <v>9081</v>
      </c>
      <c r="G257" s="227">
        <v>0.94</v>
      </c>
    </row>
    <row r="258" spans="1:7">
      <c r="A258" s="190" t="s">
        <v>442</v>
      </c>
      <c r="B258" s="79" t="s">
        <v>528</v>
      </c>
      <c r="C258" s="190" t="s">
        <v>349</v>
      </c>
      <c r="D258" s="221" t="s">
        <v>448</v>
      </c>
      <c r="E258" s="221" t="s">
        <v>448</v>
      </c>
      <c r="F258" s="195">
        <v>10010</v>
      </c>
      <c r="G258" s="227">
        <v>3.65</v>
      </c>
    </row>
    <row r="259" spans="1:7">
      <c r="A259" s="190" t="s">
        <v>442</v>
      </c>
      <c r="B259" s="79" t="s">
        <v>528</v>
      </c>
      <c r="C259" s="190" t="s">
        <v>349</v>
      </c>
      <c r="D259" s="221" t="s">
        <v>449</v>
      </c>
      <c r="E259" s="221" t="s">
        <v>449</v>
      </c>
      <c r="F259" s="195">
        <v>10039</v>
      </c>
      <c r="G259" s="227">
        <v>1.82</v>
      </c>
    </row>
    <row r="260" spans="1:7">
      <c r="A260" s="190" t="s">
        <v>442</v>
      </c>
      <c r="B260" s="79" t="s">
        <v>528</v>
      </c>
      <c r="C260" s="190" t="s">
        <v>349</v>
      </c>
      <c r="D260" s="221" t="s">
        <v>445</v>
      </c>
      <c r="E260" s="221" t="s">
        <v>445</v>
      </c>
      <c r="F260" s="195">
        <v>10048</v>
      </c>
      <c r="G260" s="227">
        <v>3.35</v>
      </c>
    </row>
    <row r="261" spans="1:7">
      <c r="A261" s="190" t="s">
        <v>442</v>
      </c>
      <c r="B261" s="79" t="s">
        <v>528</v>
      </c>
      <c r="C261" s="190" t="s">
        <v>349</v>
      </c>
      <c r="D261" s="221" t="s">
        <v>446</v>
      </c>
      <c r="E261" s="221" t="s">
        <v>446</v>
      </c>
      <c r="F261" s="195">
        <v>10051</v>
      </c>
      <c r="G261" s="227">
        <v>7.64</v>
      </c>
    </row>
    <row r="262" spans="1:7">
      <c r="A262" s="190" t="s">
        <v>450</v>
      </c>
      <c r="B262" s="79" t="s">
        <v>528</v>
      </c>
      <c r="C262" s="190" t="s">
        <v>349</v>
      </c>
      <c r="D262" s="221" t="s">
        <v>451</v>
      </c>
      <c r="E262" s="221" t="s">
        <v>451</v>
      </c>
      <c r="F262" s="195">
        <v>11007</v>
      </c>
      <c r="G262" s="227">
        <v>2.44</v>
      </c>
    </row>
    <row r="263" spans="1:7">
      <c r="A263" s="190" t="s">
        <v>452</v>
      </c>
      <c r="B263" s="79" t="s">
        <v>528</v>
      </c>
      <c r="C263" s="190" t="s">
        <v>349</v>
      </c>
      <c r="D263" s="221" t="s">
        <v>453</v>
      </c>
      <c r="E263" s="221" t="s">
        <v>453</v>
      </c>
      <c r="F263" s="195">
        <v>12011</v>
      </c>
      <c r="G263" s="227">
        <v>1.92</v>
      </c>
    </row>
    <row r="264" spans="1:7" ht="51">
      <c r="A264" s="190" t="s">
        <v>454</v>
      </c>
      <c r="B264" s="79" t="s">
        <v>528</v>
      </c>
      <c r="C264" s="190" t="s">
        <v>349</v>
      </c>
      <c r="D264" s="221" t="s">
        <v>593</v>
      </c>
      <c r="E264" s="221" t="s">
        <v>594</v>
      </c>
      <c r="F264" s="195">
        <v>13004</v>
      </c>
      <c r="G264" s="227">
        <v>13.03</v>
      </c>
    </row>
    <row r="265" spans="1:7">
      <c r="A265" s="190" t="s">
        <v>454</v>
      </c>
      <c r="B265" s="79" t="s">
        <v>528</v>
      </c>
      <c r="C265" s="190" t="s">
        <v>349</v>
      </c>
      <c r="D265" s="221" t="s">
        <v>595</v>
      </c>
      <c r="E265" s="221" t="s">
        <v>596</v>
      </c>
      <c r="F265" s="195">
        <v>13007</v>
      </c>
      <c r="G265" s="227">
        <v>4.16</v>
      </c>
    </row>
    <row r="266" spans="1:7" ht="25.5">
      <c r="A266" s="190" t="s">
        <v>454</v>
      </c>
      <c r="B266" s="79" t="s">
        <v>528</v>
      </c>
      <c r="C266" s="190" t="s">
        <v>349</v>
      </c>
      <c r="D266" s="221" t="s">
        <v>597</v>
      </c>
      <c r="E266" s="221" t="s">
        <v>493</v>
      </c>
      <c r="F266" s="195">
        <v>13016</v>
      </c>
      <c r="G266" s="227">
        <v>2.63</v>
      </c>
    </row>
    <row r="267" spans="1:7">
      <c r="A267" s="190" t="s">
        <v>454</v>
      </c>
      <c r="B267" s="79" t="s">
        <v>528</v>
      </c>
      <c r="C267" s="190" t="s">
        <v>349</v>
      </c>
      <c r="D267" s="221" t="s">
        <v>503</v>
      </c>
      <c r="E267" s="221" t="s">
        <v>503</v>
      </c>
      <c r="F267" s="195">
        <v>13022</v>
      </c>
      <c r="G267" s="227">
        <v>2.57</v>
      </c>
    </row>
    <row r="268" spans="1:7" ht="191.25">
      <c r="A268" s="190" t="s">
        <v>454</v>
      </c>
      <c r="B268" s="79" t="s">
        <v>528</v>
      </c>
      <c r="C268" s="190" t="s">
        <v>456</v>
      </c>
      <c r="D268" s="221" t="s">
        <v>598</v>
      </c>
      <c r="E268" s="221" t="s">
        <v>456</v>
      </c>
      <c r="F268" s="195">
        <v>13029</v>
      </c>
      <c r="G268" s="227">
        <v>1.31</v>
      </c>
    </row>
    <row r="269" spans="1:7">
      <c r="A269" s="190" t="s">
        <v>454</v>
      </c>
      <c r="B269" s="79" t="s">
        <v>528</v>
      </c>
      <c r="C269" s="190" t="s">
        <v>349</v>
      </c>
      <c r="D269" s="221" t="s">
        <v>504</v>
      </c>
      <c r="E269" s="221" t="s">
        <v>504</v>
      </c>
      <c r="F269" s="195">
        <v>13033</v>
      </c>
      <c r="G269" s="227">
        <v>5.22</v>
      </c>
    </row>
    <row r="270" spans="1:7" ht="25.5">
      <c r="A270" s="190" t="s">
        <v>454</v>
      </c>
      <c r="B270" s="79" t="s">
        <v>528</v>
      </c>
      <c r="C270" s="190" t="s">
        <v>349</v>
      </c>
      <c r="D270" s="221" t="s">
        <v>599</v>
      </c>
      <c r="E270" s="221" t="s">
        <v>494</v>
      </c>
      <c r="F270" s="195">
        <v>13038</v>
      </c>
      <c r="G270" s="227">
        <v>3.74</v>
      </c>
    </row>
    <row r="271" spans="1:7">
      <c r="A271" s="190" t="s">
        <v>454</v>
      </c>
      <c r="B271" s="79" t="s">
        <v>528</v>
      </c>
      <c r="C271" s="190" t="s">
        <v>349</v>
      </c>
      <c r="D271" s="221" t="s">
        <v>501</v>
      </c>
      <c r="E271" s="221" t="s">
        <v>501</v>
      </c>
      <c r="F271" s="195">
        <v>13047</v>
      </c>
      <c r="G271" s="227">
        <v>2.82</v>
      </c>
    </row>
    <row r="272" spans="1:7">
      <c r="A272" s="190" t="s">
        <v>454</v>
      </c>
      <c r="B272" s="79" t="s">
        <v>528</v>
      </c>
      <c r="C272" s="190" t="s">
        <v>349</v>
      </c>
      <c r="D272" s="221" t="s">
        <v>490</v>
      </c>
      <c r="E272" s="221" t="s">
        <v>490</v>
      </c>
      <c r="F272" s="195">
        <v>13051</v>
      </c>
      <c r="G272" s="227">
        <v>0.22</v>
      </c>
    </row>
    <row r="273" spans="1:7" ht="25.5">
      <c r="A273" s="190" t="s">
        <v>454</v>
      </c>
      <c r="B273" s="79" t="s">
        <v>528</v>
      </c>
      <c r="C273" s="190" t="s">
        <v>349</v>
      </c>
      <c r="D273" s="221" t="s">
        <v>491</v>
      </c>
      <c r="E273" s="221" t="s">
        <v>491</v>
      </c>
      <c r="F273" s="195">
        <v>13059</v>
      </c>
      <c r="G273" s="227">
        <v>1.93</v>
      </c>
    </row>
    <row r="274" spans="1:7">
      <c r="A274" s="190" t="s">
        <v>454</v>
      </c>
      <c r="B274" s="79" t="s">
        <v>528</v>
      </c>
      <c r="C274" s="190" t="s">
        <v>349</v>
      </c>
      <c r="D274" s="221" t="s">
        <v>495</v>
      </c>
      <c r="E274" s="221" t="s">
        <v>495</v>
      </c>
      <c r="F274" s="195">
        <v>13072</v>
      </c>
      <c r="G274" s="227">
        <v>1.1200000000000001</v>
      </c>
    </row>
    <row r="275" spans="1:7">
      <c r="A275" s="190" t="s">
        <v>507</v>
      </c>
      <c r="B275" s="79" t="s">
        <v>528</v>
      </c>
      <c r="C275" s="190" t="s">
        <v>349</v>
      </c>
      <c r="D275" s="221" t="s">
        <v>508</v>
      </c>
      <c r="E275" s="221" t="s">
        <v>508</v>
      </c>
      <c r="F275" s="195">
        <v>14039</v>
      </c>
      <c r="G275" s="227">
        <v>2.88</v>
      </c>
    </row>
    <row r="276" spans="1:7">
      <c r="A276" s="190" t="s">
        <v>509</v>
      </c>
      <c r="B276" s="79" t="s">
        <v>528</v>
      </c>
      <c r="C276" s="190" t="s">
        <v>349</v>
      </c>
      <c r="D276" s="221" t="s">
        <v>510</v>
      </c>
      <c r="E276" s="221" t="s">
        <v>510</v>
      </c>
      <c r="F276" s="195">
        <v>15002</v>
      </c>
      <c r="G276" s="227">
        <v>3.26</v>
      </c>
    </row>
    <row r="277" spans="1:7" ht="25.5">
      <c r="A277" s="190" t="s">
        <v>511</v>
      </c>
      <c r="B277" s="79" t="s">
        <v>528</v>
      </c>
      <c r="C277" s="190" t="s">
        <v>349</v>
      </c>
      <c r="D277" s="221" t="s">
        <v>600</v>
      </c>
      <c r="E277" s="221" t="s">
        <v>600</v>
      </c>
      <c r="F277" s="195">
        <v>16006</v>
      </c>
      <c r="G277" s="227">
        <v>2.5099999999999998</v>
      </c>
    </row>
    <row r="278" spans="1:7">
      <c r="A278" s="190" t="s">
        <v>511</v>
      </c>
      <c r="B278" s="79" t="s">
        <v>528</v>
      </c>
      <c r="C278" s="190" t="s">
        <v>349</v>
      </c>
      <c r="D278" s="221" t="s">
        <v>517</v>
      </c>
      <c r="E278" s="221" t="s">
        <v>517</v>
      </c>
      <c r="F278" s="195">
        <v>16035</v>
      </c>
      <c r="G278" s="227">
        <v>3.28</v>
      </c>
    </row>
  </sheetData>
  <sheetProtection password="DE6E" sheet="1" objects="1" scenarios="1"/>
  <mergeCells count="1">
    <mergeCell ref="N179:Q180"/>
  </mergeCells>
  <dataValidations count="1">
    <dataValidation allowBlank="1" showInputMessage="1" showErrorMessage="1" sqref="F4:G7" xr:uid="{00000000-0002-0000-0100-000000000000}"/>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4">
    <tabColor theme="3"/>
  </sheetPr>
  <dimension ref="A1:CD278"/>
  <sheetViews>
    <sheetView showGridLines="0" workbookViewId="0">
      <pane ySplit="8" topLeftCell="A9" activePane="bottomLeft" state="frozen"/>
      <selection pane="bottomLeft" activeCell="D12" sqref="D12"/>
    </sheetView>
  </sheetViews>
  <sheetFormatPr defaultColWidth="11.42578125" defaultRowHeight="15"/>
  <cols>
    <col min="1" max="1" width="18.7109375" customWidth="1"/>
    <col min="2" max="2" width="22.7109375" customWidth="1"/>
    <col min="3" max="3" width="18.7109375" customWidth="1"/>
    <col min="4" max="4" width="38.7109375" customWidth="1"/>
    <col min="5" max="5" width="15.7109375" customWidth="1"/>
    <col min="6" max="6" width="19.7109375" customWidth="1"/>
    <col min="7" max="7" width="15.7109375" customWidth="1"/>
    <col min="8" max="82" width="19.7109375" customWidth="1"/>
    <col min="83" max="83" width="15.7109375" customWidth="1"/>
  </cols>
  <sheetData>
    <row r="1" spans="1:82" ht="60" customHeight="1">
      <c r="A1" s="22" t="s">
        <v>0</v>
      </c>
      <c r="B1" s="32"/>
      <c r="C1" s="11"/>
      <c r="D1" s="11"/>
      <c r="E1" s="11"/>
      <c r="F1" s="11"/>
      <c r="G1" s="11"/>
      <c r="H1" s="11"/>
      <c r="I1" s="11"/>
      <c r="J1" s="11"/>
      <c r="K1" s="11"/>
      <c r="L1" s="11"/>
      <c r="M1" s="11"/>
    </row>
    <row r="2" spans="1:82" ht="60" customHeight="1">
      <c r="A2" s="22"/>
      <c r="B2" s="32"/>
      <c r="C2" s="11"/>
      <c r="D2" s="11"/>
      <c r="E2" s="11"/>
      <c r="F2" s="11"/>
      <c r="G2" s="11"/>
      <c r="H2" s="11"/>
      <c r="I2" s="11"/>
      <c r="J2" s="11"/>
      <c r="K2" s="11"/>
      <c r="L2" s="11"/>
      <c r="M2" s="11"/>
    </row>
    <row r="3" spans="1:82">
      <c r="A3" s="1"/>
      <c r="B3" s="1"/>
      <c r="C3" s="1"/>
      <c r="D3" s="1"/>
      <c r="E3" s="1"/>
      <c r="F3" s="1"/>
      <c r="G3" s="1"/>
      <c r="H3" s="1"/>
      <c r="I3" s="1"/>
      <c r="J3" s="1"/>
      <c r="K3" s="1"/>
      <c r="L3" s="1"/>
      <c r="M3" s="1"/>
    </row>
    <row r="4" spans="1:82">
      <c r="A4" s="1"/>
      <c r="B4" s="267" t="s">
        <v>286</v>
      </c>
      <c r="C4" s="267"/>
      <c r="D4" s="267"/>
      <c r="E4" s="267"/>
      <c r="F4" s="1"/>
      <c r="G4" s="1"/>
      <c r="H4" s="1"/>
      <c r="I4" s="1"/>
      <c r="J4" s="1"/>
      <c r="K4" s="1"/>
      <c r="L4" s="1"/>
      <c r="M4" s="1"/>
    </row>
    <row r="5" spans="1:82">
      <c r="A5" s="1"/>
      <c r="B5" s="203"/>
      <c r="C5" s="203"/>
      <c r="D5" s="203"/>
      <c r="E5" s="203"/>
      <c r="F5" s="1"/>
      <c r="G5" s="1"/>
      <c r="H5" s="1"/>
      <c r="I5" s="1"/>
      <c r="J5" s="1"/>
      <c r="K5" s="1"/>
      <c r="L5" s="1"/>
      <c r="M5" s="1"/>
    </row>
    <row r="6" spans="1:82">
      <c r="A6" s="267" t="s">
        <v>287</v>
      </c>
      <c r="B6" s="203"/>
      <c r="C6" s="203"/>
      <c r="D6" s="203"/>
      <c r="E6" s="203"/>
      <c r="F6" s="1"/>
      <c r="G6" s="1"/>
      <c r="H6" s="1"/>
      <c r="I6" s="1"/>
      <c r="J6" s="1"/>
      <c r="K6" s="1"/>
      <c r="L6" s="1"/>
      <c r="M6" s="1"/>
    </row>
    <row r="7" spans="1:82">
      <c r="A7" s="267" t="s">
        <v>288</v>
      </c>
      <c r="B7" s="203"/>
      <c r="C7" s="203"/>
      <c r="D7" s="203"/>
      <c r="E7" s="203"/>
      <c r="F7" s="1"/>
      <c r="G7" s="1"/>
      <c r="H7" s="1"/>
      <c r="I7" s="1"/>
      <c r="J7" s="1"/>
      <c r="K7" s="1"/>
      <c r="L7" s="1"/>
      <c r="M7" s="1"/>
    </row>
    <row r="8" spans="1:82">
      <c r="A8" s="1"/>
      <c r="B8" s="1"/>
      <c r="C8" s="1"/>
      <c r="D8" s="1"/>
      <c r="E8" s="1"/>
      <c r="F8" s="1"/>
      <c r="G8" s="1"/>
      <c r="H8" s="1"/>
      <c r="I8" s="1"/>
      <c r="J8" s="1"/>
      <c r="K8" s="1"/>
      <c r="L8" s="1"/>
      <c r="M8" s="1"/>
    </row>
    <row r="11" spans="1:82">
      <c r="G11" s="43" t="s">
        <v>289</v>
      </c>
      <c r="H11" s="106" t="s">
        <v>21</v>
      </c>
      <c r="I11" s="106" t="s">
        <v>27</v>
      </c>
      <c r="J11" s="106" t="s">
        <v>30</v>
      </c>
      <c r="K11" s="106" t="s">
        <v>33</v>
      </c>
      <c r="L11" s="106" t="s">
        <v>35</v>
      </c>
      <c r="M11" s="106" t="s">
        <v>37</v>
      </c>
      <c r="N11" s="108" t="s">
        <v>39</v>
      </c>
      <c r="O11" s="108" t="s">
        <v>43</v>
      </c>
      <c r="P11" s="108" t="s">
        <v>46</v>
      </c>
      <c r="Q11" s="108" t="s">
        <v>49</v>
      </c>
      <c r="R11" s="108" t="s">
        <v>52</v>
      </c>
      <c r="S11" s="108" t="s">
        <v>56</v>
      </c>
      <c r="T11" s="108" t="s">
        <v>60</v>
      </c>
      <c r="U11" s="108" t="s">
        <v>63</v>
      </c>
      <c r="V11" s="108" t="s">
        <v>65</v>
      </c>
      <c r="W11" s="108" t="s">
        <v>67</v>
      </c>
      <c r="X11" s="108" t="s">
        <v>74</v>
      </c>
      <c r="Y11" s="108" t="s">
        <v>77</v>
      </c>
      <c r="Z11" s="108" t="s">
        <v>80</v>
      </c>
      <c r="AA11" s="108" t="s">
        <v>83</v>
      </c>
      <c r="AB11" s="108" t="s">
        <v>86</v>
      </c>
      <c r="AC11" s="108" t="s">
        <v>88</v>
      </c>
      <c r="AD11" s="108" t="s">
        <v>91</v>
      </c>
      <c r="AE11" s="108" t="s">
        <v>94</v>
      </c>
      <c r="AF11" s="108" t="s">
        <v>96</v>
      </c>
      <c r="AG11" s="108" t="s">
        <v>98</v>
      </c>
      <c r="AH11" s="108" t="s">
        <v>100</v>
      </c>
      <c r="AI11" s="108" t="s">
        <v>102</v>
      </c>
      <c r="AJ11" s="108" t="s">
        <v>105</v>
      </c>
      <c r="AK11" s="108" t="s">
        <v>107</v>
      </c>
      <c r="AL11" s="108" t="s">
        <v>120</v>
      </c>
      <c r="AM11" s="108" t="s">
        <v>123</v>
      </c>
      <c r="AN11" s="108" t="s">
        <v>132</v>
      </c>
      <c r="AO11" s="108" t="s">
        <v>135</v>
      </c>
      <c r="AP11" s="108" t="s">
        <v>137</v>
      </c>
      <c r="AQ11" s="108" t="s">
        <v>140</v>
      </c>
      <c r="AR11" s="108" t="s">
        <v>142</v>
      </c>
      <c r="AS11" s="108" t="s">
        <v>144</v>
      </c>
      <c r="AT11" s="108" t="s">
        <v>153</v>
      </c>
      <c r="AU11" s="108" t="s">
        <v>155</v>
      </c>
      <c r="AV11" s="108" t="s">
        <v>159</v>
      </c>
      <c r="AW11" s="108" t="s">
        <v>161</v>
      </c>
      <c r="AX11" s="108" t="s">
        <v>164</v>
      </c>
      <c r="AY11" s="108" t="s">
        <v>167</v>
      </c>
      <c r="AZ11" s="108" t="s">
        <v>170</v>
      </c>
      <c r="BA11" s="108" t="s">
        <v>173</v>
      </c>
      <c r="BB11" s="108" t="s">
        <v>177</v>
      </c>
      <c r="BC11" s="108" t="s">
        <v>179</v>
      </c>
      <c r="BD11" s="108" t="s">
        <v>181</v>
      </c>
      <c r="BE11" s="108" t="s">
        <v>183</v>
      </c>
      <c r="BF11" s="108" t="s">
        <v>185</v>
      </c>
      <c r="BG11" s="108" t="s">
        <v>188</v>
      </c>
      <c r="BH11" s="108" t="s">
        <v>190</v>
      </c>
      <c r="BI11" s="108" t="s">
        <v>193</v>
      </c>
      <c r="BJ11" s="108" t="s">
        <v>196</v>
      </c>
      <c r="BK11" s="108" t="s">
        <v>199</v>
      </c>
      <c r="BL11" s="108" t="s">
        <v>202</v>
      </c>
      <c r="BM11" s="108" t="s">
        <v>204</v>
      </c>
      <c r="BN11" s="108" t="s">
        <v>206</v>
      </c>
      <c r="BO11" s="108" t="s">
        <v>208</v>
      </c>
      <c r="BP11" s="108" t="s">
        <v>217</v>
      </c>
      <c r="BQ11" s="108" t="s">
        <v>220</v>
      </c>
      <c r="BR11" s="108" t="s">
        <v>223</v>
      </c>
      <c r="BS11" s="108" t="s">
        <v>226</v>
      </c>
      <c r="BT11" s="108" t="s">
        <v>229</v>
      </c>
      <c r="BU11" s="108" t="s">
        <v>234</v>
      </c>
      <c r="BV11" s="108" t="s">
        <v>251</v>
      </c>
      <c r="BW11" s="108" t="s">
        <v>254</v>
      </c>
      <c r="BX11" s="108" t="s">
        <v>256</v>
      </c>
      <c r="BY11" s="108" t="s">
        <v>258</v>
      </c>
      <c r="BZ11" s="108" t="s">
        <v>262</v>
      </c>
      <c r="CA11" s="108" t="s">
        <v>264</v>
      </c>
      <c r="CB11" s="108" t="s">
        <v>277</v>
      </c>
      <c r="CC11" s="108" t="s">
        <v>279</v>
      </c>
      <c r="CD11" s="108" t="s">
        <v>282</v>
      </c>
    </row>
    <row r="12" spans="1:82" ht="38.25">
      <c r="G12" s="43" t="s">
        <v>290</v>
      </c>
      <c r="H12" s="179" t="s">
        <v>22</v>
      </c>
      <c r="I12" s="178" t="s">
        <v>28</v>
      </c>
      <c r="J12" s="179" t="s">
        <v>31</v>
      </c>
      <c r="K12" s="178" t="s">
        <v>28</v>
      </c>
      <c r="L12" s="178" t="s">
        <v>28</v>
      </c>
      <c r="M12" s="178" t="s">
        <v>28</v>
      </c>
      <c r="N12" s="176" t="s">
        <v>40</v>
      </c>
      <c r="O12" s="176" t="s">
        <v>44</v>
      </c>
      <c r="P12" s="178" t="s">
        <v>28</v>
      </c>
      <c r="Q12" s="176" t="s">
        <v>50</v>
      </c>
      <c r="R12" s="176" t="s">
        <v>53</v>
      </c>
      <c r="S12" s="176" t="s">
        <v>22</v>
      </c>
      <c r="T12" s="176" t="s">
        <v>61</v>
      </c>
      <c r="U12" s="178" t="s">
        <v>28</v>
      </c>
      <c r="V12" s="178" t="s">
        <v>28</v>
      </c>
      <c r="W12" s="178" t="s">
        <v>28</v>
      </c>
      <c r="X12" s="178" t="s">
        <v>28</v>
      </c>
      <c r="Y12" s="178" t="s">
        <v>28</v>
      </c>
      <c r="Z12" s="178" t="s">
        <v>28</v>
      </c>
      <c r="AA12" s="178" t="s">
        <v>28</v>
      </c>
      <c r="AB12" s="178" t="s">
        <v>28</v>
      </c>
      <c r="AC12" s="178" t="s">
        <v>28</v>
      </c>
      <c r="AD12" s="176" t="s">
        <v>92</v>
      </c>
      <c r="AE12" s="176" t="s">
        <v>92</v>
      </c>
      <c r="AF12" s="178" t="s">
        <v>28</v>
      </c>
      <c r="AG12" s="178" t="s">
        <v>28</v>
      </c>
      <c r="AH12" s="178" t="s">
        <v>28</v>
      </c>
      <c r="AI12" s="178" t="s">
        <v>28</v>
      </c>
      <c r="AJ12" s="178" t="s">
        <v>28</v>
      </c>
      <c r="AK12" s="178" t="s">
        <v>28</v>
      </c>
      <c r="AL12" s="176" t="s">
        <v>121</v>
      </c>
      <c r="AM12" s="176" t="s">
        <v>124</v>
      </c>
      <c r="AN12" s="176" t="s">
        <v>133</v>
      </c>
      <c r="AO12" s="178" t="s">
        <v>28</v>
      </c>
      <c r="AP12" s="178" t="s">
        <v>28</v>
      </c>
      <c r="AQ12" s="178" t="s">
        <v>28</v>
      </c>
      <c r="AR12" s="178" t="s">
        <v>28</v>
      </c>
      <c r="AS12" s="178" t="s">
        <v>28</v>
      </c>
      <c r="AT12" s="178" t="s">
        <v>28</v>
      </c>
      <c r="AU12" s="178" t="s">
        <v>28</v>
      </c>
      <c r="AV12" s="178" t="s">
        <v>28</v>
      </c>
      <c r="AW12" s="178" t="s">
        <v>28</v>
      </c>
      <c r="AX12" s="178" t="s">
        <v>28</v>
      </c>
      <c r="AY12" s="176" t="s">
        <v>168</v>
      </c>
      <c r="AZ12" s="178" t="s">
        <v>28</v>
      </c>
      <c r="BA12" s="176" t="s">
        <v>174</v>
      </c>
      <c r="BB12" s="178" t="s">
        <v>28</v>
      </c>
      <c r="BC12" s="178" t="s">
        <v>28</v>
      </c>
      <c r="BD12" s="178" t="s">
        <v>28</v>
      </c>
      <c r="BE12" s="178" t="s">
        <v>28</v>
      </c>
      <c r="BF12" s="178" t="s">
        <v>28</v>
      </c>
      <c r="BG12" s="178" t="s">
        <v>28</v>
      </c>
      <c r="BH12" s="178" t="s">
        <v>28</v>
      </c>
      <c r="BI12" s="178" t="s">
        <v>28</v>
      </c>
      <c r="BJ12" s="176" t="s">
        <v>291</v>
      </c>
      <c r="BK12" s="178" t="s">
        <v>28</v>
      </c>
      <c r="BL12" s="178" t="s">
        <v>28</v>
      </c>
      <c r="BM12" s="178" t="s">
        <v>28</v>
      </c>
      <c r="BN12" s="178" t="s">
        <v>28</v>
      </c>
      <c r="BO12" s="178" t="s">
        <v>28</v>
      </c>
      <c r="BP12" s="178" t="s">
        <v>28</v>
      </c>
      <c r="BQ12" s="178" t="s">
        <v>28</v>
      </c>
      <c r="BR12" s="178" t="s">
        <v>28</v>
      </c>
      <c r="BS12" s="178" t="s">
        <v>28</v>
      </c>
      <c r="BT12" s="176" t="s">
        <v>230</v>
      </c>
      <c r="BU12" s="202" t="s">
        <v>235</v>
      </c>
      <c r="BV12" s="178" t="s">
        <v>28</v>
      </c>
      <c r="BW12" s="178" t="s">
        <v>28</v>
      </c>
      <c r="BX12" s="178" t="s">
        <v>28</v>
      </c>
      <c r="BY12" s="176" t="s">
        <v>292</v>
      </c>
      <c r="BZ12" s="178" t="s">
        <v>28</v>
      </c>
      <c r="CA12" s="178" t="s">
        <v>28</v>
      </c>
      <c r="CB12" s="178" t="s">
        <v>28</v>
      </c>
      <c r="CC12" s="178" t="s">
        <v>28</v>
      </c>
      <c r="CD12" s="178" t="s">
        <v>28</v>
      </c>
    </row>
    <row r="13" spans="1:82" ht="51">
      <c r="A13" s="112" t="s">
        <v>601</v>
      </c>
      <c r="G13" s="64" t="s">
        <v>294</v>
      </c>
      <c r="H13" s="178" t="s">
        <v>295</v>
      </c>
      <c r="I13" s="178" t="s">
        <v>296</v>
      </c>
      <c r="J13" s="178" t="s">
        <v>295</v>
      </c>
      <c r="K13" s="178" t="s">
        <v>296</v>
      </c>
      <c r="L13" s="178" t="s">
        <v>297</v>
      </c>
      <c r="M13" s="178" t="s">
        <v>297</v>
      </c>
      <c r="N13" s="178" t="s">
        <v>296</v>
      </c>
      <c r="O13" s="178" t="s">
        <v>295</v>
      </c>
      <c r="P13" s="176" t="s">
        <v>298</v>
      </c>
      <c r="Q13" s="178" t="s">
        <v>295</v>
      </c>
      <c r="R13" s="202" t="s">
        <v>299</v>
      </c>
      <c r="S13" s="178" t="s">
        <v>295</v>
      </c>
      <c r="T13" s="178" t="s">
        <v>295</v>
      </c>
      <c r="U13" s="176" t="s">
        <v>300</v>
      </c>
      <c r="V13" s="176" t="s">
        <v>300</v>
      </c>
      <c r="W13" s="176" t="s">
        <v>301</v>
      </c>
      <c r="X13" s="178" t="s">
        <v>297</v>
      </c>
      <c r="Y13" s="178" t="s">
        <v>297</v>
      </c>
      <c r="Z13" s="176" t="s">
        <v>302</v>
      </c>
      <c r="AA13" s="176" t="s">
        <v>303</v>
      </c>
      <c r="AB13" s="178" t="s">
        <v>297</v>
      </c>
      <c r="AC13" s="178" t="s">
        <v>297</v>
      </c>
      <c r="AD13" s="178" t="s">
        <v>304</v>
      </c>
      <c r="AE13" s="178" t="s">
        <v>304</v>
      </c>
      <c r="AF13" s="178" t="s">
        <v>297</v>
      </c>
      <c r="AG13" s="178" t="s">
        <v>297</v>
      </c>
      <c r="AH13" s="178" t="s">
        <v>297</v>
      </c>
      <c r="AI13" s="178" t="s">
        <v>297</v>
      </c>
      <c r="AJ13" s="176" t="s">
        <v>305</v>
      </c>
      <c r="AK13" s="176" t="s">
        <v>306</v>
      </c>
      <c r="AL13" s="178" t="s">
        <v>297</v>
      </c>
      <c r="AM13" s="178" t="s">
        <v>297</v>
      </c>
      <c r="AN13" s="178" t="s">
        <v>307</v>
      </c>
      <c r="AO13" s="178" t="s">
        <v>297</v>
      </c>
      <c r="AP13" s="110" t="s">
        <v>308</v>
      </c>
      <c r="AQ13" s="176" t="s">
        <v>309</v>
      </c>
      <c r="AR13" s="176" t="s">
        <v>309</v>
      </c>
      <c r="AS13" s="178" t="s">
        <v>297</v>
      </c>
      <c r="AT13" s="178" t="s">
        <v>297</v>
      </c>
      <c r="AU13" s="178" t="s">
        <v>297</v>
      </c>
      <c r="AV13" s="176" t="s">
        <v>310</v>
      </c>
      <c r="AW13" s="111" t="s">
        <v>311</v>
      </c>
      <c r="AX13" s="115" t="s">
        <v>312</v>
      </c>
      <c r="AY13" s="178" t="s">
        <v>297</v>
      </c>
      <c r="AZ13" s="176" t="s">
        <v>313</v>
      </c>
      <c r="BA13" s="178" t="s">
        <v>297</v>
      </c>
      <c r="BB13" s="176" t="s">
        <v>314</v>
      </c>
      <c r="BC13" s="178" t="s">
        <v>297</v>
      </c>
      <c r="BD13" s="178" t="s">
        <v>297</v>
      </c>
      <c r="BE13" s="178" t="s">
        <v>297</v>
      </c>
      <c r="BF13" s="176" t="s">
        <v>315</v>
      </c>
      <c r="BG13" s="178" t="s">
        <v>297</v>
      </c>
      <c r="BH13" s="178" t="s">
        <v>297</v>
      </c>
      <c r="BI13" s="178" t="s">
        <v>297</v>
      </c>
      <c r="BJ13" s="178" t="s">
        <v>297</v>
      </c>
      <c r="BK13" s="178" t="s">
        <v>316</v>
      </c>
      <c r="BL13" s="178" t="s">
        <v>317</v>
      </c>
      <c r="BM13" s="178" t="s">
        <v>317</v>
      </c>
      <c r="BN13" s="178" t="s">
        <v>317</v>
      </c>
      <c r="BO13" s="178" t="s">
        <v>295</v>
      </c>
      <c r="BP13" s="178" t="s">
        <v>316</v>
      </c>
      <c r="BQ13" s="178" t="s">
        <v>297</v>
      </c>
      <c r="BR13" s="178" t="s">
        <v>297</v>
      </c>
      <c r="BS13" s="178" t="s">
        <v>297</v>
      </c>
      <c r="BT13" s="176" t="s">
        <v>318</v>
      </c>
      <c r="BU13" s="178" t="s">
        <v>297</v>
      </c>
      <c r="BV13" s="178" t="s">
        <v>297</v>
      </c>
      <c r="BW13" s="176" t="s">
        <v>318</v>
      </c>
      <c r="BX13" s="176" t="s">
        <v>318</v>
      </c>
      <c r="BY13" s="176" t="s">
        <v>318</v>
      </c>
      <c r="BZ13" s="178" t="s">
        <v>297</v>
      </c>
      <c r="CA13" s="178" t="s">
        <v>297</v>
      </c>
      <c r="CB13" s="176" t="s">
        <v>318</v>
      </c>
      <c r="CC13" s="176" t="s">
        <v>319</v>
      </c>
      <c r="CD13" s="178" t="s">
        <v>297</v>
      </c>
    </row>
    <row r="14" spans="1:82" ht="140.25">
      <c r="A14" s="81" t="s">
        <v>320</v>
      </c>
      <c r="B14" s="81" t="s">
        <v>321</v>
      </c>
      <c r="C14" s="81" t="s">
        <v>322</v>
      </c>
      <c r="D14" s="81" t="s">
        <v>323</v>
      </c>
      <c r="E14" s="81" t="s">
        <v>324</v>
      </c>
      <c r="F14" s="81" t="s">
        <v>25</v>
      </c>
      <c r="G14" s="43" t="s">
        <v>325</v>
      </c>
      <c r="H14" s="64" t="s">
        <v>24</v>
      </c>
      <c r="I14" s="64" t="s">
        <v>326</v>
      </c>
      <c r="J14" s="64" t="s">
        <v>32</v>
      </c>
      <c r="K14" s="64" t="s">
        <v>327</v>
      </c>
      <c r="L14" s="64" t="s">
        <v>328</v>
      </c>
      <c r="M14" s="64" t="s">
        <v>38</v>
      </c>
      <c r="N14" s="64" t="s">
        <v>41</v>
      </c>
      <c r="O14" s="37" t="s">
        <v>45</v>
      </c>
      <c r="P14" s="64" t="s">
        <v>329</v>
      </c>
      <c r="Q14" s="37" t="s">
        <v>51</v>
      </c>
      <c r="R14" s="37" t="s">
        <v>330</v>
      </c>
      <c r="S14" s="37" t="s">
        <v>57</v>
      </c>
      <c r="T14" s="38" t="s">
        <v>62</v>
      </c>
      <c r="U14" s="64" t="s">
        <v>331</v>
      </c>
      <c r="V14" s="64" t="s">
        <v>332</v>
      </c>
      <c r="W14" s="64" t="s">
        <v>68</v>
      </c>
      <c r="X14" s="64" t="s">
        <v>76</v>
      </c>
      <c r="Y14" s="37" t="s">
        <v>78</v>
      </c>
      <c r="Z14" s="37" t="s">
        <v>81</v>
      </c>
      <c r="AA14" s="64" t="s">
        <v>84</v>
      </c>
      <c r="AB14" s="64" t="s">
        <v>87</v>
      </c>
      <c r="AC14" s="64" t="s">
        <v>89</v>
      </c>
      <c r="AD14" s="64" t="s">
        <v>93</v>
      </c>
      <c r="AE14" s="64" t="s">
        <v>95</v>
      </c>
      <c r="AF14" s="64" t="s">
        <v>333</v>
      </c>
      <c r="AG14" s="64" t="s">
        <v>99</v>
      </c>
      <c r="AH14" s="64" t="s">
        <v>101</v>
      </c>
      <c r="AI14" s="64" t="s">
        <v>103</v>
      </c>
      <c r="AJ14" s="64" t="s">
        <v>106</v>
      </c>
      <c r="AK14" s="80" t="s">
        <v>108</v>
      </c>
      <c r="AL14" s="64" t="s">
        <v>122</v>
      </c>
      <c r="AM14" s="64" t="s">
        <v>125</v>
      </c>
      <c r="AN14" s="64" t="s">
        <v>134</v>
      </c>
      <c r="AO14" s="36" t="s">
        <v>136</v>
      </c>
      <c r="AP14" s="64" t="s">
        <v>138</v>
      </c>
      <c r="AQ14" s="38" t="s">
        <v>141</v>
      </c>
      <c r="AR14" s="37" t="s">
        <v>143</v>
      </c>
      <c r="AS14" s="64" t="s">
        <v>145</v>
      </c>
      <c r="AT14" s="64" t="s">
        <v>334</v>
      </c>
      <c r="AU14" s="64" t="s">
        <v>156</v>
      </c>
      <c r="AV14" s="80" t="s">
        <v>160</v>
      </c>
      <c r="AW14" s="64" t="s">
        <v>162</v>
      </c>
      <c r="AX14" s="64" t="s">
        <v>165</v>
      </c>
      <c r="AY14" s="64" t="s">
        <v>169</v>
      </c>
      <c r="AZ14" s="80" t="s">
        <v>171</v>
      </c>
      <c r="BA14" s="80" t="s">
        <v>175</v>
      </c>
      <c r="BB14" s="80" t="s">
        <v>178</v>
      </c>
      <c r="BC14" s="80" t="s">
        <v>180</v>
      </c>
      <c r="BD14" s="80" t="s">
        <v>182</v>
      </c>
      <c r="BE14" s="80" t="s">
        <v>335</v>
      </c>
      <c r="BF14" s="80" t="s">
        <v>336</v>
      </c>
      <c r="BG14" s="80" t="s">
        <v>189</v>
      </c>
      <c r="BH14" s="80" t="s">
        <v>191</v>
      </c>
      <c r="BI14" s="80" t="s">
        <v>194</v>
      </c>
      <c r="BJ14" s="80" t="s">
        <v>198</v>
      </c>
      <c r="BK14" s="80" t="s">
        <v>200</v>
      </c>
      <c r="BL14" s="80" t="s">
        <v>337</v>
      </c>
      <c r="BM14" s="80" t="s">
        <v>338</v>
      </c>
      <c r="BN14" s="80" t="s">
        <v>339</v>
      </c>
      <c r="BO14" s="80" t="s">
        <v>209</v>
      </c>
      <c r="BP14" s="80" t="s">
        <v>340</v>
      </c>
      <c r="BQ14" s="80" t="s">
        <v>221</v>
      </c>
      <c r="BR14" s="80" t="s">
        <v>224</v>
      </c>
      <c r="BS14" s="80" t="s">
        <v>341</v>
      </c>
      <c r="BT14" s="80" t="s">
        <v>231</v>
      </c>
      <c r="BU14" s="80" t="s">
        <v>342</v>
      </c>
      <c r="BV14" s="64" t="s">
        <v>343</v>
      </c>
      <c r="BW14" s="64" t="s">
        <v>344</v>
      </c>
      <c r="BX14" s="64" t="s">
        <v>345</v>
      </c>
      <c r="BY14" s="64" t="s">
        <v>260</v>
      </c>
      <c r="BZ14" s="64" t="s">
        <v>263</v>
      </c>
      <c r="CA14" s="64" t="s">
        <v>265</v>
      </c>
      <c r="CB14" s="64" t="s">
        <v>346</v>
      </c>
      <c r="CC14" s="64" t="s">
        <v>280</v>
      </c>
      <c r="CD14" s="64" t="s">
        <v>283</v>
      </c>
    </row>
    <row r="15" spans="1:82">
      <c r="A15" s="8" t="s">
        <v>347</v>
      </c>
      <c r="B15" s="8" t="s">
        <v>348</v>
      </c>
      <c r="C15" s="30" t="s">
        <v>349</v>
      </c>
      <c r="D15" s="8" t="s">
        <v>350</v>
      </c>
      <c r="E15" s="31">
        <v>1001</v>
      </c>
      <c r="F15" s="8" t="s">
        <v>348</v>
      </c>
      <c r="G15" s="9">
        <v>1101</v>
      </c>
      <c r="H15" s="10">
        <v>289.36146100000002</v>
      </c>
      <c r="I15" s="42" t="s">
        <v>352</v>
      </c>
      <c r="J15" s="41">
        <v>1961.235465</v>
      </c>
      <c r="K15" s="42" t="s">
        <v>352</v>
      </c>
      <c r="L15" s="119">
        <v>81.489999999999995</v>
      </c>
      <c r="M15" s="120">
        <v>86.31</v>
      </c>
      <c r="N15" s="42" t="s">
        <v>352</v>
      </c>
      <c r="O15" s="60">
        <v>1143.45</v>
      </c>
      <c r="P15" s="42" t="s">
        <v>352</v>
      </c>
      <c r="Q15" s="60">
        <v>511.8</v>
      </c>
      <c r="R15" s="122">
        <v>0.94</v>
      </c>
      <c r="S15" s="62">
        <v>364.79</v>
      </c>
      <c r="T15" s="42" t="s">
        <v>352</v>
      </c>
      <c r="U15" s="42" t="s">
        <v>352</v>
      </c>
      <c r="V15" s="42" t="s">
        <v>352</v>
      </c>
      <c r="W15" s="42" t="s">
        <v>352</v>
      </c>
      <c r="X15" s="42" t="s">
        <v>352</v>
      </c>
      <c r="Y15" s="42" t="s">
        <v>352</v>
      </c>
      <c r="Z15" s="122">
        <v>33.42</v>
      </c>
      <c r="AA15" s="135">
        <v>1</v>
      </c>
      <c r="AB15" s="125">
        <v>31.5</v>
      </c>
      <c r="AC15" s="144">
        <v>61.2</v>
      </c>
      <c r="AD15" s="42" t="s">
        <v>352</v>
      </c>
      <c r="AE15" s="42" t="s">
        <v>352</v>
      </c>
      <c r="AF15" s="134">
        <v>6.88</v>
      </c>
      <c r="AG15" s="134">
        <v>8.1300000000000008</v>
      </c>
      <c r="AH15" s="134">
        <v>10.85</v>
      </c>
      <c r="AI15" s="134">
        <v>7.15</v>
      </c>
      <c r="AJ15" s="150">
        <v>6.93</v>
      </c>
      <c r="AK15" s="152">
        <v>259.11</v>
      </c>
      <c r="AL15" s="159" t="s">
        <v>351</v>
      </c>
      <c r="AM15" s="123" t="s">
        <v>351</v>
      </c>
      <c r="AN15" s="122">
        <v>1.5728680141029192</v>
      </c>
      <c r="AO15" s="162">
        <v>0</v>
      </c>
      <c r="AP15" s="27" t="s">
        <v>351</v>
      </c>
      <c r="AQ15" s="160">
        <v>728.62</v>
      </c>
      <c r="AR15" s="161">
        <v>554.30999999999995</v>
      </c>
      <c r="AS15" s="200">
        <v>3.1651152222505852E-3</v>
      </c>
      <c r="AT15" s="42" t="s">
        <v>352</v>
      </c>
      <c r="AU15" s="42" t="s">
        <v>352</v>
      </c>
      <c r="AV15" s="164">
        <v>629.11345134065277</v>
      </c>
      <c r="AW15" s="164">
        <v>19.451859925917031</v>
      </c>
      <c r="AX15" s="164">
        <v>20.27</v>
      </c>
      <c r="AY15" s="42" t="s">
        <v>352</v>
      </c>
      <c r="AZ15" s="165">
        <v>0.65</v>
      </c>
      <c r="BA15" s="42" t="s">
        <v>352</v>
      </c>
      <c r="BB15" s="42" t="s">
        <v>352</v>
      </c>
      <c r="BC15" s="42" t="s">
        <v>352</v>
      </c>
      <c r="BD15" s="42" t="s">
        <v>352</v>
      </c>
      <c r="BE15" s="122">
        <v>0.3</v>
      </c>
      <c r="BF15" s="122">
        <v>38.82</v>
      </c>
      <c r="BG15" s="168">
        <v>4.38</v>
      </c>
      <c r="BH15" s="171">
        <v>19.739999999999998</v>
      </c>
      <c r="BI15" s="42" t="s">
        <v>352</v>
      </c>
      <c r="BJ15" s="42" t="s">
        <v>352</v>
      </c>
      <c r="BK15" s="42" t="s">
        <v>352</v>
      </c>
      <c r="BL15" s="162">
        <v>139.25196523088576</v>
      </c>
      <c r="BM15" s="162">
        <v>198.87859445578579</v>
      </c>
      <c r="BN15" s="162">
        <v>73.574918942885915</v>
      </c>
      <c r="BO15" s="42" t="s">
        <v>352</v>
      </c>
      <c r="BP15" s="42" t="s">
        <v>352</v>
      </c>
      <c r="BQ15" s="42" t="s">
        <v>352</v>
      </c>
      <c r="BR15" s="61">
        <v>47.47</v>
      </c>
      <c r="BS15" s="126">
        <v>10.93</v>
      </c>
      <c r="BT15" s="185" t="s">
        <v>353</v>
      </c>
      <c r="BU15" s="131">
        <v>8.9600000000000009</v>
      </c>
      <c r="BV15" s="42" t="s">
        <v>352</v>
      </c>
      <c r="BW15" s="42" t="s">
        <v>352</v>
      </c>
      <c r="BX15" s="42" t="s">
        <v>352</v>
      </c>
      <c r="BY15" s="42" t="s">
        <v>352</v>
      </c>
      <c r="BZ15" s="191">
        <v>0</v>
      </c>
      <c r="CA15" s="191">
        <v>0</v>
      </c>
      <c r="CB15" s="198" t="s">
        <v>353</v>
      </c>
      <c r="CC15" s="39">
        <v>230.18566466833553</v>
      </c>
      <c r="CD15" s="42" t="s">
        <v>352</v>
      </c>
    </row>
    <row r="16" spans="1:82">
      <c r="A16" s="3" t="s">
        <v>347</v>
      </c>
      <c r="B16" s="3" t="s">
        <v>348</v>
      </c>
      <c r="C16" s="27" t="s">
        <v>349</v>
      </c>
      <c r="D16" s="3" t="s">
        <v>350</v>
      </c>
      <c r="E16" s="29">
        <v>1001</v>
      </c>
      <c r="F16" s="3" t="s">
        <v>356</v>
      </c>
      <c r="G16" s="4">
        <v>1107</v>
      </c>
      <c r="H16" s="10">
        <v>286.80389600000001</v>
      </c>
      <c r="I16" s="42" t="s">
        <v>352</v>
      </c>
      <c r="J16" s="41">
        <v>1846.2966899999999</v>
      </c>
      <c r="K16" s="42" t="s">
        <v>352</v>
      </c>
      <c r="L16" s="119">
        <v>77.13</v>
      </c>
      <c r="M16" s="120">
        <v>82.79</v>
      </c>
      <c r="N16" s="42" t="s">
        <v>352</v>
      </c>
      <c r="O16" s="60">
        <v>849.75</v>
      </c>
      <c r="P16" s="42" t="s">
        <v>352</v>
      </c>
      <c r="Q16" s="60">
        <v>540.16999999999996</v>
      </c>
      <c r="R16" s="122">
        <v>0.82</v>
      </c>
      <c r="S16" s="62">
        <v>365.48</v>
      </c>
      <c r="T16" s="42" t="s">
        <v>352</v>
      </c>
      <c r="U16" s="42" t="s">
        <v>352</v>
      </c>
      <c r="V16" s="42" t="s">
        <v>352</v>
      </c>
      <c r="W16" s="42" t="s">
        <v>352</v>
      </c>
      <c r="X16" s="42" t="s">
        <v>352</v>
      </c>
      <c r="Y16" s="42" t="s">
        <v>352</v>
      </c>
      <c r="Z16" s="122">
        <v>25.81</v>
      </c>
      <c r="AA16" s="132">
        <v>1.1299999999999999</v>
      </c>
      <c r="AB16" s="125">
        <v>26.4</v>
      </c>
      <c r="AC16" s="144">
        <v>71.400000000000006</v>
      </c>
      <c r="AD16" s="42" t="s">
        <v>352</v>
      </c>
      <c r="AE16" s="42" t="s">
        <v>352</v>
      </c>
      <c r="AF16" s="134">
        <v>9.4499999999999993</v>
      </c>
      <c r="AG16" s="134">
        <v>13.18</v>
      </c>
      <c r="AH16" s="134">
        <v>19.86</v>
      </c>
      <c r="AI16" s="134">
        <v>11.53</v>
      </c>
      <c r="AJ16" s="150">
        <v>4.03</v>
      </c>
      <c r="AK16" s="152">
        <v>234.39</v>
      </c>
      <c r="AL16" s="159" t="s">
        <v>351</v>
      </c>
      <c r="AM16" s="123" t="s">
        <v>351</v>
      </c>
      <c r="AN16" s="122">
        <v>1.2206180106918829</v>
      </c>
      <c r="AO16" s="162">
        <v>0</v>
      </c>
      <c r="AP16" s="59">
        <v>2.09</v>
      </c>
      <c r="AQ16" s="160">
        <v>465.46</v>
      </c>
      <c r="AR16" s="161">
        <v>208.48</v>
      </c>
      <c r="AS16" s="122" t="s">
        <v>351</v>
      </c>
      <c r="AT16" s="42" t="s">
        <v>352</v>
      </c>
      <c r="AU16" s="42" t="s">
        <v>352</v>
      </c>
      <c r="AV16" s="164">
        <v>357.63558515699333</v>
      </c>
      <c r="AW16" s="164">
        <v>9.6882803060813529</v>
      </c>
      <c r="AX16" s="164">
        <v>19.36</v>
      </c>
      <c r="AY16" s="42" t="s">
        <v>352</v>
      </c>
      <c r="AZ16" s="165">
        <v>0.57999999999999996</v>
      </c>
      <c r="BA16" s="42" t="s">
        <v>352</v>
      </c>
      <c r="BB16" s="42" t="s">
        <v>352</v>
      </c>
      <c r="BC16" s="42" t="s">
        <v>352</v>
      </c>
      <c r="BD16" s="42" t="s">
        <v>352</v>
      </c>
      <c r="BE16" s="122">
        <v>2.41</v>
      </c>
      <c r="BF16" s="122">
        <v>57.58</v>
      </c>
      <c r="BG16" s="168">
        <v>7.76</v>
      </c>
      <c r="BH16" s="171">
        <v>27.55</v>
      </c>
      <c r="BI16" s="42" t="s">
        <v>352</v>
      </c>
      <c r="BJ16" s="42" t="s">
        <v>352</v>
      </c>
      <c r="BK16" s="42" t="s">
        <v>352</v>
      </c>
      <c r="BL16" s="162">
        <v>122.59363672976238</v>
      </c>
      <c r="BM16" s="162">
        <v>160.8538058799839</v>
      </c>
      <c r="BN16" s="162">
        <v>109.30326218284334</v>
      </c>
      <c r="BO16" s="42" t="s">
        <v>352</v>
      </c>
      <c r="BP16" s="42" t="s">
        <v>352</v>
      </c>
      <c r="BQ16" s="42" t="s">
        <v>352</v>
      </c>
      <c r="BR16" s="55" t="s">
        <v>358</v>
      </c>
      <c r="BS16" s="126">
        <v>8.83</v>
      </c>
      <c r="BT16" s="186" t="s">
        <v>353</v>
      </c>
      <c r="BU16" s="131">
        <v>59.25</v>
      </c>
      <c r="BV16" s="42" t="s">
        <v>352</v>
      </c>
      <c r="BW16" s="42" t="s">
        <v>352</v>
      </c>
      <c r="BX16" s="42" t="s">
        <v>352</v>
      </c>
      <c r="BY16" s="42" t="s">
        <v>352</v>
      </c>
      <c r="BZ16" s="190" t="s">
        <v>359</v>
      </c>
      <c r="CA16" s="190" t="s">
        <v>359</v>
      </c>
      <c r="CB16" s="198" t="s">
        <v>353</v>
      </c>
      <c r="CC16" s="39">
        <v>0</v>
      </c>
      <c r="CD16" s="42" t="s">
        <v>352</v>
      </c>
    </row>
    <row r="17" spans="1:82">
      <c r="A17" s="3" t="s">
        <v>360</v>
      </c>
      <c r="B17" s="3" t="s">
        <v>360</v>
      </c>
      <c r="C17" s="27" t="s">
        <v>349</v>
      </c>
      <c r="D17" s="3" t="s">
        <v>360</v>
      </c>
      <c r="E17" s="29">
        <v>2101</v>
      </c>
      <c r="F17" s="3" t="s">
        <v>360</v>
      </c>
      <c r="G17" s="4">
        <v>2101</v>
      </c>
      <c r="H17" s="10">
        <v>427.685044</v>
      </c>
      <c r="I17" s="42" t="s">
        <v>352</v>
      </c>
      <c r="J17" s="41">
        <v>1375.5184389999999</v>
      </c>
      <c r="K17" s="42" t="s">
        <v>352</v>
      </c>
      <c r="L17" s="119">
        <v>54.05</v>
      </c>
      <c r="M17" s="120">
        <v>93.67</v>
      </c>
      <c r="N17" s="42" t="s">
        <v>352</v>
      </c>
      <c r="O17" s="60">
        <v>1244.78</v>
      </c>
      <c r="P17" s="42" t="s">
        <v>352</v>
      </c>
      <c r="Q17" s="60">
        <v>714.09</v>
      </c>
      <c r="R17" s="122">
        <v>0.87</v>
      </c>
      <c r="S17" s="62">
        <v>527.73</v>
      </c>
      <c r="T17" s="42" t="s">
        <v>352</v>
      </c>
      <c r="U17" s="42" t="s">
        <v>352</v>
      </c>
      <c r="V17" s="42" t="s">
        <v>352</v>
      </c>
      <c r="W17" s="42" t="s">
        <v>352</v>
      </c>
      <c r="X17" s="42" t="s">
        <v>352</v>
      </c>
      <c r="Y17" s="42" t="s">
        <v>352</v>
      </c>
      <c r="Z17" s="122">
        <v>17.760000000000002</v>
      </c>
      <c r="AA17" s="135">
        <v>1</v>
      </c>
      <c r="AB17" s="125">
        <v>34.1</v>
      </c>
      <c r="AC17" s="144">
        <v>63.3</v>
      </c>
      <c r="AD17" s="42" t="s">
        <v>352</v>
      </c>
      <c r="AE17" s="42" t="s">
        <v>352</v>
      </c>
      <c r="AF17" s="134">
        <v>8.83</v>
      </c>
      <c r="AG17" s="134">
        <v>12.17</v>
      </c>
      <c r="AH17" s="134">
        <v>18.28</v>
      </c>
      <c r="AI17" s="134">
        <v>5.85</v>
      </c>
      <c r="AJ17" s="150">
        <v>5.84</v>
      </c>
      <c r="AK17" s="152">
        <v>254.25</v>
      </c>
      <c r="AL17" s="159" t="s">
        <v>351</v>
      </c>
      <c r="AM17" s="123" t="s">
        <v>351</v>
      </c>
      <c r="AN17" s="122">
        <v>1.0796422659143181</v>
      </c>
      <c r="AO17" s="162">
        <v>0</v>
      </c>
      <c r="AP17" s="59" t="s">
        <v>351</v>
      </c>
      <c r="AQ17" s="160">
        <v>676.12</v>
      </c>
      <c r="AR17" s="161">
        <v>614.98</v>
      </c>
      <c r="AS17" s="200">
        <v>2.6445174094339125E-2</v>
      </c>
      <c r="AT17" s="42" t="s">
        <v>352</v>
      </c>
      <c r="AU17" s="42" t="s">
        <v>352</v>
      </c>
      <c r="AV17" s="164">
        <v>744.20751002039242</v>
      </c>
      <c r="AW17" s="164">
        <v>20.619407819433146</v>
      </c>
      <c r="AX17" s="164">
        <v>20.72</v>
      </c>
      <c r="AY17" s="42" t="s">
        <v>352</v>
      </c>
      <c r="AZ17" s="165">
        <v>0.49</v>
      </c>
      <c r="BA17" s="42" t="s">
        <v>352</v>
      </c>
      <c r="BB17" s="42" t="s">
        <v>352</v>
      </c>
      <c r="BC17" s="42" t="s">
        <v>352</v>
      </c>
      <c r="BD17" s="42" t="s">
        <v>352</v>
      </c>
      <c r="BE17" s="122">
        <v>1.17</v>
      </c>
      <c r="BF17" s="122">
        <v>71.67</v>
      </c>
      <c r="BG17" s="168">
        <v>5.0599999999999996</v>
      </c>
      <c r="BH17" s="171">
        <v>16.579999999999998</v>
      </c>
      <c r="BI17" s="42" t="s">
        <v>352</v>
      </c>
      <c r="BJ17" s="42" t="s">
        <v>352</v>
      </c>
      <c r="BK17" s="42" t="s">
        <v>352</v>
      </c>
      <c r="BL17" s="162">
        <v>89.353121392632559</v>
      </c>
      <c r="BM17" s="162">
        <v>137.88971745028226</v>
      </c>
      <c r="BN17" s="162">
        <v>57.303868802634078</v>
      </c>
      <c r="BO17" s="42" t="s">
        <v>352</v>
      </c>
      <c r="BP17" s="42" t="s">
        <v>352</v>
      </c>
      <c r="BQ17" s="42" t="s">
        <v>352</v>
      </c>
      <c r="BR17" s="61">
        <v>7.88</v>
      </c>
      <c r="BS17" s="126">
        <v>19.47</v>
      </c>
      <c r="BT17" s="186" t="s">
        <v>353</v>
      </c>
      <c r="BU17" s="131">
        <v>15.19</v>
      </c>
      <c r="BV17" s="42" t="s">
        <v>352</v>
      </c>
      <c r="BW17" s="42" t="s">
        <v>352</v>
      </c>
      <c r="BX17" s="42" t="s">
        <v>352</v>
      </c>
      <c r="BY17" s="42" t="s">
        <v>352</v>
      </c>
      <c r="BZ17" s="191">
        <v>0</v>
      </c>
      <c r="CA17" s="191">
        <v>0</v>
      </c>
      <c r="CB17" s="198" t="s">
        <v>355</v>
      </c>
      <c r="CC17" s="39">
        <v>0</v>
      </c>
      <c r="CD17" s="42" t="s">
        <v>352</v>
      </c>
    </row>
    <row r="18" spans="1:82">
      <c r="A18" s="3" t="s">
        <v>360</v>
      </c>
      <c r="B18" s="3" t="s">
        <v>361</v>
      </c>
      <c r="C18" s="27" t="s">
        <v>349</v>
      </c>
      <c r="D18" s="3" t="s">
        <v>362</v>
      </c>
      <c r="E18" s="29">
        <v>2201</v>
      </c>
      <c r="F18" s="3" t="s">
        <v>362</v>
      </c>
      <c r="G18" s="4">
        <v>2201</v>
      </c>
      <c r="H18" s="10">
        <v>281.56849199999999</v>
      </c>
      <c r="I18" s="42" t="s">
        <v>352</v>
      </c>
      <c r="J18" s="41">
        <v>1902.0877310000001</v>
      </c>
      <c r="K18" s="42" t="s">
        <v>352</v>
      </c>
      <c r="L18" s="119">
        <v>78.98</v>
      </c>
      <c r="M18" s="120">
        <v>83.63</v>
      </c>
      <c r="N18" s="42" t="s">
        <v>352</v>
      </c>
      <c r="O18" s="60">
        <v>1081.47</v>
      </c>
      <c r="P18" s="42" t="s">
        <v>352</v>
      </c>
      <c r="Q18" s="60">
        <v>672.44</v>
      </c>
      <c r="R18" s="122">
        <v>0.92</v>
      </c>
      <c r="S18" s="62">
        <v>552.05999999999995</v>
      </c>
      <c r="T18" s="42" t="s">
        <v>352</v>
      </c>
      <c r="U18" s="42" t="s">
        <v>352</v>
      </c>
      <c r="V18" s="42" t="s">
        <v>352</v>
      </c>
      <c r="W18" s="42" t="s">
        <v>352</v>
      </c>
      <c r="X18" s="42" t="s">
        <v>352</v>
      </c>
      <c r="Y18" s="42" t="s">
        <v>352</v>
      </c>
      <c r="Z18" s="122">
        <v>26.98</v>
      </c>
      <c r="AA18" s="124" t="s">
        <v>351</v>
      </c>
      <c r="AB18" s="124" t="s">
        <v>351</v>
      </c>
      <c r="AC18" s="145" t="s">
        <v>351</v>
      </c>
      <c r="AD18" s="42" t="s">
        <v>352</v>
      </c>
      <c r="AE18" s="42" t="s">
        <v>352</v>
      </c>
      <c r="AF18" s="147" t="s">
        <v>351</v>
      </c>
      <c r="AG18" s="148" t="s">
        <v>351</v>
      </c>
      <c r="AH18" s="149" t="s">
        <v>351</v>
      </c>
      <c r="AI18" s="149" t="s">
        <v>351</v>
      </c>
      <c r="AJ18" s="150">
        <v>5.43</v>
      </c>
      <c r="AK18" s="152">
        <v>324.94</v>
      </c>
      <c r="AL18" s="159" t="s">
        <v>351</v>
      </c>
      <c r="AM18" s="123" t="s">
        <v>351</v>
      </c>
      <c r="AN18" s="122">
        <v>0.74046248247439383</v>
      </c>
      <c r="AO18" s="162">
        <v>0</v>
      </c>
      <c r="AP18" s="59">
        <v>1.1399999999999999</v>
      </c>
      <c r="AQ18" s="160">
        <v>686.74</v>
      </c>
      <c r="AR18" s="161">
        <v>457.15</v>
      </c>
      <c r="AS18" s="200">
        <v>2.8071497609096158E-3</v>
      </c>
      <c r="AT18" s="42" t="s">
        <v>352</v>
      </c>
      <c r="AU18" s="42" t="s">
        <v>352</v>
      </c>
      <c r="AV18" s="164">
        <v>670.61553262530413</v>
      </c>
      <c r="AW18" s="164">
        <v>19.316872785759308</v>
      </c>
      <c r="AX18" s="164">
        <v>12.45</v>
      </c>
      <c r="AY18" s="42" t="s">
        <v>352</v>
      </c>
      <c r="AZ18" s="165">
        <v>0.52</v>
      </c>
      <c r="BA18" s="42" t="s">
        <v>352</v>
      </c>
      <c r="BB18" s="42" t="s">
        <v>352</v>
      </c>
      <c r="BC18" s="42" t="s">
        <v>352</v>
      </c>
      <c r="BD18" s="42" t="s">
        <v>352</v>
      </c>
      <c r="BE18" s="200">
        <v>0.13</v>
      </c>
      <c r="BF18" s="200">
        <v>6.57</v>
      </c>
      <c r="BG18" s="168">
        <v>4.59</v>
      </c>
      <c r="BH18" s="171">
        <v>13.67</v>
      </c>
      <c r="BI18" s="42" t="s">
        <v>352</v>
      </c>
      <c r="BJ18" s="42" t="s">
        <v>352</v>
      </c>
      <c r="BK18" s="42" t="s">
        <v>352</v>
      </c>
      <c r="BL18" s="162">
        <v>125.57325740615967</v>
      </c>
      <c r="BM18" s="162">
        <v>217.72913995087916</v>
      </c>
      <c r="BN18" s="162">
        <v>68.790888739159726</v>
      </c>
      <c r="BO18" s="42" t="s">
        <v>352</v>
      </c>
      <c r="BP18" s="42" t="s">
        <v>352</v>
      </c>
      <c r="BQ18" s="42" t="s">
        <v>352</v>
      </c>
      <c r="BR18" s="55" t="s">
        <v>358</v>
      </c>
      <c r="BS18" s="126">
        <v>17.61</v>
      </c>
      <c r="BT18" s="186" t="s">
        <v>355</v>
      </c>
      <c r="BU18" s="131">
        <v>20.93</v>
      </c>
      <c r="BV18" s="42" t="s">
        <v>352</v>
      </c>
      <c r="BW18" s="42" t="s">
        <v>352</v>
      </c>
      <c r="BX18" s="42" t="s">
        <v>352</v>
      </c>
      <c r="BY18" s="42" t="s">
        <v>352</v>
      </c>
      <c r="BZ18" s="191">
        <v>0</v>
      </c>
      <c r="CA18" s="191">
        <v>0</v>
      </c>
      <c r="CB18" s="198" t="s">
        <v>355</v>
      </c>
      <c r="CC18" s="39">
        <v>0</v>
      </c>
      <c r="CD18" s="42" t="s">
        <v>352</v>
      </c>
    </row>
    <row r="19" spans="1:82">
      <c r="A19" s="3" t="s">
        <v>363</v>
      </c>
      <c r="B19" s="3" t="s">
        <v>364</v>
      </c>
      <c r="C19" s="27" t="s">
        <v>349</v>
      </c>
      <c r="D19" s="3" t="s">
        <v>365</v>
      </c>
      <c r="E19" s="29">
        <v>3001</v>
      </c>
      <c r="F19" s="3" t="s">
        <v>364</v>
      </c>
      <c r="G19" s="4">
        <v>3101</v>
      </c>
      <c r="H19" s="10">
        <v>243.92621600000001</v>
      </c>
      <c r="I19" s="42" t="s">
        <v>352</v>
      </c>
      <c r="J19" s="41">
        <v>1812.9467870000001</v>
      </c>
      <c r="K19" s="42" t="s">
        <v>352</v>
      </c>
      <c r="L19" s="119">
        <v>84.82</v>
      </c>
      <c r="M19" s="120">
        <v>86.97</v>
      </c>
      <c r="N19" s="42" t="s">
        <v>352</v>
      </c>
      <c r="O19" s="60">
        <v>1269.98</v>
      </c>
      <c r="P19" s="42" t="s">
        <v>352</v>
      </c>
      <c r="Q19" s="60">
        <v>673.85</v>
      </c>
      <c r="R19" s="122">
        <v>0.92</v>
      </c>
      <c r="S19" s="62">
        <v>463.63</v>
      </c>
      <c r="T19" s="42" t="s">
        <v>352</v>
      </c>
      <c r="U19" s="42" t="s">
        <v>352</v>
      </c>
      <c r="V19" s="42" t="s">
        <v>352</v>
      </c>
      <c r="W19" s="42" t="s">
        <v>352</v>
      </c>
      <c r="X19" s="42" t="s">
        <v>352</v>
      </c>
      <c r="Y19" s="42" t="s">
        <v>352</v>
      </c>
      <c r="Z19" s="122">
        <v>23.5</v>
      </c>
      <c r="AA19" s="132">
        <v>1.17</v>
      </c>
      <c r="AB19" s="125">
        <v>29.2</v>
      </c>
      <c r="AC19" s="146">
        <v>61</v>
      </c>
      <c r="AD19" s="42" t="s">
        <v>352</v>
      </c>
      <c r="AE19" s="42" t="s">
        <v>352</v>
      </c>
      <c r="AF19" s="134">
        <v>6.65</v>
      </c>
      <c r="AG19" s="134">
        <v>8.8800000000000008</v>
      </c>
      <c r="AH19" s="134">
        <v>11.1</v>
      </c>
      <c r="AI19" s="134">
        <v>5.78</v>
      </c>
      <c r="AJ19" s="150">
        <v>5.31</v>
      </c>
      <c r="AK19" s="152">
        <v>264.85000000000002</v>
      </c>
      <c r="AL19" s="159" t="s">
        <v>351</v>
      </c>
      <c r="AM19" s="123" t="s">
        <v>351</v>
      </c>
      <c r="AN19" s="122">
        <v>0.94249836613243021</v>
      </c>
      <c r="AO19" s="162">
        <v>0</v>
      </c>
      <c r="AP19" s="59" t="s">
        <v>351</v>
      </c>
      <c r="AQ19" s="160">
        <v>628.6</v>
      </c>
      <c r="AR19" s="161">
        <v>479.24</v>
      </c>
      <c r="AS19" s="200">
        <v>0.27335157464623072</v>
      </c>
      <c r="AT19" s="42" t="s">
        <v>352</v>
      </c>
      <c r="AU19" s="42" t="s">
        <v>352</v>
      </c>
      <c r="AV19" s="164">
        <v>596.51565391027168</v>
      </c>
      <c r="AW19" s="164">
        <v>19.207446557500827</v>
      </c>
      <c r="AX19" s="164">
        <v>17.97</v>
      </c>
      <c r="AY19" s="42" t="s">
        <v>352</v>
      </c>
      <c r="AZ19" s="166" t="s">
        <v>351</v>
      </c>
      <c r="BA19" s="42" t="s">
        <v>352</v>
      </c>
      <c r="BB19" s="42" t="s">
        <v>352</v>
      </c>
      <c r="BC19" s="42" t="s">
        <v>352</v>
      </c>
      <c r="BD19" s="42" t="s">
        <v>352</v>
      </c>
      <c r="BE19" s="200">
        <v>2.75</v>
      </c>
      <c r="BF19" s="200">
        <v>35.090000000000003</v>
      </c>
      <c r="BG19" s="168">
        <v>6.26</v>
      </c>
      <c r="BH19" s="171">
        <v>23.33</v>
      </c>
      <c r="BI19" s="42" t="s">
        <v>352</v>
      </c>
      <c r="BJ19" s="42" t="s">
        <v>352</v>
      </c>
      <c r="BK19" s="42" t="s">
        <v>352</v>
      </c>
      <c r="BL19" s="162">
        <v>103.34575999244963</v>
      </c>
      <c r="BM19" s="162">
        <v>170.76825067245528</v>
      </c>
      <c r="BN19" s="162">
        <v>71.197678259638522</v>
      </c>
      <c r="BO19" s="42" t="s">
        <v>352</v>
      </c>
      <c r="BP19" s="42" t="s">
        <v>352</v>
      </c>
      <c r="BQ19" s="42" t="s">
        <v>352</v>
      </c>
      <c r="BR19" s="55" t="s">
        <v>358</v>
      </c>
      <c r="BS19" s="126">
        <v>25.54</v>
      </c>
      <c r="BT19" s="186" t="s">
        <v>353</v>
      </c>
      <c r="BU19" s="131">
        <v>34.65</v>
      </c>
      <c r="BV19" s="42" t="s">
        <v>352</v>
      </c>
      <c r="BW19" s="42" t="s">
        <v>352</v>
      </c>
      <c r="BX19" s="42" t="s">
        <v>352</v>
      </c>
      <c r="BY19" s="42" t="s">
        <v>352</v>
      </c>
      <c r="BZ19" s="191">
        <v>0</v>
      </c>
      <c r="CA19" s="191">
        <v>0</v>
      </c>
      <c r="CB19" s="198" t="s">
        <v>351</v>
      </c>
      <c r="CC19" s="39" t="s">
        <v>351</v>
      </c>
      <c r="CD19" s="42" t="s">
        <v>352</v>
      </c>
    </row>
    <row r="20" spans="1:82">
      <c r="A20" s="3" t="s">
        <v>363</v>
      </c>
      <c r="B20" s="3" t="s">
        <v>364</v>
      </c>
      <c r="C20" s="27" t="s">
        <v>349</v>
      </c>
      <c r="D20" s="3" t="s">
        <v>365</v>
      </c>
      <c r="E20" s="29">
        <v>3001</v>
      </c>
      <c r="F20" s="3" t="s">
        <v>366</v>
      </c>
      <c r="G20" s="4">
        <v>3103</v>
      </c>
      <c r="H20" s="10">
        <v>288.06591700000001</v>
      </c>
      <c r="I20" s="42" t="s">
        <v>352</v>
      </c>
      <c r="J20" s="41">
        <v>2355.436616</v>
      </c>
      <c r="K20" s="42" t="s">
        <v>352</v>
      </c>
      <c r="L20" s="119">
        <v>83.04</v>
      </c>
      <c r="M20" s="120">
        <v>59.28</v>
      </c>
      <c r="N20" s="42" t="s">
        <v>352</v>
      </c>
      <c r="O20" s="60">
        <v>1543.13</v>
      </c>
      <c r="P20" s="42" t="s">
        <v>352</v>
      </c>
      <c r="Q20" s="60">
        <v>721.29</v>
      </c>
      <c r="R20" s="122">
        <v>0.8</v>
      </c>
      <c r="S20" s="62">
        <v>543.97</v>
      </c>
      <c r="T20" s="42" t="s">
        <v>352</v>
      </c>
      <c r="U20" s="42" t="s">
        <v>352</v>
      </c>
      <c r="V20" s="42" t="s">
        <v>352</v>
      </c>
      <c r="W20" s="42" t="s">
        <v>352</v>
      </c>
      <c r="X20" s="42" t="s">
        <v>352</v>
      </c>
      <c r="Y20" s="42" t="s">
        <v>352</v>
      </c>
      <c r="Z20" s="122">
        <v>7.92</v>
      </c>
      <c r="AA20" s="124" t="s">
        <v>351</v>
      </c>
      <c r="AB20" s="142" t="s">
        <v>351</v>
      </c>
      <c r="AC20" s="145" t="s">
        <v>351</v>
      </c>
      <c r="AD20" s="42" t="s">
        <v>352</v>
      </c>
      <c r="AE20" s="42" t="s">
        <v>352</v>
      </c>
      <c r="AF20" s="147" t="s">
        <v>351</v>
      </c>
      <c r="AG20" s="148" t="s">
        <v>351</v>
      </c>
      <c r="AH20" s="149" t="s">
        <v>351</v>
      </c>
      <c r="AI20" s="149" t="s">
        <v>351</v>
      </c>
      <c r="AJ20" s="150">
        <v>7.05</v>
      </c>
      <c r="AK20" s="152">
        <v>232.61</v>
      </c>
      <c r="AL20" s="159" t="s">
        <v>351</v>
      </c>
      <c r="AM20" s="123" t="s">
        <v>351</v>
      </c>
      <c r="AN20" s="122">
        <v>0.79062541338732839</v>
      </c>
      <c r="AO20" s="162">
        <v>0</v>
      </c>
      <c r="AP20" s="59" t="s">
        <v>351</v>
      </c>
      <c r="AQ20" s="160">
        <v>521.6</v>
      </c>
      <c r="AR20" s="161">
        <v>4638.04</v>
      </c>
      <c r="AS20" s="200">
        <v>0.31278438126234726</v>
      </c>
      <c r="AT20" s="42" t="s">
        <v>352</v>
      </c>
      <c r="AU20" s="42" t="s">
        <v>352</v>
      </c>
      <c r="AV20" s="164">
        <v>123.05779987569919</v>
      </c>
      <c r="AW20" s="164">
        <v>2.7912877986889404</v>
      </c>
      <c r="AX20" s="164">
        <v>20.56</v>
      </c>
      <c r="AY20" s="42" t="s">
        <v>352</v>
      </c>
      <c r="AZ20" s="165">
        <v>0.1</v>
      </c>
      <c r="BA20" s="42" t="s">
        <v>352</v>
      </c>
      <c r="BB20" s="42" t="s">
        <v>352</v>
      </c>
      <c r="BC20" s="42" t="s">
        <v>352</v>
      </c>
      <c r="BD20" s="42" t="s">
        <v>352</v>
      </c>
      <c r="BE20" s="200">
        <v>2.09</v>
      </c>
      <c r="BF20" s="200">
        <v>39.020000000000003</v>
      </c>
      <c r="BG20" s="168">
        <v>14.25</v>
      </c>
      <c r="BH20" s="171">
        <v>31.41</v>
      </c>
      <c r="BI20" s="42" t="s">
        <v>352</v>
      </c>
      <c r="BJ20" s="42" t="s">
        <v>352</v>
      </c>
      <c r="BK20" s="42" t="s">
        <v>352</v>
      </c>
      <c r="BL20" s="162">
        <v>120.53288221611334</v>
      </c>
      <c r="BM20" s="162">
        <v>128.28645943469374</v>
      </c>
      <c r="BN20" s="162">
        <v>56.389652498766473</v>
      </c>
      <c r="BO20" s="42" t="s">
        <v>352</v>
      </c>
      <c r="BP20" s="42" t="s">
        <v>352</v>
      </c>
      <c r="BQ20" s="42" t="s">
        <v>352</v>
      </c>
      <c r="BR20" s="55" t="s">
        <v>358</v>
      </c>
      <c r="BS20" s="126">
        <v>37.14</v>
      </c>
      <c r="BT20" s="186" t="s">
        <v>355</v>
      </c>
      <c r="BU20" s="131">
        <v>24.96</v>
      </c>
      <c r="BV20" s="42" t="s">
        <v>352</v>
      </c>
      <c r="BW20" s="42" t="s">
        <v>352</v>
      </c>
      <c r="BX20" s="42" t="s">
        <v>352</v>
      </c>
      <c r="BY20" s="42" t="s">
        <v>352</v>
      </c>
      <c r="BZ20" s="190" t="s">
        <v>359</v>
      </c>
      <c r="CA20" s="190" t="s">
        <v>359</v>
      </c>
      <c r="CB20" s="198" t="s">
        <v>353</v>
      </c>
      <c r="CC20" s="39">
        <v>41537.351237048002</v>
      </c>
      <c r="CD20" s="42" t="s">
        <v>352</v>
      </c>
    </row>
    <row r="21" spans="1:82">
      <c r="A21" s="3" t="s">
        <v>363</v>
      </c>
      <c r="B21" s="5" t="s">
        <v>367</v>
      </c>
      <c r="C21" s="27" t="s">
        <v>349</v>
      </c>
      <c r="D21" s="5" t="s">
        <v>368</v>
      </c>
      <c r="E21" s="29">
        <v>3301</v>
      </c>
      <c r="F21" s="5" t="s">
        <v>368</v>
      </c>
      <c r="G21" s="4">
        <v>3301</v>
      </c>
      <c r="H21" s="10">
        <v>263.85396700000001</v>
      </c>
      <c r="I21" s="42" t="s">
        <v>352</v>
      </c>
      <c r="J21" s="41">
        <v>1357.580827</v>
      </c>
      <c r="K21" s="42" t="s">
        <v>352</v>
      </c>
      <c r="L21" s="119">
        <v>82.43</v>
      </c>
      <c r="M21" s="120">
        <v>99.39</v>
      </c>
      <c r="N21" s="42" t="s">
        <v>352</v>
      </c>
      <c r="O21" s="60">
        <v>1120.8599999999999</v>
      </c>
      <c r="P21" s="42" t="s">
        <v>352</v>
      </c>
      <c r="Q21" s="60">
        <v>702.47</v>
      </c>
      <c r="R21" s="122">
        <v>0.96</v>
      </c>
      <c r="S21" s="62">
        <v>462.24</v>
      </c>
      <c r="T21" s="42" t="s">
        <v>352</v>
      </c>
      <c r="U21" s="42" t="s">
        <v>352</v>
      </c>
      <c r="V21" s="42" t="s">
        <v>352</v>
      </c>
      <c r="W21" s="42" t="s">
        <v>352</v>
      </c>
      <c r="X21" s="42" t="s">
        <v>352</v>
      </c>
      <c r="Y21" s="42" t="s">
        <v>352</v>
      </c>
      <c r="Z21" s="122">
        <v>16.28</v>
      </c>
      <c r="AA21" s="124" t="s">
        <v>351</v>
      </c>
      <c r="AB21" s="124" t="s">
        <v>351</v>
      </c>
      <c r="AC21" s="145" t="s">
        <v>351</v>
      </c>
      <c r="AD21" s="42" t="s">
        <v>352</v>
      </c>
      <c r="AE21" s="42" t="s">
        <v>352</v>
      </c>
      <c r="AF21" s="147" t="s">
        <v>351</v>
      </c>
      <c r="AG21" s="148" t="s">
        <v>351</v>
      </c>
      <c r="AH21" s="149" t="s">
        <v>351</v>
      </c>
      <c r="AI21" s="149" t="s">
        <v>351</v>
      </c>
      <c r="AJ21" s="150">
        <v>17.690000000000001</v>
      </c>
      <c r="AK21" s="152">
        <v>535.87</v>
      </c>
      <c r="AL21" s="159" t="s">
        <v>351</v>
      </c>
      <c r="AM21" s="123" t="s">
        <v>351</v>
      </c>
      <c r="AN21" s="122">
        <v>1.5299308672698093</v>
      </c>
      <c r="AO21" s="162">
        <v>0</v>
      </c>
      <c r="AP21" s="59">
        <v>2.48</v>
      </c>
      <c r="AQ21" s="160">
        <v>614.97</v>
      </c>
      <c r="AR21" s="161">
        <v>618.45000000000005</v>
      </c>
      <c r="AS21" s="122" t="s">
        <v>351</v>
      </c>
      <c r="AT21" s="42" t="s">
        <v>352</v>
      </c>
      <c r="AU21" s="42" t="s">
        <v>352</v>
      </c>
      <c r="AV21" s="164">
        <v>348.74000484613521</v>
      </c>
      <c r="AW21" s="164">
        <v>10.181451612903226</v>
      </c>
      <c r="AX21" s="164">
        <v>14.96</v>
      </c>
      <c r="AY21" s="42" t="s">
        <v>352</v>
      </c>
      <c r="AZ21" s="165">
        <v>0.23</v>
      </c>
      <c r="BA21" s="42" t="s">
        <v>352</v>
      </c>
      <c r="BB21" s="42" t="s">
        <v>352</v>
      </c>
      <c r="BC21" s="42" t="s">
        <v>352</v>
      </c>
      <c r="BD21" s="42" t="s">
        <v>352</v>
      </c>
      <c r="BE21" s="200">
        <v>0.23</v>
      </c>
      <c r="BF21" s="200">
        <v>9.11</v>
      </c>
      <c r="BG21" s="168">
        <v>8.83</v>
      </c>
      <c r="BH21" s="171">
        <v>21.21</v>
      </c>
      <c r="BI21" s="42" t="s">
        <v>352</v>
      </c>
      <c r="BJ21" s="42" t="s">
        <v>352</v>
      </c>
      <c r="BK21" s="42" t="s">
        <v>352</v>
      </c>
      <c r="BL21" s="162">
        <v>73.394170911148834</v>
      </c>
      <c r="BM21" s="162">
        <v>124.85851726089417</v>
      </c>
      <c r="BN21" s="162">
        <v>65.78947368421052</v>
      </c>
      <c r="BO21" s="42" t="s">
        <v>352</v>
      </c>
      <c r="BP21" s="42" t="s">
        <v>352</v>
      </c>
      <c r="BQ21" s="42" t="s">
        <v>352</v>
      </c>
      <c r="BR21" s="55" t="s">
        <v>358</v>
      </c>
      <c r="BS21" s="126">
        <v>39.24</v>
      </c>
      <c r="BT21" s="186" t="s">
        <v>355</v>
      </c>
      <c r="BU21" s="131">
        <v>53.97</v>
      </c>
      <c r="BV21" s="42" t="s">
        <v>352</v>
      </c>
      <c r="BW21" s="42" t="s">
        <v>352</v>
      </c>
      <c r="BX21" s="42" t="s">
        <v>352</v>
      </c>
      <c r="BY21" s="42" t="s">
        <v>352</v>
      </c>
      <c r="BZ21" s="190" t="s">
        <v>359</v>
      </c>
      <c r="CA21" s="190" t="s">
        <v>359</v>
      </c>
      <c r="CB21" s="198" t="s">
        <v>355</v>
      </c>
      <c r="CC21" s="39" t="s">
        <v>351</v>
      </c>
      <c r="CD21" s="42" t="s">
        <v>352</v>
      </c>
    </row>
    <row r="22" spans="1:82">
      <c r="A22" s="3" t="s">
        <v>369</v>
      </c>
      <c r="B22" s="3" t="s">
        <v>370</v>
      </c>
      <c r="C22" s="27" t="s">
        <v>349</v>
      </c>
      <c r="D22" s="3" t="s">
        <v>371</v>
      </c>
      <c r="E22" s="29">
        <v>4001</v>
      </c>
      <c r="F22" s="3" t="s">
        <v>372</v>
      </c>
      <c r="G22" s="4">
        <v>4101</v>
      </c>
      <c r="H22" s="10">
        <v>327.98411199999998</v>
      </c>
      <c r="I22" s="42" t="s">
        <v>352</v>
      </c>
      <c r="J22" s="41">
        <v>1689.138205</v>
      </c>
      <c r="K22" s="42" t="s">
        <v>352</v>
      </c>
      <c r="L22" s="119">
        <v>77.36</v>
      </c>
      <c r="M22" s="120">
        <v>79.38</v>
      </c>
      <c r="N22" s="42" t="s">
        <v>352</v>
      </c>
      <c r="O22" s="60">
        <v>1206.4000000000001</v>
      </c>
      <c r="P22" s="42" t="s">
        <v>352</v>
      </c>
      <c r="Q22" s="60">
        <v>744.41</v>
      </c>
      <c r="R22" s="122">
        <v>0.89</v>
      </c>
      <c r="S22" s="62">
        <v>462.36</v>
      </c>
      <c r="T22" s="42" t="s">
        <v>352</v>
      </c>
      <c r="U22" s="42" t="s">
        <v>352</v>
      </c>
      <c r="V22" s="42" t="s">
        <v>352</v>
      </c>
      <c r="W22" s="42" t="s">
        <v>352</v>
      </c>
      <c r="X22" s="42" t="s">
        <v>352</v>
      </c>
      <c r="Y22" s="42" t="s">
        <v>352</v>
      </c>
      <c r="Z22" s="122">
        <v>26.54</v>
      </c>
      <c r="AA22" s="132">
        <v>1.1299999999999999</v>
      </c>
      <c r="AB22" s="125">
        <v>31.7</v>
      </c>
      <c r="AC22" s="146">
        <v>63.06</v>
      </c>
      <c r="AD22" s="42" t="s">
        <v>352</v>
      </c>
      <c r="AE22" s="42" t="s">
        <v>352</v>
      </c>
      <c r="AF22" s="134">
        <v>11.9</v>
      </c>
      <c r="AG22" s="134">
        <v>16.04</v>
      </c>
      <c r="AH22" s="134">
        <v>21.42</v>
      </c>
      <c r="AI22" s="134">
        <v>8.49</v>
      </c>
      <c r="AJ22" s="150">
        <v>4.0999999999999996</v>
      </c>
      <c r="AK22" s="152">
        <v>353.44</v>
      </c>
      <c r="AL22" s="123">
        <v>3.57</v>
      </c>
      <c r="AM22" s="123">
        <v>7.14</v>
      </c>
      <c r="AN22" s="122">
        <v>0.99658603005653479</v>
      </c>
      <c r="AO22" s="122">
        <v>1.1461869703549419</v>
      </c>
      <c r="AP22" s="59" t="s">
        <v>351</v>
      </c>
      <c r="AQ22" s="160">
        <v>686.15</v>
      </c>
      <c r="AR22" s="161">
        <v>450.52</v>
      </c>
      <c r="AS22" s="200">
        <v>1.361755384629572E-2</v>
      </c>
      <c r="AT22" s="42" t="s">
        <v>352</v>
      </c>
      <c r="AU22" s="42" t="s">
        <v>352</v>
      </c>
      <c r="AV22" s="164">
        <v>638.24310959116315</v>
      </c>
      <c r="AW22" s="164">
        <v>21.936355817668019</v>
      </c>
      <c r="AX22" s="164">
        <v>13.4</v>
      </c>
      <c r="AY22" s="42" t="s">
        <v>352</v>
      </c>
      <c r="AZ22" s="166" t="s">
        <v>351</v>
      </c>
      <c r="BA22" s="42" t="s">
        <v>352</v>
      </c>
      <c r="BB22" s="42" t="s">
        <v>352</v>
      </c>
      <c r="BC22" s="42" t="s">
        <v>352</v>
      </c>
      <c r="BD22" s="42" t="s">
        <v>352</v>
      </c>
      <c r="BE22" s="200">
        <v>0.03</v>
      </c>
      <c r="BF22" s="200">
        <v>6.41</v>
      </c>
      <c r="BG22" s="168">
        <v>10.24</v>
      </c>
      <c r="BH22" s="171">
        <v>20.13</v>
      </c>
      <c r="BI22" s="42" t="s">
        <v>352</v>
      </c>
      <c r="BJ22" s="42" t="s">
        <v>352</v>
      </c>
      <c r="BK22" s="42" t="s">
        <v>352</v>
      </c>
      <c r="BL22" s="162">
        <v>85.145595281975673</v>
      </c>
      <c r="BM22" s="162">
        <v>205.18491215136996</v>
      </c>
      <c r="BN22" s="162">
        <v>59.876315681697179</v>
      </c>
      <c r="BO22" s="42" t="s">
        <v>352</v>
      </c>
      <c r="BP22" s="42" t="s">
        <v>352</v>
      </c>
      <c r="BQ22" s="42" t="s">
        <v>352</v>
      </c>
      <c r="BR22" s="61">
        <v>8.27</v>
      </c>
      <c r="BS22" s="126">
        <v>14</v>
      </c>
      <c r="BT22" s="186" t="s">
        <v>353</v>
      </c>
      <c r="BU22" s="131">
        <v>26.98</v>
      </c>
      <c r="BV22" s="42" t="s">
        <v>352</v>
      </c>
      <c r="BW22" s="42" t="s">
        <v>352</v>
      </c>
      <c r="BX22" s="42" t="s">
        <v>352</v>
      </c>
      <c r="BY22" s="42" t="s">
        <v>352</v>
      </c>
      <c r="BZ22" s="191">
        <v>0</v>
      </c>
      <c r="CA22" s="191">
        <v>0</v>
      </c>
      <c r="CB22" s="198" t="s">
        <v>351</v>
      </c>
      <c r="CC22" s="39" t="s">
        <v>351</v>
      </c>
      <c r="CD22" s="42" t="s">
        <v>352</v>
      </c>
    </row>
    <row r="23" spans="1:82">
      <c r="A23" s="3" t="s">
        <v>369</v>
      </c>
      <c r="B23" s="3" t="s">
        <v>370</v>
      </c>
      <c r="C23" s="27" t="s">
        <v>349</v>
      </c>
      <c r="D23" s="3" t="s">
        <v>371</v>
      </c>
      <c r="E23" s="29">
        <v>4001</v>
      </c>
      <c r="F23" s="3" t="s">
        <v>369</v>
      </c>
      <c r="G23" s="4">
        <v>4102</v>
      </c>
      <c r="H23" s="10">
        <v>266.58631100000002</v>
      </c>
      <c r="I23" s="42" t="s">
        <v>352</v>
      </c>
      <c r="J23" s="41">
        <v>2781.0715799999998</v>
      </c>
      <c r="K23" s="42" t="s">
        <v>352</v>
      </c>
      <c r="L23" s="119">
        <v>79.53</v>
      </c>
      <c r="M23" s="120">
        <v>52.89</v>
      </c>
      <c r="N23" s="42" t="s">
        <v>352</v>
      </c>
      <c r="O23" s="60">
        <v>1458.97</v>
      </c>
      <c r="P23" s="42" t="s">
        <v>352</v>
      </c>
      <c r="Q23" s="60">
        <v>591.73</v>
      </c>
      <c r="R23" s="122">
        <v>0.79</v>
      </c>
      <c r="S23" s="62">
        <v>409.4</v>
      </c>
      <c r="T23" s="42" t="s">
        <v>352</v>
      </c>
      <c r="U23" s="42" t="s">
        <v>352</v>
      </c>
      <c r="V23" s="42" t="s">
        <v>352</v>
      </c>
      <c r="W23" s="42" t="s">
        <v>352</v>
      </c>
      <c r="X23" s="42" t="s">
        <v>352</v>
      </c>
      <c r="Y23" s="42" t="s">
        <v>352</v>
      </c>
      <c r="Z23" s="122">
        <v>13.09</v>
      </c>
      <c r="AA23" s="135">
        <v>1.25</v>
      </c>
      <c r="AB23" s="125">
        <v>27.7</v>
      </c>
      <c r="AC23" s="146">
        <v>71.02</v>
      </c>
      <c r="AD23" s="42" t="s">
        <v>352</v>
      </c>
      <c r="AE23" s="42" t="s">
        <v>352</v>
      </c>
      <c r="AF23" s="134">
        <v>9.7200000000000006</v>
      </c>
      <c r="AG23" s="134">
        <v>13.8</v>
      </c>
      <c r="AH23" s="134">
        <v>19.29</v>
      </c>
      <c r="AI23" s="134">
        <v>8.4499999999999993</v>
      </c>
      <c r="AJ23" s="150">
        <v>7.17</v>
      </c>
      <c r="AK23" s="152">
        <v>223.95</v>
      </c>
      <c r="AL23" s="123">
        <v>3.93</v>
      </c>
      <c r="AM23" s="123">
        <v>7.71</v>
      </c>
      <c r="AN23" s="122">
        <v>1.1051070053486707</v>
      </c>
      <c r="AO23" s="122">
        <v>1.0252346579678717</v>
      </c>
      <c r="AP23" s="59" t="s">
        <v>351</v>
      </c>
      <c r="AQ23" s="160">
        <v>642.92999999999995</v>
      </c>
      <c r="AR23" s="161">
        <v>467.77</v>
      </c>
      <c r="AS23" s="200">
        <v>1.8571001172359099E-2</v>
      </c>
      <c r="AT23" s="42" t="s">
        <v>352</v>
      </c>
      <c r="AU23" s="42" t="s">
        <v>352</v>
      </c>
      <c r="AV23" s="164">
        <v>506.67390509010659</v>
      </c>
      <c r="AW23" s="164">
        <v>17.107994915260992</v>
      </c>
      <c r="AX23" s="164">
        <v>15.74</v>
      </c>
      <c r="AY23" s="42" t="s">
        <v>352</v>
      </c>
      <c r="AZ23" s="166" t="s">
        <v>351</v>
      </c>
      <c r="BA23" s="42" t="s">
        <v>352</v>
      </c>
      <c r="BB23" s="42" t="s">
        <v>352</v>
      </c>
      <c r="BC23" s="42" t="s">
        <v>352</v>
      </c>
      <c r="BD23" s="42" t="s">
        <v>352</v>
      </c>
      <c r="BE23" s="200">
        <v>0.4</v>
      </c>
      <c r="BF23" s="200">
        <v>13.52</v>
      </c>
      <c r="BG23" s="168">
        <v>13.41</v>
      </c>
      <c r="BH23" s="171">
        <v>18.03</v>
      </c>
      <c r="BI23" s="42" t="s">
        <v>352</v>
      </c>
      <c r="BJ23" s="42" t="s">
        <v>352</v>
      </c>
      <c r="BK23" s="42" t="s">
        <v>352</v>
      </c>
      <c r="BL23" s="162">
        <v>99.582780427739735</v>
      </c>
      <c r="BM23" s="162">
        <v>193.70624076000112</v>
      </c>
      <c r="BN23" s="162">
        <v>74.039538229187841</v>
      </c>
      <c r="BO23" s="42" t="s">
        <v>352</v>
      </c>
      <c r="BP23" s="42" t="s">
        <v>352</v>
      </c>
      <c r="BQ23" s="42" t="s">
        <v>352</v>
      </c>
      <c r="BR23" s="61">
        <v>2.23</v>
      </c>
      <c r="BS23" s="126">
        <v>17.190000000000001</v>
      </c>
      <c r="BT23" s="186" t="s">
        <v>353</v>
      </c>
      <c r="BU23" s="131">
        <v>39.020000000000003</v>
      </c>
      <c r="BV23" s="42" t="s">
        <v>352</v>
      </c>
      <c r="BW23" s="42" t="s">
        <v>352</v>
      </c>
      <c r="BX23" s="42" t="s">
        <v>352</v>
      </c>
      <c r="BY23" s="42" t="s">
        <v>352</v>
      </c>
      <c r="BZ23" s="191">
        <v>0</v>
      </c>
      <c r="CA23" s="191">
        <v>0</v>
      </c>
      <c r="CB23" s="198" t="s">
        <v>351</v>
      </c>
      <c r="CC23" s="39" t="s">
        <v>351</v>
      </c>
      <c r="CD23" s="42" t="s">
        <v>352</v>
      </c>
    </row>
    <row r="24" spans="1:82">
      <c r="A24" s="3" t="s">
        <v>369</v>
      </c>
      <c r="B24" s="3" t="s">
        <v>373</v>
      </c>
      <c r="C24" s="27" t="s">
        <v>349</v>
      </c>
      <c r="D24" s="3" t="s">
        <v>374</v>
      </c>
      <c r="E24" s="29">
        <v>4301</v>
      </c>
      <c r="F24" s="6" t="s">
        <v>374</v>
      </c>
      <c r="G24" s="4">
        <v>4301</v>
      </c>
      <c r="H24" s="10">
        <v>281.99040200000002</v>
      </c>
      <c r="I24" s="42" t="s">
        <v>352</v>
      </c>
      <c r="J24" s="41">
        <v>1073.3798389999999</v>
      </c>
      <c r="K24" s="42" t="s">
        <v>352</v>
      </c>
      <c r="L24" s="119">
        <v>86.27</v>
      </c>
      <c r="M24" s="120">
        <v>85.76</v>
      </c>
      <c r="N24" s="42" t="s">
        <v>352</v>
      </c>
      <c r="O24" s="60">
        <v>994.75</v>
      </c>
      <c r="P24" s="42" t="s">
        <v>352</v>
      </c>
      <c r="Q24" s="60">
        <v>645.61</v>
      </c>
      <c r="R24" s="122">
        <v>0.95</v>
      </c>
      <c r="S24" s="62">
        <v>417.45</v>
      </c>
      <c r="T24" s="42" t="s">
        <v>352</v>
      </c>
      <c r="U24" s="42" t="s">
        <v>352</v>
      </c>
      <c r="V24" s="42" t="s">
        <v>352</v>
      </c>
      <c r="W24" s="42" t="s">
        <v>352</v>
      </c>
      <c r="X24" s="42" t="s">
        <v>352</v>
      </c>
      <c r="Y24" s="42" t="s">
        <v>352</v>
      </c>
      <c r="Z24" s="122">
        <v>9.4499999999999993</v>
      </c>
      <c r="AA24" s="124" t="s">
        <v>351</v>
      </c>
      <c r="AB24" s="124" t="s">
        <v>351</v>
      </c>
      <c r="AC24" s="145" t="s">
        <v>351</v>
      </c>
      <c r="AD24" s="42" t="s">
        <v>352</v>
      </c>
      <c r="AE24" s="42" t="s">
        <v>352</v>
      </c>
      <c r="AF24" s="147" t="s">
        <v>351</v>
      </c>
      <c r="AG24" s="148" t="s">
        <v>351</v>
      </c>
      <c r="AH24" s="149" t="s">
        <v>351</v>
      </c>
      <c r="AI24" s="149" t="s">
        <v>351</v>
      </c>
      <c r="AJ24" s="150">
        <v>10.01</v>
      </c>
      <c r="AK24" s="152">
        <v>359.36</v>
      </c>
      <c r="AL24" s="159" t="s">
        <v>351</v>
      </c>
      <c r="AM24" s="123" t="s">
        <v>351</v>
      </c>
      <c r="AN24" s="122">
        <v>1.5307869676612915</v>
      </c>
      <c r="AO24" s="122">
        <v>0.63919876412675991</v>
      </c>
      <c r="AP24" s="59">
        <v>1.5</v>
      </c>
      <c r="AQ24" s="160">
        <v>540.16999999999996</v>
      </c>
      <c r="AR24" s="161">
        <v>787.49</v>
      </c>
      <c r="AS24" s="200">
        <v>2.2067165880356253E-2</v>
      </c>
      <c r="AT24" s="42" t="s">
        <v>352</v>
      </c>
      <c r="AU24" s="42" t="s">
        <v>352</v>
      </c>
      <c r="AV24" s="164">
        <v>272.11589830615003</v>
      </c>
      <c r="AW24" s="164">
        <v>7.2196838313767344</v>
      </c>
      <c r="AX24" s="164">
        <v>10.71</v>
      </c>
      <c r="AY24" s="42" t="s">
        <v>352</v>
      </c>
      <c r="AZ24" s="165">
        <v>0.13</v>
      </c>
      <c r="BA24" s="42" t="s">
        <v>352</v>
      </c>
      <c r="BB24" s="42" t="s">
        <v>352</v>
      </c>
      <c r="BC24" s="42" t="s">
        <v>352</v>
      </c>
      <c r="BD24" s="42" t="s">
        <v>352</v>
      </c>
      <c r="BE24" s="200">
        <v>0</v>
      </c>
      <c r="BF24" s="200">
        <v>0</v>
      </c>
      <c r="BG24" s="168">
        <v>5.74</v>
      </c>
      <c r="BH24" s="171">
        <v>26.12</v>
      </c>
      <c r="BI24" s="42" t="s">
        <v>352</v>
      </c>
      <c r="BJ24" s="42" t="s">
        <v>352</v>
      </c>
      <c r="BK24" s="42" t="s">
        <v>352</v>
      </c>
      <c r="BL24" s="162">
        <v>73.372465314834571</v>
      </c>
      <c r="BM24" s="162">
        <v>161.16929028815369</v>
      </c>
      <c r="BN24" s="162">
        <v>51.527481323372463</v>
      </c>
      <c r="BO24" s="42" t="s">
        <v>352</v>
      </c>
      <c r="BP24" s="42" t="s">
        <v>352</v>
      </c>
      <c r="BQ24" s="42" t="s">
        <v>352</v>
      </c>
      <c r="BR24" s="55" t="s">
        <v>358</v>
      </c>
      <c r="BS24" s="126">
        <v>13.78</v>
      </c>
      <c r="BT24" s="186" t="s">
        <v>353</v>
      </c>
      <c r="BU24" s="131">
        <v>60.36</v>
      </c>
      <c r="BV24" s="42" t="s">
        <v>352</v>
      </c>
      <c r="BW24" s="42" t="s">
        <v>352</v>
      </c>
      <c r="BX24" s="42" t="s">
        <v>352</v>
      </c>
      <c r="BY24" s="42" t="s">
        <v>352</v>
      </c>
      <c r="BZ24" s="191">
        <v>0</v>
      </c>
      <c r="CA24" s="191">
        <v>100</v>
      </c>
      <c r="CB24" s="198" t="s">
        <v>351</v>
      </c>
      <c r="CC24" s="39" t="s">
        <v>351</v>
      </c>
      <c r="CD24" s="42" t="s">
        <v>352</v>
      </c>
    </row>
    <row r="25" spans="1:82">
      <c r="A25" s="3" t="s">
        <v>375</v>
      </c>
      <c r="B25" s="3" t="s">
        <v>375</v>
      </c>
      <c r="C25" s="27" t="s">
        <v>376</v>
      </c>
      <c r="D25" s="3" t="s">
        <v>376</v>
      </c>
      <c r="E25" s="29">
        <v>5001</v>
      </c>
      <c r="F25" s="3" t="s">
        <v>375</v>
      </c>
      <c r="G25" s="4">
        <v>5101</v>
      </c>
      <c r="H25" s="10">
        <v>696.15415599999994</v>
      </c>
      <c r="I25" s="42" t="s">
        <v>352</v>
      </c>
      <c r="J25" s="41">
        <v>2060.726776</v>
      </c>
      <c r="K25" s="42" t="s">
        <v>352</v>
      </c>
      <c r="L25" s="119">
        <v>33.53</v>
      </c>
      <c r="M25" s="120">
        <v>78.739999999999995</v>
      </c>
      <c r="N25" s="42" t="s">
        <v>352</v>
      </c>
      <c r="O25" s="60">
        <v>1119.1400000000001</v>
      </c>
      <c r="P25" s="42" t="s">
        <v>352</v>
      </c>
      <c r="Q25" s="60">
        <v>675.89</v>
      </c>
      <c r="R25" s="122">
        <v>0.85</v>
      </c>
      <c r="S25" s="62">
        <v>533.57000000000005</v>
      </c>
      <c r="T25" s="42" t="s">
        <v>352</v>
      </c>
      <c r="U25" s="42" t="s">
        <v>352</v>
      </c>
      <c r="V25" s="42" t="s">
        <v>352</v>
      </c>
      <c r="W25" s="42" t="s">
        <v>352</v>
      </c>
      <c r="X25" s="42" t="s">
        <v>352</v>
      </c>
      <c r="Y25" s="42" t="s">
        <v>352</v>
      </c>
      <c r="Z25" s="122">
        <v>15.16</v>
      </c>
      <c r="AA25" s="135">
        <v>0.83333333333333337</v>
      </c>
      <c r="AB25" s="125">
        <v>45.5</v>
      </c>
      <c r="AC25" s="144">
        <v>72.7</v>
      </c>
      <c r="AD25" s="42" t="s">
        <v>352</v>
      </c>
      <c r="AE25" s="42" t="s">
        <v>352</v>
      </c>
      <c r="AF25" s="134">
        <v>20.13</v>
      </c>
      <c r="AG25" s="134">
        <v>27.52</v>
      </c>
      <c r="AH25" s="134">
        <v>33.79</v>
      </c>
      <c r="AI25" s="134">
        <v>13.76</v>
      </c>
      <c r="AJ25" s="150">
        <v>4.47</v>
      </c>
      <c r="AK25" s="152">
        <v>211.38</v>
      </c>
      <c r="AL25" s="159" t="s">
        <v>351</v>
      </c>
      <c r="AM25" s="123" t="s">
        <v>351</v>
      </c>
      <c r="AN25" s="122">
        <v>1.0878812273633183</v>
      </c>
      <c r="AO25" s="122">
        <v>0.46719291118277467</v>
      </c>
      <c r="AP25" s="59" t="s">
        <v>351</v>
      </c>
      <c r="AQ25" s="160">
        <v>685.26</v>
      </c>
      <c r="AR25" s="161">
        <v>482.7</v>
      </c>
      <c r="AS25" s="200">
        <v>6.5920470708151204E-3</v>
      </c>
      <c r="AT25" s="42" t="s">
        <v>352</v>
      </c>
      <c r="AU25" s="42" t="s">
        <v>352</v>
      </c>
      <c r="AV25" s="164">
        <v>541.16616724050596</v>
      </c>
      <c r="AW25" s="164">
        <v>20.12484633682967</v>
      </c>
      <c r="AX25" s="164">
        <v>11.61</v>
      </c>
      <c r="AY25" s="42" t="s">
        <v>352</v>
      </c>
      <c r="AZ25" s="165">
        <v>0.94</v>
      </c>
      <c r="BA25" s="42" t="s">
        <v>352</v>
      </c>
      <c r="BB25" s="42" t="s">
        <v>352</v>
      </c>
      <c r="BC25" s="42" t="s">
        <v>352</v>
      </c>
      <c r="BD25" s="42" t="s">
        <v>352</v>
      </c>
      <c r="BE25" s="200">
        <v>1.35</v>
      </c>
      <c r="BF25" s="200">
        <v>25.09</v>
      </c>
      <c r="BG25" s="168">
        <v>7.08</v>
      </c>
      <c r="BH25" s="171">
        <v>19.100000000000001</v>
      </c>
      <c r="BI25" s="42" t="s">
        <v>352</v>
      </c>
      <c r="BJ25" s="42" t="s">
        <v>352</v>
      </c>
      <c r="BK25" s="42" t="s">
        <v>352</v>
      </c>
      <c r="BL25" s="162">
        <v>172.29433082682758</v>
      </c>
      <c r="BM25" s="162">
        <v>226.00060667017897</v>
      </c>
      <c r="BN25" s="162">
        <v>61.305618085157334</v>
      </c>
      <c r="BO25" s="42" t="s">
        <v>352</v>
      </c>
      <c r="BP25" s="42" t="s">
        <v>352</v>
      </c>
      <c r="BQ25" s="42" t="s">
        <v>352</v>
      </c>
      <c r="BR25" s="122">
        <v>18.149999999999999</v>
      </c>
      <c r="BS25" s="126">
        <v>18.62</v>
      </c>
      <c r="BT25" s="186" t="s">
        <v>353</v>
      </c>
      <c r="BU25" s="131">
        <v>37.880000000000003</v>
      </c>
      <c r="BV25" s="42" t="s">
        <v>352</v>
      </c>
      <c r="BW25" s="42" t="s">
        <v>352</v>
      </c>
      <c r="BX25" s="42" t="s">
        <v>352</v>
      </c>
      <c r="BY25" s="42" t="s">
        <v>352</v>
      </c>
      <c r="BZ25" s="191">
        <v>0</v>
      </c>
      <c r="CA25" s="191">
        <v>0</v>
      </c>
      <c r="CB25" s="198" t="s">
        <v>353</v>
      </c>
      <c r="CC25" s="39">
        <v>2075.4506122579305</v>
      </c>
      <c r="CD25" s="42" t="s">
        <v>352</v>
      </c>
    </row>
    <row r="26" spans="1:82">
      <c r="A26" s="3" t="s">
        <v>375</v>
      </c>
      <c r="B26" s="3" t="s">
        <v>375</v>
      </c>
      <c r="C26" s="27" t="s">
        <v>376</v>
      </c>
      <c r="D26" s="3" t="s">
        <v>376</v>
      </c>
      <c r="E26" s="29">
        <v>5001</v>
      </c>
      <c r="F26" s="3" t="s">
        <v>377</v>
      </c>
      <c r="G26" s="4">
        <v>5102</v>
      </c>
      <c r="H26" s="10">
        <v>337.68484699999999</v>
      </c>
      <c r="I26" s="42" t="s">
        <v>352</v>
      </c>
      <c r="J26" s="42" t="s">
        <v>351</v>
      </c>
      <c r="K26" s="42" t="s">
        <v>352</v>
      </c>
      <c r="L26" s="119">
        <v>70.900000000000006</v>
      </c>
      <c r="M26" s="56" t="s">
        <v>351</v>
      </c>
      <c r="N26" s="42" t="s">
        <v>352</v>
      </c>
      <c r="O26" s="58" t="s">
        <v>351</v>
      </c>
      <c r="P26" s="42" t="s">
        <v>352</v>
      </c>
      <c r="Q26" s="60">
        <v>570.74</v>
      </c>
      <c r="R26" s="122">
        <v>1.08</v>
      </c>
      <c r="S26" s="62">
        <v>467.75</v>
      </c>
      <c r="T26" s="42" t="s">
        <v>352</v>
      </c>
      <c r="U26" s="42" t="s">
        <v>352</v>
      </c>
      <c r="V26" s="42" t="s">
        <v>352</v>
      </c>
      <c r="W26" s="42" t="s">
        <v>352</v>
      </c>
      <c r="X26" s="42" t="s">
        <v>352</v>
      </c>
      <c r="Y26" s="42" t="s">
        <v>352</v>
      </c>
      <c r="Z26" s="122">
        <v>7.17</v>
      </c>
      <c r="AA26" s="124" t="s">
        <v>351</v>
      </c>
      <c r="AB26" s="124" t="s">
        <v>351</v>
      </c>
      <c r="AC26" s="145" t="s">
        <v>351</v>
      </c>
      <c r="AD26" s="42" t="s">
        <v>352</v>
      </c>
      <c r="AE26" s="42" t="s">
        <v>352</v>
      </c>
      <c r="AF26" s="147" t="s">
        <v>351</v>
      </c>
      <c r="AG26" s="148" t="s">
        <v>351</v>
      </c>
      <c r="AH26" s="149" t="s">
        <v>351</v>
      </c>
      <c r="AI26" s="149" t="s">
        <v>351</v>
      </c>
      <c r="AJ26" s="150">
        <v>34.82</v>
      </c>
      <c r="AK26" s="152">
        <v>779.89</v>
      </c>
      <c r="AL26" s="159" t="s">
        <v>351</v>
      </c>
      <c r="AM26" s="123" t="s">
        <v>351</v>
      </c>
      <c r="AN26" s="162" t="s">
        <v>351</v>
      </c>
      <c r="AO26" s="122">
        <v>1.0732133375019228</v>
      </c>
      <c r="AP26" s="59" t="s">
        <v>351</v>
      </c>
      <c r="AQ26" s="160">
        <v>797.14</v>
      </c>
      <c r="AR26" s="161">
        <v>1520.18</v>
      </c>
      <c r="AS26" s="200">
        <v>0.2246284521091593</v>
      </c>
      <c r="AT26" s="42" t="s">
        <v>352</v>
      </c>
      <c r="AU26" s="42" t="s">
        <v>352</v>
      </c>
      <c r="AV26" s="164">
        <v>238.01178907121238</v>
      </c>
      <c r="AW26" s="164">
        <v>5.2015876331731778</v>
      </c>
      <c r="AX26" s="164">
        <v>5.36</v>
      </c>
      <c r="AY26" s="42" t="s">
        <v>352</v>
      </c>
      <c r="AZ26" s="166" t="s">
        <v>351</v>
      </c>
      <c r="BA26" s="42" t="s">
        <v>352</v>
      </c>
      <c r="BB26" s="42" t="s">
        <v>352</v>
      </c>
      <c r="BC26" s="42" t="s">
        <v>352</v>
      </c>
      <c r="BD26" s="42" t="s">
        <v>352</v>
      </c>
      <c r="BE26" s="200">
        <v>0</v>
      </c>
      <c r="BF26" s="200">
        <v>24.36</v>
      </c>
      <c r="BG26" s="168">
        <v>8.92</v>
      </c>
      <c r="BH26" s="171">
        <v>16.93</v>
      </c>
      <c r="BI26" s="42" t="s">
        <v>352</v>
      </c>
      <c r="BJ26" s="42" t="s">
        <v>352</v>
      </c>
      <c r="BK26" s="42" t="s">
        <v>352</v>
      </c>
      <c r="BL26" s="162">
        <v>85.648631710883649</v>
      </c>
      <c r="BM26" s="162">
        <v>160.50414316551775</v>
      </c>
      <c r="BN26" s="162">
        <v>53.617436111691383</v>
      </c>
      <c r="BO26" s="42" t="s">
        <v>352</v>
      </c>
      <c r="BP26" s="42" t="s">
        <v>352</v>
      </c>
      <c r="BQ26" s="42" t="s">
        <v>352</v>
      </c>
      <c r="BR26" s="182" t="s">
        <v>602</v>
      </c>
      <c r="BS26" s="126">
        <v>10</v>
      </c>
      <c r="BT26" s="186" t="s">
        <v>355</v>
      </c>
      <c r="BU26" s="131">
        <v>19.14</v>
      </c>
      <c r="BV26" s="42" t="s">
        <v>352</v>
      </c>
      <c r="BW26" s="42" t="s">
        <v>352</v>
      </c>
      <c r="BX26" s="42" t="s">
        <v>352</v>
      </c>
      <c r="BY26" s="42" t="s">
        <v>352</v>
      </c>
      <c r="BZ26" s="190" t="s">
        <v>359</v>
      </c>
      <c r="CA26" s="190" t="s">
        <v>359</v>
      </c>
      <c r="CB26" s="198" t="s">
        <v>351</v>
      </c>
      <c r="CC26" s="39" t="s">
        <v>351</v>
      </c>
      <c r="CD26" s="42" t="s">
        <v>352</v>
      </c>
    </row>
    <row r="27" spans="1:82">
      <c r="A27" s="3" t="s">
        <v>375</v>
      </c>
      <c r="B27" s="3" t="s">
        <v>375</v>
      </c>
      <c r="C27" s="27" t="s">
        <v>376</v>
      </c>
      <c r="D27" s="3" t="s">
        <v>376</v>
      </c>
      <c r="E27" s="29">
        <v>5001</v>
      </c>
      <c r="F27" s="3" t="s">
        <v>378</v>
      </c>
      <c r="G27" s="4">
        <v>5103</v>
      </c>
      <c r="H27" s="10">
        <v>344.79348599999997</v>
      </c>
      <c r="I27" s="42" t="s">
        <v>352</v>
      </c>
      <c r="J27" s="41">
        <v>807.37175300000001</v>
      </c>
      <c r="K27" s="42" t="s">
        <v>352</v>
      </c>
      <c r="L27" s="119">
        <v>72.58</v>
      </c>
      <c r="M27" s="120">
        <v>99.9</v>
      </c>
      <c r="N27" s="42" t="s">
        <v>352</v>
      </c>
      <c r="O27" s="60">
        <v>1845.8</v>
      </c>
      <c r="P27" s="42" t="s">
        <v>352</v>
      </c>
      <c r="Q27" s="60">
        <v>738.37</v>
      </c>
      <c r="R27" s="122">
        <v>0.68</v>
      </c>
      <c r="S27" s="62">
        <v>634.88</v>
      </c>
      <c r="T27" s="42" t="s">
        <v>352</v>
      </c>
      <c r="U27" s="42" t="s">
        <v>352</v>
      </c>
      <c r="V27" s="42" t="s">
        <v>352</v>
      </c>
      <c r="W27" s="42" t="s">
        <v>352</v>
      </c>
      <c r="X27" s="42" t="s">
        <v>352</v>
      </c>
      <c r="Y27" s="42" t="s">
        <v>352</v>
      </c>
      <c r="Z27" s="122">
        <v>15.1</v>
      </c>
      <c r="AA27" s="135">
        <v>0.9</v>
      </c>
      <c r="AB27" s="125">
        <v>18.399999999999999</v>
      </c>
      <c r="AC27" s="144">
        <v>46.6</v>
      </c>
      <c r="AD27" s="42" t="s">
        <v>352</v>
      </c>
      <c r="AE27" s="42" t="s">
        <v>352</v>
      </c>
      <c r="AF27" s="134">
        <v>14.92</v>
      </c>
      <c r="AG27" s="134">
        <v>24.29</v>
      </c>
      <c r="AH27" s="134">
        <v>43.37</v>
      </c>
      <c r="AI27" s="134">
        <v>10.68</v>
      </c>
      <c r="AJ27" s="150">
        <v>8.8699999999999992</v>
      </c>
      <c r="AK27" s="152">
        <v>301.41000000000003</v>
      </c>
      <c r="AL27" s="159" t="s">
        <v>351</v>
      </c>
      <c r="AM27" s="123" t="s">
        <v>351</v>
      </c>
      <c r="AN27" s="122">
        <v>1.1148233683978515</v>
      </c>
      <c r="AO27" s="122">
        <v>2.1105885458222695</v>
      </c>
      <c r="AP27" s="59">
        <v>0</v>
      </c>
      <c r="AQ27" s="160">
        <v>1055.6400000000001</v>
      </c>
      <c r="AR27" s="161">
        <v>913.34</v>
      </c>
      <c r="AS27" s="200">
        <v>2.3730145891853325E-2</v>
      </c>
      <c r="AT27" s="42" t="s">
        <v>352</v>
      </c>
      <c r="AU27" s="42" t="s">
        <v>352</v>
      </c>
      <c r="AV27" s="164">
        <v>590.72580645161293</v>
      </c>
      <c r="AW27" s="164">
        <v>26.623966667405419</v>
      </c>
      <c r="AX27" s="164">
        <v>9.1300000000000008</v>
      </c>
      <c r="AY27" s="42" t="s">
        <v>352</v>
      </c>
      <c r="AZ27" s="165">
        <v>0.91</v>
      </c>
      <c r="BA27" s="42" t="s">
        <v>352</v>
      </c>
      <c r="BB27" s="42" t="s">
        <v>352</v>
      </c>
      <c r="BC27" s="42" t="s">
        <v>352</v>
      </c>
      <c r="BD27" s="42" t="s">
        <v>352</v>
      </c>
      <c r="BE27" s="200">
        <v>0.33</v>
      </c>
      <c r="BF27" s="200">
        <v>11.14</v>
      </c>
      <c r="BG27" s="168">
        <v>2.42</v>
      </c>
      <c r="BH27" s="171">
        <v>17.13</v>
      </c>
      <c r="BI27" s="42" t="s">
        <v>352</v>
      </c>
      <c r="BJ27" s="42" t="s">
        <v>352</v>
      </c>
      <c r="BK27" s="42" t="s">
        <v>352</v>
      </c>
      <c r="BL27" s="162">
        <v>72.915050641608119</v>
      </c>
      <c r="BM27" s="162">
        <v>207.88546353139336</v>
      </c>
      <c r="BN27" s="162">
        <v>53.190310498437533</v>
      </c>
      <c r="BO27" s="42" t="s">
        <v>352</v>
      </c>
      <c r="BP27" s="42" t="s">
        <v>352</v>
      </c>
      <c r="BQ27" s="42" t="s">
        <v>352</v>
      </c>
      <c r="BR27" s="126">
        <v>0</v>
      </c>
      <c r="BS27" s="122">
        <v>52.72</v>
      </c>
      <c r="BT27" s="186" t="s">
        <v>353</v>
      </c>
      <c r="BU27" s="131">
        <v>11.9</v>
      </c>
      <c r="BV27" s="42" t="s">
        <v>352</v>
      </c>
      <c r="BW27" s="42" t="s">
        <v>352</v>
      </c>
      <c r="BX27" s="42" t="s">
        <v>352</v>
      </c>
      <c r="BY27" s="42" t="s">
        <v>352</v>
      </c>
      <c r="BZ27" s="190" t="s">
        <v>359</v>
      </c>
      <c r="CA27" s="190" t="s">
        <v>359</v>
      </c>
      <c r="CB27" s="198" t="s">
        <v>351</v>
      </c>
      <c r="CC27" s="39" t="s">
        <v>351</v>
      </c>
      <c r="CD27" s="42" t="s">
        <v>352</v>
      </c>
    </row>
    <row r="28" spans="1:82">
      <c r="A28" s="3" t="s">
        <v>375</v>
      </c>
      <c r="B28" s="3" t="s">
        <v>375</v>
      </c>
      <c r="C28" s="27" t="s">
        <v>376</v>
      </c>
      <c r="D28" s="3" t="s">
        <v>376</v>
      </c>
      <c r="E28" s="29">
        <v>5001</v>
      </c>
      <c r="F28" s="3" t="s">
        <v>379</v>
      </c>
      <c r="G28" s="4">
        <v>5105</v>
      </c>
      <c r="H28" s="10">
        <v>938.135716</v>
      </c>
      <c r="I28" s="42" t="s">
        <v>352</v>
      </c>
      <c r="J28" s="42" t="s">
        <v>351</v>
      </c>
      <c r="K28" s="42" t="s">
        <v>352</v>
      </c>
      <c r="L28" s="119">
        <v>20.63</v>
      </c>
      <c r="M28" s="56" t="s">
        <v>351</v>
      </c>
      <c r="N28" s="42" t="s">
        <v>352</v>
      </c>
      <c r="O28" s="60">
        <v>1447.44</v>
      </c>
      <c r="P28" s="42" t="s">
        <v>352</v>
      </c>
      <c r="Q28" s="60">
        <v>956.48</v>
      </c>
      <c r="R28" s="122">
        <v>0.84</v>
      </c>
      <c r="S28" s="62">
        <v>997.05</v>
      </c>
      <c r="T28" s="42" t="s">
        <v>352</v>
      </c>
      <c r="U28" s="42" t="s">
        <v>352</v>
      </c>
      <c r="V28" s="42" t="s">
        <v>352</v>
      </c>
      <c r="W28" s="42" t="s">
        <v>352</v>
      </c>
      <c r="X28" s="42" t="s">
        <v>352</v>
      </c>
      <c r="Y28" s="42" t="s">
        <v>352</v>
      </c>
      <c r="Z28" s="122">
        <v>9.8699999999999992</v>
      </c>
      <c r="AA28" s="124" t="s">
        <v>351</v>
      </c>
      <c r="AB28" s="124" t="s">
        <v>351</v>
      </c>
      <c r="AC28" s="145" t="s">
        <v>351</v>
      </c>
      <c r="AD28" s="42" t="s">
        <v>352</v>
      </c>
      <c r="AE28" s="42" t="s">
        <v>352</v>
      </c>
      <c r="AF28" s="147" t="s">
        <v>351</v>
      </c>
      <c r="AG28" s="148" t="s">
        <v>351</v>
      </c>
      <c r="AH28" s="149" t="s">
        <v>351</v>
      </c>
      <c r="AI28" s="149" t="s">
        <v>351</v>
      </c>
      <c r="AJ28" s="150">
        <v>25.4</v>
      </c>
      <c r="AK28" s="152">
        <v>233.64</v>
      </c>
      <c r="AL28" s="159" t="s">
        <v>351</v>
      </c>
      <c r="AM28" s="123" t="s">
        <v>351</v>
      </c>
      <c r="AN28" s="122">
        <v>1.5014792405359219</v>
      </c>
      <c r="AO28" s="122">
        <v>0.79065448058993371</v>
      </c>
      <c r="AP28" s="59">
        <v>36.57</v>
      </c>
      <c r="AQ28" s="160">
        <v>1399.89</v>
      </c>
      <c r="AR28" s="161">
        <v>922.43</v>
      </c>
      <c r="AS28" s="200">
        <v>1.4048519844288971E-2</v>
      </c>
      <c r="AT28" s="42" t="s">
        <v>352</v>
      </c>
      <c r="AU28" s="42" t="s">
        <v>352</v>
      </c>
      <c r="AV28" s="164">
        <v>51.318327974276528</v>
      </c>
      <c r="AW28" s="164">
        <v>4.05323039414872</v>
      </c>
      <c r="AX28" s="164">
        <v>11.46</v>
      </c>
      <c r="AY28" s="42" t="s">
        <v>352</v>
      </c>
      <c r="AZ28" s="165" t="s">
        <v>351</v>
      </c>
      <c r="BA28" s="42" t="s">
        <v>352</v>
      </c>
      <c r="BB28" s="42" t="s">
        <v>352</v>
      </c>
      <c r="BC28" s="42" t="s">
        <v>352</v>
      </c>
      <c r="BD28" s="42" t="s">
        <v>352</v>
      </c>
      <c r="BE28" s="200">
        <v>0.03</v>
      </c>
      <c r="BF28" s="200">
        <v>19.440000000000001</v>
      </c>
      <c r="BG28" s="168">
        <v>8.4499999999999993</v>
      </c>
      <c r="BH28" s="171">
        <v>27.94</v>
      </c>
      <c r="BI28" s="42" t="s">
        <v>352</v>
      </c>
      <c r="BJ28" s="42" t="s">
        <v>352</v>
      </c>
      <c r="BK28" s="42" t="s">
        <v>352</v>
      </c>
      <c r="BL28" s="162">
        <v>99.553027224705403</v>
      </c>
      <c r="BM28" s="162">
        <v>282.91344981714752</v>
      </c>
      <c r="BN28" s="162">
        <v>75.172694026818363</v>
      </c>
      <c r="BO28" s="42" t="s">
        <v>352</v>
      </c>
      <c r="BP28" s="42" t="s">
        <v>352</v>
      </c>
      <c r="BQ28" s="42" t="s">
        <v>352</v>
      </c>
      <c r="BR28" s="126">
        <v>0</v>
      </c>
      <c r="BS28" s="126">
        <v>45.09</v>
      </c>
      <c r="BT28" s="186" t="s">
        <v>353</v>
      </c>
      <c r="BU28" s="131">
        <v>23.28</v>
      </c>
      <c r="BV28" s="42" t="s">
        <v>352</v>
      </c>
      <c r="BW28" s="42" t="s">
        <v>352</v>
      </c>
      <c r="BX28" s="42" t="s">
        <v>352</v>
      </c>
      <c r="BY28" s="42" t="s">
        <v>352</v>
      </c>
      <c r="BZ28" s="190" t="s">
        <v>359</v>
      </c>
      <c r="CA28" s="190" t="s">
        <v>359</v>
      </c>
      <c r="CB28" s="198" t="s">
        <v>355</v>
      </c>
      <c r="CC28" s="39">
        <v>0</v>
      </c>
      <c r="CD28" s="42" t="s">
        <v>352</v>
      </c>
    </row>
    <row r="29" spans="1:82">
      <c r="A29" s="3" t="s">
        <v>375</v>
      </c>
      <c r="B29" s="3" t="s">
        <v>375</v>
      </c>
      <c r="C29" s="27" t="s">
        <v>376</v>
      </c>
      <c r="D29" s="3" t="s">
        <v>376</v>
      </c>
      <c r="E29" s="29">
        <v>5001</v>
      </c>
      <c r="F29" s="3" t="s">
        <v>380</v>
      </c>
      <c r="G29" s="4">
        <v>5107</v>
      </c>
      <c r="H29" s="10">
        <v>492.81739900000002</v>
      </c>
      <c r="I29" s="42" t="s">
        <v>352</v>
      </c>
      <c r="J29" s="41">
        <v>2877.5112869999998</v>
      </c>
      <c r="K29" s="42" t="s">
        <v>352</v>
      </c>
      <c r="L29" s="119">
        <v>48.35</v>
      </c>
      <c r="M29" s="120">
        <v>47.39</v>
      </c>
      <c r="N29" s="42" t="s">
        <v>352</v>
      </c>
      <c r="O29" s="60">
        <v>3284.95</v>
      </c>
      <c r="P29" s="42" t="s">
        <v>352</v>
      </c>
      <c r="Q29" s="60">
        <v>1030.67</v>
      </c>
      <c r="R29" s="122">
        <v>1</v>
      </c>
      <c r="S29" s="62">
        <v>563.89</v>
      </c>
      <c r="T29" s="42" t="s">
        <v>352</v>
      </c>
      <c r="U29" s="42" t="s">
        <v>352</v>
      </c>
      <c r="V29" s="42" t="s">
        <v>352</v>
      </c>
      <c r="W29" s="42" t="s">
        <v>352</v>
      </c>
      <c r="X29" s="42" t="s">
        <v>352</v>
      </c>
      <c r="Y29" s="42" t="s">
        <v>352</v>
      </c>
      <c r="Z29" s="122">
        <v>11.81</v>
      </c>
      <c r="AA29" s="124" t="s">
        <v>351</v>
      </c>
      <c r="AB29" s="124" t="s">
        <v>351</v>
      </c>
      <c r="AC29" s="145" t="s">
        <v>351</v>
      </c>
      <c r="AD29" s="42" t="s">
        <v>352</v>
      </c>
      <c r="AE29" s="42" t="s">
        <v>352</v>
      </c>
      <c r="AF29" s="147" t="s">
        <v>351</v>
      </c>
      <c r="AG29" s="148" t="s">
        <v>351</v>
      </c>
      <c r="AH29" s="149" t="s">
        <v>351</v>
      </c>
      <c r="AI29" s="149" t="s">
        <v>351</v>
      </c>
      <c r="AJ29" s="150">
        <v>5.66</v>
      </c>
      <c r="AK29" s="152">
        <v>540.45000000000005</v>
      </c>
      <c r="AL29" s="159" t="s">
        <v>351</v>
      </c>
      <c r="AM29" s="123" t="s">
        <v>351</v>
      </c>
      <c r="AN29" s="122">
        <v>1.0903049079942464</v>
      </c>
      <c r="AO29" s="122">
        <v>1.5056139700611577</v>
      </c>
      <c r="AP29" s="59">
        <v>4.8099999999999996</v>
      </c>
      <c r="AQ29" s="160">
        <v>785.84</v>
      </c>
      <c r="AR29" s="161">
        <v>756.52</v>
      </c>
      <c r="AS29" s="122" t="s">
        <v>351</v>
      </c>
      <c r="AT29" s="42" t="s">
        <v>352</v>
      </c>
      <c r="AU29" s="42" t="s">
        <v>352</v>
      </c>
      <c r="AV29" s="164">
        <v>136.08288503685992</v>
      </c>
      <c r="AW29" s="164">
        <v>5.7977985908717926</v>
      </c>
      <c r="AX29" s="164">
        <v>15.39</v>
      </c>
      <c r="AY29" s="42" t="s">
        <v>352</v>
      </c>
      <c r="AZ29" s="165" t="s">
        <v>351</v>
      </c>
      <c r="BA29" s="42" t="s">
        <v>352</v>
      </c>
      <c r="BB29" s="42" t="s">
        <v>352</v>
      </c>
      <c r="BC29" s="42" t="s">
        <v>352</v>
      </c>
      <c r="BD29" s="42" t="s">
        <v>352</v>
      </c>
      <c r="BE29" s="200">
        <v>1.37</v>
      </c>
      <c r="BF29" s="200">
        <v>10.69</v>
      </c>
      <c r="BG29" s="168">
        <v>5.29</v>
      </c>
      <c r="BH29" s="171">
        <v>26.91</v>
      </c>
      <c r="BI29" s="42" t="s">
        <v>352</v>
      </c>
      <c r="BJ29" s="42" t="s">
        <v>352</v>
      </c>
      <c r="BK29" s="42" t="s">
        <v>352</v>
      </c>
      <c r="BL29" s="162">
        <v>113.46594606830593</v>
      </c>
      <c r="BM29" s="162">
        <v>213.3499335049942</v>
      </c>
      <c r="BN29" s="162">
        <v>91.112305820435196</v>
      </c>
      <c r="BO29" s="42" t="s">
        <v>352</v>
      </c>
      <c r="BP29" s="42" t="s">
        <v>352</v>
      </c>
      <c r="BQ29" s="42" t="s">
        <v>352</v>
      </c>
      <c r="BR29" s="122">
        <v>15.38</v>
      </c>
      <c r="BS29" s="126">
        <v>49.98</v>
      </c>
      <c r="BT29" s="186" t="s">
        <v>355</v>
      </c>
      <c r="BU29" s="131">
        <v>68.75</v>
      </c>
      <c r="BV29" s="42" t="s">
        <v>352</v>
      </c>
      <c r="BW29" s="42" t="s">
        <v>352</v>
      </c>
      <c r="BX29" s="42" t="s">
        <v>352</v>
      </c>
      <c r="BY29" s="42" t="s">
        <v>352</v>
      </c>
      <c r="BZ29" s="190" t="s">
        <v>359</v>
      </c>
      <c r="CA29" s="190" t="s">
        <v>359</v>
      </c>
      <c r="CB29" s="198" t="s">
        <v>355</v>
      </c>
      <c r="CC29" s="39" t="s">
        <v>351</v>
      </c>
      <c r="CD29" s="42" t="s">
        <v>352</v>
      </c>
    </row>
    <row r="30" spans="1:82">
      <c r="A30" s="3" t="s">
        <v>375</v>
      </c>
      <c r="B30" s="3" t="s">
        <v>375</v>
      </c>
      <c r="C30" s="27" t="s">
        <v>376</v>
      </c>
      <c r="D30" s="3" t="s">
        <v>376</v>
      </c>
      <c r="E30" s="29">
        <v>5001</v>
      </c>
      <c r="F30" s="3" t="s">
        <v>381</v>
      </c>
      <c r="G30" s="4">
        <v>5109</v>
      </c>
      <c r="H30" s="10">
        <v>403.40689700000001</v>
      </c>
      <c r="I30" s="42" t="s">
        <v>352</v>
      </c>
      <c r="J30" s="41">
        <v>2304.1704949999998</v>
      </c>
      <c r="K30" s="42" t="s">
        <v>352</v>
      </c>
      <c r="L30" s="119">
        <v>58.55</v>
      </c>
      <c r="M30" s="120">
        <v>68.17</v>
      </c>
      <c r="N30" s="42" t="s">
        <v>352</v>
      </c>
      <c r="O30" s="60">
        <v>1359.7</v>
      </c>
      <c r="P30" s="42" t="s">
        <v>352</v>
      </c>
      <c r="Q30" s="60">
        <v>636.37</v>
      </c>
      <c r="R30" s="122">
        <v>0.79</v>
      </c>
      <c r="S30" s="62">
        <v>545.5</v>
      </c>
      <c r="T30" s="42" t="s">
        <v>352</v>
      </c>
      <c r="U30" s="42" t="s">
        <v>352</v>
      </c>
      <c r="V30" s="42" t="s">
        <v>352</v>
      </c>
      <c r="W30" s="42" t="s">
        <v>352</v>
      </c>
      <c r="X30" s="42" t="s">
        <v>352</v>
      </c>
      <c r="Y30" s="42" t="s">
        <v>352</v>
      </c>
      <c r="Z30" s="126">
        <v>15.73</v>
      </c>
      <c r="AA30" s="135">
        <v>0.91666666666666663</v>
      </c>
      <c r="AB30" s="125">
        <v>37.4</v>
      </c>
      <c r="AC30" s="144">
        <v>63.6</v>
      </c>
      <c r="AD30" s="42" t="s">
        <v>352</v>
      </c>
      <c r="AE30" s="42" t="s">
        <v>352</v>
      </c>
      <c r="AF30" s="134">
        <v>20.03</v>
      </c>
      <c r="AG30" s="134">
        <v>27.72</v>
      </c>
      <c r="AH30" s="134">
        <v>39.04</v>
      </c>
      <c r="AI30" s="134">
        <v>11.04</v>
      </c>
      <c r="AJ30" s="150">
        <v>4.4800000000000004</v>
      </c>
      <c r="AK30" s="152">
        <v>267.62</v>
      </c>
      <c r="AL30" s="159" t="s">
        <v>351</v>
      </c>
      <c r="AM30" s="123" t="s">
        <v>351</v>
      </c>
      <c r="AN30" s="122">
        <v>1.1059858781721232</v>
      </c>
      <c r="AO30" s="122">
        <v>1.0652175412985818</v>
      </c>
      <c r="AP30" s="59" t="s">
        <v>351</v>
      </c>
      <c r="AQ30" s="160">
        <v>774.77</v>
      </c>
      <c r="AR30" s="161">
        <v>570.62</v>
      </c>
      <c r="AS30" s="200">
        <v>1.7689587789793647E-2</v>
      </c>
      <c r="AT30" s="42" t="s">
        <v>352</v>
      </c>
      <c r="AU30" s="42" t="s">
        <v>352</v>
      </c>
      <c r="AV30" s="164">
        <v>587.05053255385599</v>
      </c>
      <c r="AW30" s="164">
        <v>24.624609493096848</v>
      </c>
      <c r="AX30" s="164">
        <v>4.96</v>
      </c>
      <c r="AY30" s="42" t="s">
        <v>352</v>
      </c>
      <c r="AZ30" s="166" t="s">
        <v>351</v>
      </c>
      <c r="BA30" s="42" t="s">
        <v>352</v>
      </c>
      <c r="BB30" s="42" t="s">
        <v>352</v>
      </c>
      <c r="BC30" s="42" t="s">
        <v>352</v>
      </c>
      <c r="BD30" s="42" t="s">
        <v>352</v>
      </c>
      <c r="BE30" s="200">
        <v>2.19</v>
      </c>
      <c r="BF30" s="201" t="s">
        <v>351</v>
      </c>
      <c r="BG30" s="168">
        <v>5.18</v>
      </c>
      <c r="BH30" s="171">
        <v>17.149999999999999</v>
      </c>
      <c r="BI30" s="42" t="s">
        <v>352</v>
      </c>
      <c r="BJ30" s="42" t="s">
        <v>352</v>
      </c>
      <c r="BK30" s="42" t="s">
        <v>352</v>
      </c>
      <c r="BL30" s="162">
        <v>102.03567469515266</v>
      </c>
      <c r="BM30" s="162">
        <v>212.04944741173705</v>
      </c>
      <c r="BN30" s="162">
        <v>48.148521392500029</v>
      </c>
      <c r="BO30" s="42" t="s">
        <v>352</v>
      </c>
      <c r="BP30" s="42" t="s">
        <v>352</v>
      </c>
      <c r="BQ30" s="42" t="s">
        <v>352</v>
      </c>
      <c r="BR30" s="122">
        <v>22.93</v>
      </c>
      <c r="BS30" s="126">
        <v>56.29</v>
      </c>
      <c r="BT30" s="186" t="s">
        <v>355</v>
      </c>
      <c r="BU30" s="131">
        <v>8.7799999999999994</v>
      </c>
      <c r="BV30" s="42" t="s">
        <v>352</v>
      </c>
      <c r="BW30" s="42" t="s">
        <v>352</v>
      </c>
      <c r="BX30" s="42" t="s">
        <v>352</v>
      </c>
      <c r="BY30" s="42" t="s">
        <v>352</v>
      </c>
      <c r="BZ30" s="195">
        <v>0</v>
      </c>
      <c r="CA30" s="195">
        <v>0</v>
      </c>
      <c r="CB30" s="198" t="s">
        <v>351</v>
      </c>
      <c r="CC30" s="39" t="s">
        <v>351</v>
      </c>
      <c r="CD30" s="42" t="s">
        <v>352</v>
      </c>
    </row>
    <row r="31" spans="1:82">
      <c r="A31" s="3" t="s">
        <v>375</v>
      </c>
      <c r="B31" s="5" t="s">
        <v>382</v>
      </c>
      <c r="C31" s="27" t="s">
        <v>349</v>
      </c>
      <c r="D31" s="5" t="s">
        <v>383</v>
      </c>
      <c r="E31" s="29">
        <v>5301</v>
      </c>
      <c r="F31" s="7" t="s">
        <v>382</v>
      </c>
      <c r="G31" s="4">
        <v>5301</v>
      </c>
      <c r="H31" s="10">
        <v>182.82250400000001</v>
      </c>
      <c r="I31" s="42" t="s">
        <v>352</v>
      </c>
      <c r="J31" s="41">
        <v>1859.8691670000001</v>
      </c>
      <c r="K31" s="42" t="s">
        <v>352</v>
      </c>
      <c r="L31" s="119">
        <v>94.53</v>
      </c>
      <c r="M31" s="120">
        <v>88.75</v>
      </c>
      <c r="N31" s="42" t="s">
        <v>352</v>
      </c>
      <c r="O31" s="60">
        <v>1574.36</v>
      </c>
      <c r="P31" s="42" t="s">
        <v>352</v>
      </c>
      <c r="Q31" s="60">
        <v>781.28</v>
      </c>
      <c r="R31" s="122">
        <v>0.92</v>
      </c>
      <c r="S31" s="62">
        <v>829.82</v>
      </c>
      <c r="T31" s="42" t="s">
        <v>352</v>
      </c>
      <c r="U31" s="42" t="s">
        <v>352</v>
      </c>
      <c r="V31" s="42" t="s">
        <v>352</v>
      </c>
      <c r="W31" s="42" t="s">
        <v>352</v>
      </c>
      <c r="X31" s="42" t="s">
        <v>352</v>
      </c>
      <c r="Y31" s="42" t="s">
        <v>352</v>
      </c>
      <c r="Z31" s="122">
        <v>15.64</v>
      </c>
      <c r="AA31" s="124" t="s">
        <v>351</v>
      </c>
      <c r="AB31" s="124" t="s">
        <v>351</v>
      </c>
      <c r="AC31" s="145" t="s">
        <v>351</v>
      </c>
      <c r="AD31" s="42" t="s">
        <v>352</v>
      </c>
      <c r="AE31" s="42" t="s">
        <v>352</v>
      </c>
      <c r="AF31" s="147" t="s">
        <v>351</v>
      </c>
      <c r="AG31" s="148" t="s">
        <v>351</v>
      </c>
      <c r="AH31" s="149" t="s">
        <v>351</v>
      </c>
      <c r="AI31" s="149" t="s">
        <v>351</v>
      </c>
      <c r="AJ31" s="150">
        <v>10.36</v>
      </c>
      <c r="AK31" s="152">
        <v>452.78</v>
      </c>
      <c r="AL31" s="159" t="s">
        <v>351</v>
      </c>
      <c r="AM31" s="123" t="s">
        <v>351</v>
      </c>
      <c r="AN31" s="122">
        <v>1.0277254209385152</v>
      </c>
      <c r="AO31" s="122">
        <v>4.0888836179513701</v>
      </c>
      <c r="AP31" s="59">
        <v>0.59</v>
      </c>
      <c r="AQ31" s="160">
        <v>770.79</v>
      </c>
      <c r="AR31" s="161">
        <v>640.91</v>
      </c>
      <c r="AS31" s="200">
        <v>5.5728882487386069E-2</v>
      </c>
      <c r="AT31" s="42" t="s">
        <v>352</v>
      </c>
      <c r="AU31" s="42" t="s">
        <v>352</v>
      </c>
      <c r="AV31" s="164">
        <v>619.63545612549581</v>
      </c>
      <c r="AW31" s="164">
        <v>20.573221076306172</v>
      </c>
      <c r="AX31" s="164">
        <v>12.54</v>
      </c>
      <c r="AY31" s="42" t="s">
        <v>352</v>
      </c>
      <c r="AZ31" s="165" t="s">
        <v>351</v>
      </c>
      <c r="BA31" s="42" t="s">
        <v>352</v>
      </c>
      <c r="BB31" s="42" t="s">
        <v>352</v>
      </c>
      <c r="BC31" s="42" t="s">
        <v>352</v>
      </c>
      <c r="BD31" s="42" t="s">
        <v>352</v>
      </c>
      <c r="BE31" s="200">
        <v>0.43</v>
      </c>
      <c r="BF31" s="200">
        <v>5.86</v>
      </c>
      <c r="BG31" s="168">
        <v>7.01</v>
      </c>
      <c r="BH31" s="171">
        <v>11.89</v>
      </c>
      <c r="BI31" s="42" t="s">
        <v>352</v>
      </c>
      <c r="BJ31" s="42" t="s">
        <v>352</v>
      </c>
      <c r="BK31" s="42" t="s">
        <v>352</v>
      </c>
      <c r="BL31" s="162">
        <v>89.963452347483837</v>
      </c>
      <c r="BM31" s="162">
        <v>182.88622878534542</v>
      </c>
      <c r="BN31" s="162">
        <v>55.783259103620736</v>
      </c>
      <c r="BO31" s="42" t="s">
        <v>352</v>
      </c>
      <c r="BP31" s="42" t="s">
        <v>352</v>
      </c>
      <c r="BQ31" s="42" t="s">
        <v>352</v>
      </c>
      <c r="BR31" s="182" t="s">
        <v>358</v>
      </c>
      <c r="BS31" s="126">
        <v>27.7</v>
      </c>
      <c r="BT31" s="186" t="s">
        <v>355</v>
      </c>
      <c r="BU31" s="131">
        <v>49.52</v>
      </c>
      <c r="BV31" s="42" t="s">
        <v>352</v>
      </c>
      <c r="BW31" s="42" t="s">
        <v>352</v>
      </c>
      <c r="BX31" s="42" t="s">
        <v>352</v>
      </c>
      <c r="BY31" s="42" t="s">
        <v>352</v>
      </c>
      <c r="BZ31" s="191">
        <v>0</v>
      </c>
      <c r="CA31" s="191">
        <v>0</v>
      </c>
      <c r="CB31" s="198" t="s">
        <v>351</v>
      </c>
      <c r="CC31" s="39" t="s">
        <v>351</v>
      </c>
      <c r="CD31" s="42" t="s">
        <v>352</v>
      </c>
    </row>
    <row r="32" spans="1:82">
      <c r="A32" s="3" t="s">
        <v>375</v>
      </c>
      <c r="B32" s="5" t="s">
        <v>382</v>
      </c>
      <c r="C32" s="27" t="s">
        <v>349</v>
      </c>
      <c r="D32" s="5" t="s">
        <v>383</v>
      </c>
      <c r="E32" s="29">
        <v>5301</v>
      </c>
      <c r="F32" s="7" t="s">
        <v>384</v>
      </c>
      <c r="G32" s="4">
        <v>5304</v>
      </c>
      <c r="H32" s="10">
        <v>284.84850899999998</v>
      </c>
      <c r="I32" s="42" t="s">
        <v>352</v>
      </c>
      <c r="J32" s="42" t="s">
        <v>351</v>
      </c>
      <c r="K32" s="42" t="s">
        <v>352</v>
      </c>
      <c r="L32" s="119">
        <v>79.7</v>
      </c>
      <c r="M32" s="56" t="s">
        <v>351</v>
      </c>
      <c r="N32" s="42" t="s">
        <v>352</v>
      </c>
      <c r="O32" s="60">
        <v>1596.6</v>
      </c>
      <c r="P32" s="42" t="s">
        <v>352</v>
      </c>
      <c r="Q32" s="60">
        <v>921.76</v>
      </c>
      <c r="R32" s="122">
        <v>0.42</v>
      </c>
      <c r="S32" s="62">
        <v>838.71</v>
      </c>
      <c r="T32" s="42" t="s">
        <v>352</v>
      </c>
      <c r="U32" s="42" t="s">
        <v>352</v>
      </c>
      <c r="V32" s="42" t="s">
        <v>352</v>
      </c>
      <c r="W32" s="42" t="s">
        <v>352</v>
      </c>
      <c r="X32" s="42" t="s">
        <v>352</v>
      </c>
      <c r="Y32" s="42" t="s">
        <v>352</v>
      </c>
      <c r="Z32" s="122">
        <v>4</v>
      </c>
      <c r="AA32" s="124" t="s">
        <v>351</v>
      </c>
      <c r="AB32" s="124" t="s">
        <v>351</v>
      </c>
      <c r="AC32" s="145" t="s">
        <v>351</v>
      </c>
      <c r="AD32" s="42" t="s">
        <v>352</v>
      </c>
      <c r="AE32" s="42" t="s">
        <v>352</v>
      </c>
      <c r="AF32" s="147" t="s">
        <v>351</v>
      </c>
      <c r="AG32" s="148" t="s">
        <v>351</v>
      </c>
      <c r="AH32" s="149" t="s">
        <v>351</v>
      </c>
      <c r="AI32" s="149" t="s">
        <v>351</v>
      </c>
      <c r="AJ32" s="150">
        <v>4.93</v>
      </c>
      <c r="AK32" s="152">
        <v>350.17</v>
      </c>
      <c r="AL32" s="159" t="s">
        <v>351</v>
      </c>
      <c r="AM32" s="123" t="s">
        <v>351</v>
      </c>
      <c r="AN32" s="162" t="s">
        <v>351</v>
      </c>
      <c r="AO32" s="162" t="s">
        <v>351</v>
      </c>
      <c r="AP32" s="59">
        <v>1.97</v>
      </c>
      <c r="AQ32" s="160">
        <v>699.93</v>
      </c>
      <c r="AR32" s="161">
        <v>854.99</v>
      </c>
      <c r="AS32" s="200">
        <v>0.11782916524036369</v>
      </c>
      <c r="AT32" s="42" t="s">
        <v>352</v>
      </c>
      <c r="AU32" s="42" t="s">
        <v>352</v>
      </c>
      <c r="AV32" s="164">
        <v>463.15546315546311</v>
      </c>
      <c r="AW32" s="164">
        <v>9.8885381732097066</v>
      </c>
      <c r="AX32" s="164">
        <v>12.47</v>
      </c>
      <c r="AY32" s="42" t="s">
        <v>352</v>
      </c>
      <c r="AZ32" s="165">
        <v>0.27</v>
      </c>
      <c r="BA32" s="42" t="s">
        <v>352</v>
      </c>
      <c r="BB32" s="42" t="s">
        <v>352</v>
      </c>
      <c r="BC32" s="42" t="s">
        <v>352</v>
      </c>
      <c r="BD32" s="42" t="s">
        <v>352</v>
      </c>
      <c r="BE32" s="200">
        <v>0</v>
      </c>
      <c r="BF32" s="200">
        <v>0</v>
      </c>
      <c r="BG32" s="168">
        <v>10.7</v>
      </c>
      <c r="BH32" s="171">
        <v>12.56</v>
      </c>
      <c r="BI32" s="42" t="s">
        <v>352</v>
      </c>
      <c r="BJ32" s="42" t="s">
        <v>352</v>
      </c>
      <c r="BK32" s="42" t="s">
        <v>352</v>
      </c>
      <c r="BL32" s="162">
        <v>32.550798974156642</v>
      </c>
      <c r="BM32" s="162">
        <v>70.526731110672713</v>
      </c>
      <c r="BN32" s="162">
        <v>38.962319984217793</v>
      </c>
      <c r="BO32" s="42" t="s">
        <v>352</v>
      </c>
      <c r="BP32" s="42" t="s">
        <v>352</v>
      </c>
      <c r="BQ32" s="42" t="s">
        <v>352</v>
      </c>
      <c r="BR32" s="182" t="s">
        <v>358</v>
      </c>
      <c r="BS32" s="126">
        <v>86.41</v>
      </c>
      <c r="BT32" s="186" t="s">
        <v>353</v>
      </c>
      <c r="BU32" s="131">
        <v>62.03</v>
      </c>
      <c r="BV32" s="42" t="s">
        <v>352</v>
      </c>
      <c r="BW32" s="42" t="s">
        <v>352</v>
      </c>
      <c r="BX32" s="42" t="s">
        <v>352</v>
      </c>
      <c r="BY32" s="42" t="s">
        <v>352</v>
      </c>
      <c r="BZ32" s="190" t="s">
        <v>359</v>
      </c>
      <c r="CA32" s="190" t="s">
        <v>359</v>
      </c>
      <c r="CB32" s="198" t="s">
        <v>351</v>
      </c>
      <c r="CC32" s="39" t="s">
        <v>351</v>
      </c>
      <c r="CD32" s="42" t="s">
        <v>352</v>
      </c>
    </row>
    <row r="33" spans="1:82">
      <c r="A33" s="3" t="s">
        <v>375</v>
      </c>
      <c r="B33" s="5" t="s">
        <v>385</v>
      </c>
      <c r="C33" s="27" t="s">
        <v>349</v>
      </c>
      <c r="D33" s="5" t="s">
        <v>386</v>
      </c>
      <c r="E33" s="29">
        <v>5501</v>
      </c>
      <c r="F33" s="7" t="s">
        <v>385</v>
      </c>
      <c r="G33" s="4">
        <v>5501</v>
      </c>
      <c r="H33" s="10">
        <v>302.682886</v>
      </c>
      <c r="I33" s="42" t="s">
        <v>352</v>
      </c>
      <c r="J33" s="41">
        <v>2018.114554</v>
      </c>
      <c r="K33" s="42" t="s">
        <v>352</v>
      </c>
      <c r="L33" s="119">
        <v>72.599999999999994</v>
      </c>
      <c r="M33" s="120">
        <v>78.930000000000007</v>
      </c>
      <c r="N33" s="42" t="s">
        <v>352</v>
      </c>
      <c r="O33" s="60">
        <v>953.56</v>
      </c>
      <c r="P33" s="42" t="s">
        <v>352</v>
      </c>
      <c r="Q33" s="60">
        <v>710.66</v>
      </c>
      <c r="R33" s="122">
        <v>0.9</v>
      </c>
      <c r="S33" s="62">
        <v>680.28</v>
      </c>
      <c r="T33" s="42" t="s">
        <v>352</v>
      </c>
      <c r="U33" s="42" t="s">
        <v>352</v>
      </c>
      <c r="V33" s="42" t="s">
        <v>352</v>
      </c>
      <c r="W33" s="42" t="s">
        <v>352</v>
      </c>
      <c r="X33" s="42" t="s">
        <v>352</v>
      </c>
      <c r="Y33" s="42" t="s">
        <v>352</v>
      </c>
      <c r="Z33" s="122">
        <v>15.59</v>
      </c>
      <c r="AA33" s="124" t="s">
        <v>351</v>
      </c>
      <c r="AB33" s="124" t="s">
        <v>351</v>
      </c>
      <c r="AC33" s="145" t="s">
        <v>351</v>
      </c>
      <c r="AD33" s="42" t="s">
        <v>352</v>
      </c>
      <c r="AE33" s="42" t="s">
        <v>352</v>
      </c>
      <c r="AF33" s="147" t="s">
        <v>351</v>
      </c>
      <c r="AG33" s="148" t="s">
        <v>351</v>
      </c>
      <c r="AH33" s="149" t="s">
        <v>351</v>
      </c>
      <c r="AI33" s="149" t="s">
        <v>351</v>
      </c>
      <c r="AJ33" s="150">
        <v>12.46</v>
      </c>
      <c r="AK33" s="152">
        <v>375.87</v>
      </c>
      <c r="AL33" s="159" t="s">
        <v>351</v>
      </c>
      <c r="AM33" s="123" t="s">
        <v>351</v>
      </c>
      <c r="AN33" s="122">
        <v>0.995757136984879</v>
      </c>
      <c r="AO33" s="122">
        <v>0.5624058966231954</v>
      </c>
      <c r="AP33" s="59" t="s">
        <v>351</v>
      </c>
      <c r="AQ33" s="160">
        <v>729.22</v>
      </c>
      <c r="AR33" s="161">
        <v>639.55999999999995</v>
      </c>
      <c r="AS33" s="200">
        <v>3.3770890075686594E-2</v>
      </c>
      <c r="AT33" s="42" t="s">
        <v>352</v>
      </c>
      <c r="AU33" s="42" t="s">
        <v>352</v>
      </c>
      <c r="AV33" s="164">
        <v>607.39658044121143</v>
      </c>
      <c r="AW33" s="164">
        <v>18.553628906655593</v>
      </c>
      <c r="AX33" s="164">
        <v>11</v>
      </c>
      <c r="AY33" s="42" t="s">
        <v>352</v>
      </c>
      <c r="AZ33" s="165">
        <v>0</v>
      </c>
      <c r="BA33" s="42" t="s">
        <v>352</v>
      </c>
      <c r="BB33" s="42" t="s">
        <v>352</v>
      </c>
      <c r="BC33" s="42" t="s">
        <v>352</v>
      </c>
      <c r="BD33" s="42" t="s">
        <v>352</v>
      </c>
      <c r="BE33" s="200">
        <v>0.18</v>
      </c>
      <c r="BF33" s="200">
        <v>25.52</v>
      </c>
      <c r="BG33" s="168">
        <v>9.93</v>
      </c>
      <c r="BH33" s="171">
        <v>19.78</v>
      </c>
      <c r="BI33" s="42" t="s">
        <v>352</v>
      </c>
      <c r="BJ33" s="42" t="s">
        <v>352</v>
      </c>
      <c r="BK33" s="42" t="s">
        <v>352</v>
      </c>
      <c r="BL33" s="162">
        <v>76.004568580625062</v>
      </c>
      <c r="BM33" s="162">
        <v>171.01027930640637</v>
      </c>
      <c r="BN33" s="162">
        <v>54.511473367251583</v>
      </c>
      <c r="BO33" s="42" t="s">
        <v>352</v>
      </c>
      <c r="BP33" s="42" t="s">
        <v>352</v>
      </c>
      <c r="BQ33" s="42" t="s">
        <v>352</v>
      </c>
      <c r="BR33" s="182" t="s">
        <v>358</v>
      </c>
      <c r="BS33" s="126">
        <v>6.96</v>
      </c>
      <c r="BT33" s="186" t="s">
        <v>355</v>
      </c>
      <c r="BU33" s="131">
        <v>48.1</v>
      </c>
      <c r="BV33" s="42" t="s">
        <v>352</v>
      </c>
      <c r="BW33" s="42" t="s">
        <v>352</v>
      </c>
      <c r="BX33" s="42" t="s">
        <v>352</v>
      </c>
      <c r="BY33" s="42" t="s">
        <v>352</v>
      </c>
      <c r="BZ33" s="190" t="s">
        <v>359</v>
      </c>
      <c r="CA33" s="190" t="s">
        <v>359</v>
      </c>
      <c r="CB33" s="198" t="s">
        <v>355</v>
      </c>
      <c r="CC33" s="39">
        <v>0</v>
      </c>
      <c r="CD33" s="42" t="s">
        <v>352</v>
      </c>
    </row>
    <row r="34" spans="1:82">
      <c r="A34" s="3" t="s">
        <v>375</v>
      </c>
      <c r="B34" s="5" t="s">
        <v>385</v>
      </c>
      <c r="C34" s="27" t="s">
        <v>349</v>
      </c>
      <c r="D34" s="5" t="s">
        <v>386</v>
      </c>
      <c r="E34" s="29">
        <v>5501</v>
      </c>
      <c r="F34" s="7" t="s">
        <v>387</v>
      </c>
      <c r="G34" s="4">
        <v>5502</v>
      </c>
      <c r="H34" s="10">
        <v>351.55293</v>
      </c>
      <c r="I34" s="42" t="s">
        <v>352</v>
      </c>
      <c r="J34" s="41">
        <v>1410.619158</v>
      </c>
      <c r="K34" s="42" t="s">
        <v>352</v>
      </c>
      <c r="L34" s="119">
        <v>60.85</v>
      </c>
      <c r="M34" s="120">
        <v>94.36</v>
      </c>
      <c r="N34" s="42" t="s">
        <v>352</v>
      </c>
      <c r="O34" s="60">
        <v>963.86</v>
      </c>
      <c r="P34" s="42" t="s">
        <v>352</v>
      </c>
      <c r="Q34" s="60">
        <v>676.06</v>
      </c>
      <c r="R34" s="122">
        <v>1.04</v>
      </c>
      <c r="S34" s="62">
        <v>630.67999999999995</v>
      </c>
      <c r="T34" s="42" t="s">
        <v>352</v>
      </c>
      <c r="U34" s="42" t="s">
        <v>352</v>
      </c>
      <c r="V34" s="42" t="s">
        <v>352</v>
      </c>
      <c r="W34" s="42" t="s">
        <v>352</v>
      </c>
      <c r="X34" s="42" t="s">
        <v>352</v>
      </c>
      <c r="Y34" s="42" t="s">
        <v>352</v>
      </c>
      <c r="Z34" s="122">
        <v>7.77</v>
      </c>
      <c r="AA34" s="124" t="s">
        <v>351</v>
      </c>
      <c r="AB34" s="124" t="s">
        <v>351</v>
      </c>
      <c r="AC34" s="145" t="s">
        <v>351</v>
      </c>
      <c r="AD34" s="42" t="s">
        <v>352</v>
      </c>
      <c r="AE34" s="42" t="s">
        <v>352</v>
      </c>
      <c r="AF34" s="147" t="s">
        <v>351</v>
      </c>
      <c r="AG34" s="148" t="s">
        <v>351</v>
      </c>
      <c r="AH34" s="149" t="s">
        <v>351</v>
      </c>
      <c r="AI34" s="149" t="s">
        <v>351</v>
      </c>
      <c r="AJ34" s="150">
        <v>1.88</v>
      </c>
      <c r="AK34" s="152">
        <v>298.32</v>
      </c>
      <c r="AL34" s="159" t="s">
        <v>351</v>
      </c>
      <c r="AM34" s="123" t="s">
        <v>351</v>
      </c>
      <c r="AN34" s="122">
        <v>1.0576870190199636</v>
      </c>
      <c r="AO34" s="122">
        <v>0.49327787987232807</v>
      </c>
      <c r="AP34" s="59" t="s">
        <v>351</v>
      </c>
      <c r="AQ34" s="160">
        <v>661.08</v>
      </c>
      <c r="AR34" s="161">
        <v>519.16999999999996</v>
      </c>
      <c r="AS34" s="200">
        <v>1.4171455999320662E-2</v>
      </c>
      <c r="AT34" s="42" t="s">
        <v>352</v>
      </c>
      <c r="AU34" s="42" t="s">
        <v>352</v>
      </c>
      <c r="AV34" s="164">
        <v>535.12454520011204</v>
      </c>
      <c r="AW34" s="164">
        <v>17.936883185110137</v>
      </c>
      <c r="AX34" s="164">
        <v>6.73</v>
      </c>
      <c r="AY34" s="42" t="s">
        <v>352</v>
      </c>
      <c r="AZ34" s="166" t="s">
        <v>351</v>
      </c>
      <c r="BA34" s="42" t="s">
        <v>352</v>
      </c>
      <c r="BB34" s="42" t="s">
        <v>352</v>
      </c>
      <c r="BC34" s="42" t="s">
        <v>352</v>
      </c>
      <c r="BD34" s="42" t="s">
        <v>352</v>
      </c>
      <c r="BE34" s="200">
        <v>0.08</v>
      </c>
      <c r="BF34" s="200">
        <v>36.19</v>
      </c>
      <c r="BG34" s="168">
        <v>15.77</v>
      </c>
      <c r="BH34" s="171">
        <v>23.15</v>
      </c>
      <c r="BI34" s="42" t="s">
        <v>352</v>
      </c>
      <c r="BJ34" s="42" t="s">
        <v>352</v>
      </c>
      <c r="BK34" s="42" t="s">
        <v>352</v>
      </c>
      <c r="BL34" s="162">
        <v>56.099666028744039</v>
      </c>
      <c r="BM34" s="162">
        <v>69.983864310105446</v>
      </c>
      <c r="BN34" s="162">
        <v>57.41303613644039</v>
      </c>
      <c r="BO34" s="42" t="s">
        <v>352</v>
      </c>
      <c r="BP34" s="42" t="s">
        <v>352</v>
      </c>
      <c r="BQ34" s="42" t="s">
        <v>352</v>
      </c>
      <c r="BR34" s="182" t="s">
        <v>358</v>
      </c>
      <c r="BS34" s="126">
        <v>58.52</v>
      </c>
      <c r="BT34" s="186" t="s">
        <v>355</v>
      </c>
      <c r="BU34" s="131">
        <v>54.65</v>
      </c>
      <c r="BV34" s="42" t="s">
        <v>352</v>
      </c>
      <c r="BW34" s="42" t="s">
        <v>352</v>
      </c>
      <c r="BX34" s="42" t="s">
        <v>352</v>
      </c>
      <c r="BY34" s="42" t="s">
        <v>352</v>
      </c>
      <c r="BZ34" s="191">
        <v>0</v>
      </c>
      <c r="CA34" s="191">
        <v>0</v>
      </c>
      <c r="CB34" s="198" t="s">
        <v>351</v>
      </c>
      <c r="CC34" s="39" t="s">
        <v>351</v>
      </c>
      <c r="CD34" s="42" t="s">
        <v>352</v>
      </c>
    </row>
    <row r="35" spans="1:82">
      <c r="A35" s="3" t="s">
        <v>375</v>
      </c>
      <c r="B35" s="5" t="s">
        <v>385</v>
      </c>
      <c r="C35" s="27" t="s">
        <v>349</v>
      </c>
      <c r="D35" s="5" t="s">
        <v>386</v>
      </c>
      <c r="E35" s="29">
        <v>5501</v>
      </c>
      <c r="F35" s="7" t="s">
        <v>388</v>
      </c>
      <c r="G35" s="4">
        <v>5503</v>
      </c>
      <c r="H35" s="10">
        <v>668.20639800000004</v>
      </c>
      <c r="I35" s="42" t="s">
        <v>352</v>
      </c>
      <c r="J35" s="41">
        <v>1504.8726590000001</v>
      </c>
      <c r="K35" s="42" t="s">
        <v>352</v>
      </c>
      <c r="L35" s="119">
        <v>47.48</v>
      </c>
      <c r="M35" s="120">
        <v>55.45</v>
      </c>
      <c r="N35" s="42" t="s">
        <v>352</v>
      </c>
      <c r="O35" s="60">
        <v>2357.6999999999998</v>
      </c>
      <c r="P35" s="42" t="s">
        <v>352</v>
      </c>
      <c r="Q35" s="60">
        <v>1070.76</v>
      </c>
      <c r="R35" s="122">
        <v>0.89</v>
      </c>
      <c r="S35" s="62">
        <v>959.41</v>
      </c>
      <c r="T35" s="42" t="s">
        <v>352</v>
      </c>
      <c r="U35" s="42" t="s">
        <v>352</v>
      </c>
      <c r="V35" s="42" t="s">
        <v>352</v>
      </c>
      <c r="W35" s="42" t="s">
        <v>352</v>
      </c>
      <c r="X35" s="42" t="s">
        <v>352</v>
      </c>
      <c r="Y35" s="42" t="s">
        <v>352</v>
      </c>
      <c r="Z35" s="122">
        <v>3.13</v>
      </c>
      <c r="AA35" s="124" t="s">
        <v>351</v>
      </c>
      <c r="AB35" s="124" t="s">
        <v>351</v>
      </c>
      <c r="AC35" s="145" t="s">
        <v>351</v>
      </c>
      <c r="AD35" s="42" t="s">
        <v>352</v>
      </c>
      <c r="AE35" s="42" t="s">
        <v>352</v>
      </c>
      <c r="AF35" s="147" t="s">
        <v>351</v>
      </c>
      <c r="AG35" s="148" t="s">
        <v>351</v>
      </c>
      <c r="AH35" s="149" t="s">
        <v>351</v>
      </c>
      <c r="AI35" s="149" t="s">
        <v>351</v>
      </c>
      <c r="AJ35" s="150">
        <v>10.57</v>
      </c>
      <c r="AK35" s="152">
        <v>486.16</v>
      </c>
      <c r="AL35" s="159" t="s">
        <v>351</v>
      </c>
      <c r="AM35" s="123" t="s">
        <v>351</v>
      </c>
      <c r="AN35" s="122">
        <v>0.67853099492418123</v>
      </c>
      <c r="AO35" s="122">
        <v>0.8560984587266196</v>
      </c>
      <c r="AP35" s="59" t="s">
        <v>351</v>
      </c>
      <c r="AQ35" s="160">
        <v>701.23</v>
      </c>
      <c r="AR35" s="161">
        <v>1710.06</v>
      </c>
      <c r="AS35" s="200">
        <v>0.1592900347534276</v>
      </c>
      <c r="AT35" s="42" t="s">
        <v>352</v>
      </c>
      <c r="AU35" s="42" t="s">
        <v>352</v>
      </c>
      <c r="AV35" s="164">
        <v>120.59458163509949</v>
      </c>
      <c r="AW35" s="164">
        <v>2.6580004227436058</v>
      </c>
      <c r="AX35" s="164">
        <v>10.55</v>
      </c>
      <c r="AY35" s="42" t="s">
        <v>352</v>
      </c>
      <c r="AZ35" s="165">
        <v>0</v>
      </c>
      <c r="BA35" s="42" t="s">
        <v>352</v>
      </c>
      <c r="BB35" s="42" t="s">
        <v>352</v>
      </c>
      <c r="BC35" s="42" t="s">
        <v>352</v>
      </c>
      <c r="BD35" s="42" t="s">
        <v>352</v>
      </c>
      <c r="BE35" s="200">
        <v>0</v>
      </c>
      <c r="BF35" s="200">
        <v>42.61</v>
      </c>
      <c r="BG35" s="168">
        <v>8.98</v>
      </c>
      <c r="BH35" s="171">
        <v>32.15</v>
      </c>
      <c r="BI35" s="42" t="s">
        <v>352</v>
      </c>
      <c r="BJ35" s="42" t="s">
        <v>352</v>
      </c>
      <c r="BK35" s="42" t="s">
        <v>352</v>
      </c>
      <c r="BL35" s="162">
        <v>32.762629465229338</v>
      </c>
      <c r="BM35" s="162">
        <v>80.849714648065941</v>
      </c>
      <c r="BN35" s="162">
        <v>35.93320651025153</v>
      </c>
      <c r="BO35" s="42" t="s">
        <v>352</v>
      </c>
      <c r="BP35" s="42" t="s">
        <v>352</v>
      </c>
      <c r="BQ35" s="42" t="s">
        <v>352</v>
      </c>
      <c r="BR35" s="182" t="s">
        <v>358</v>
      </c>
      <c r="BS35" s="181">
        <v>100</v>
      </c>
      <c r="BT35" s="186" t="s">
        <v>355</v>
      </c>
      <c r="BU35" s="131">
        <v>48.59</v>
      </c>
      <c r="BV35" s="42" t="s">
        <v>352</v>
      </c>
      <c r="BW35" s="42" t="s">
        <v>352</v>
      </c>
      <c r="BX35" s="42" t="s">
        <v>352</v>
      </c>
      <c r="BY35" s="42" t="s">
        <v>352</v>
      </c>
      <c r="BZ35" s="190" t="s">
        <v>359</v>
      </c>
      <c r="CA35" s="190" t="s">
        <v>359</v>
      </c>
      <c r="CB35" s="198" t="s">
        <v>355</v>
      </c>
      <c r="CC35" s="39">
        <v>0</v>
      </c>
      <c r="CD35" s="42" t="s">
        <v>352</v>
      </c>
    </row>
    <row r="36" spans="1:82">
      <c r="A36" s="3" t="s">
        <v>375</v>
      </c>
      <c r="B36" s="5" t="s">
        <v>385</v>
      </c>
      <c r="C36" s="27" t="s">
        <v>349</v>
      </c>
      <c r="D36" s="5" t="s">
        <v>386</v>
      </c>
      <c r="E36" s="29">
        <v>5501</v>
      </c>
      <c r="F36" s="7" t="s">
        <v>389</v>
      </c>
      <c r="G36" s="4">
        <v>5504</v>
      </c>
      <c r="H36" s="10">
        <v>450.87714799999998</v>
      </c>
      <c r="I36" s="42" t="s">
        <v>352</v>
      </c>
      <c r="J36" s="41">
        <v>5262.3972249999997</v>
      </c>
      <c r="K36" s="42" t="s">
        <v>352</v>
      </c>
      <c r="L36" s="119">
        <v>58.47</v>
      </c>
      <c r="M36" s="120">
        <v>7.38</v>
      </c>
      <c r="N36" s="42" t="s">
        <v>352</v>
      </c>
      <c r="O36" s="60">
        <v>1389.84</v>
      </c>
      <c r="P36" s="42" t="s">
        <v>352</v>
      </c>
      <c r="Q36" s="60">
        <v>862.26</v>
      </c>
      <c r="R36" s="122">
        <v>0.45</v>
      </c>
      <c r="S36" s="62">
        <v>723.49</v>
      </c>
      <c r="T36" s="42" t="s">
        <v>352</v>
      </c>
      <c r="U36" s="42" t="s">
        <v>352</v>
      </c>
      <c r="V36" s="42" t="s">
        <v>352</v>
      </c>
      <c r="W36" s="42" t="s">
        <v>352</v>
      </c>
      <c r="X36" s="42" t="s">
        <v>352</v>
      </c>
      <c r="Y36" s="42" t="s">
        <v>352</v>
      </c>
      <c r="Z36" s="122">
        <v>4.26</v>
      </c>
      <c r="AA36" s="124" t="s">
        <v>351</v>
      </c>
      <c r="AB36" s="124" t="s">
        <v>351</v>
      </c>
      <c r="AC36" s="145" t="s">
        <v>351</v>
      </c>
      <c r="AD36" s="42" t="s">
        <v>352</v>
      </c>
      <c r="AE36" s="42" t="s">
        <v>352</v>
      </c>
      <c r="AF36" s="147" t="s">
        <v>351</v>
      </c>
      <c r="AG36" s="148" t="s">
        <v>351</v>
      </c>
      <c r="AH36" s="149" t="s">
        <v>351</v>
      </c>
      <c r="AI36" s="149" t="s">
        <v>351</v>
      </c>
      <c r="AJ36" s="150">
        <v>0</v>
      </c>
      <c r="AK36" s="152">
        <v>134.34</v>
      </c>
      <c r="AL36" s="159" t="s">
        <v>351</v>
      </c>
      <c r="AM36" s="123" t="s">
        <v>351</v>
      </c>
      <c r="AN36" s="162" t="s">
        <v>351</v>
      </c>
      <c r="AO36" s="162" t="s">
        <v>351</v>
      </c>
      <c r="AP36" s="59" t="s">
        <v>351</v>
      </c>
      <c r="AQ36" s="160">
        <v>725.8</v>
      </c>
      <c r="AR36" s="161">
        <v>825.3</v>
      </c>
      <c r="AS36" s="200">
        <v>5.6013330930454332E-2</v>
      </c>
      <c r="AT36" s="42" t="s">
        <v>352</v>
      </c>
      <c r="AU36" s="42" t="s">
        <v>352</v>
      </c>
      <c r="AV36" s="164">
        <v>513.77118644067798</v>
      </c>
      <c r="AW36" s="164">
        <v>15.795473049991857</v>
      </c>
      <c r="AX36" s="164">
        <v>11.39</v>
      </c>
      <c r="AY36" s="42" t="s">
        <v>352</v>
      </c>
      <c r="AZ36" s="165">
        <v>0.5</v>
      </c>
      <c r="BA36" s="42" t="s">
        <v>352</v>
      </c>
      <c r="BB36" s="42" t="s">
        <v>352</v>
      </c>
      <c r="BC36" s="42" t="s">
        <v>352</v>
      </c>
      <c r="BD36" s="42" t="s">
        <v>352</v>
      </c>
      <c r="BE36" s="200">
        <v>0</v>
      </c>
      <c r="BF36" s="200">
        <v>0</v>
      </c>
      <c r="BG36" s="168">
        <v>6.93</v>
      </c>
      <c r="BH36" s="171">
        <v>19.809999999999999</v>
      </c>
      <c r="BI36" s="42" t="s">
        <v>352</v>
      </c>
      <c r="BJ36" s="42" t="s">
        <v>352</v>
      </c>
      <c r="BK36" s="42" t="s">
        <v>352</v>
      </c>
      <c r="BL36" s="162">
        <v>35.417684416218854</v>
      </c>
      <c r="BM36" s="162">
        <v>77.348965966454969</v>
      </c>
      <c r="BN36" s="162">
        <v>31.753786028334147</v>
      </c>
      <c r="BO36" s="42" t="s">
        <v>352</v>
      </c>
      <c r="BP36" s="42" t="s">
        <v>352</v>
      </c>
      <c r="BQ36" s="42" t="s">
        <v>352</v>
      </c>
      <c r="BR36" s="182" t="s">
        <v>358</v>
      </c>
      <c r="BS36" s="126">
        <v>16.309999999999999</v>
      </c>
      <c r="BT36" s="186" t="s">
        <v>355</v>
      </c>
      <c r="BU36" s="131">
        <v>46.03</v>
      </c>
      <c r="BV36" s="42" t="s">
        <v>352</v>
      </c>
      <c r="BW36" s="42" t="s">
        <v>352</v>
      </c>
      <c r="BX36" s="42" t="s">
        <v>352</v>
      </c>
      <c r="BY36" s="42" t="s">
        <v>352</v>
      </c>
      <c r="BZ36" s="190" t="s">
        <v>359</v>
      </c>
      <c r="CA36" s="190" t="s">
        <v>359</v>
      </c>
      <c r="CB36" s="198" t="s">
        <v>355</v>
      </c>
      <c r="CC36" s="39">
        <v>0</v>
      </c>
      <c r="CD36" s="42" t="s">
        <v>352</v>
      </c>
    </row>
    <row r="37" spans="1:82">
      <c r="A37" s="3" t="s">
        <v>375</v>
      </c>
      <c r="B37" s="3" t="s">
        <v>390</v>
      </c>
      <c r="C37" s="27" t="s">
        <v>349</v>
      </c>
      <c r="D37" s="3" t="s">
        <v>391</v>
      </c>
      <c r="E37" s="29">
        <v>5601</v>
      </c>
      <c r="F37" s="6" t="s">
        <v>390</v>
      </c>
      <c r="G37" s="4">
        <v>5601</v>
      </c>
      <c r="H37" s="10">
        <v>306.56547899999998</v>
      </c>
      <c r="I37" s="42" t="s">
        <v>352</v>
      </c>
      <c r="J37" s="41">
        <v>1795.9409439999999</v>
      </c>
      <c r="K37" s="42" t="s">
        <v>352</v>
      </c>
      <c r="L37" s="119">
        <v>81.599999999999994</v>
      </c>
      <c r="M37" s="120">
        <v>92.64</v>
      </c>
      <c r="N37" s="42" t="s">
        <v>352</v>
      </c>
      <c r="O37" s="60">
        <v>1012.56</v>
      </c>
      <c r="P37" s="42" t="s">
        <v>352</v>
      </c>
      <c r="Q37" s="60">
        <v>580.5</v>
      </c>
      <c r="R37" s="122">
        <v>0.94</v>
      </c>
      <c r="S37" s="62">
        <v>420.47</v>
      </c>
      <c r="T37" s="42" t="s">
        <v>352</v>
      </c>
      <c r="U37" s="42" t="s">
        <v>352</v>
      </c>
      <c r="V37" s="42" t="s">
        <v>352</v>
      </c>
      <c r="W37" s="42" t="s">
        <v>352</v>
      </c>
      <c r="X37" s="42" t="s">
        <v>352</v>
      </c>
      <c r="Y37" s="42" t="s">
        <v>352</v>
      </c>
      <c r="Z37" s="122">
        <v>12.23</v>
      </c>
      <c r="AA37" s="135">
        <v>1.3333333333333333</v>
      </c>
      <c r="AB37" s="125">
        <v>33.5</v>
      </c>
      <c r="AC37" s="144">
        <v>59.1</v>
      </c>
      <c r="AD37" s="42" t="s">
        <v>352</v>
      </c>
      <c r="AE37" s="42" t="s">
        <v>352</v>
      </c>
      <c r="AF37" s="134">
        <v>7.75</v>
      </c>
      <c r="AG37" s="134">
        <v>10.23</v>
      </c>
      <c r="AH37" s="134">
        <v>12.7</v>
      </c>
      <c r="AI37" s="134">
        <v>6.84</v>
      </c>
      <c r="AJ37" s="150">
        <v>8.34</v>
      </c>
      <c r="AK37" s="152">
        <v>314.76</v>
      </c>
      <c r="AL37" s="159" t="s">
        <v>351</v>
      </c>
      <c r="AM37" s="123" t="s">
        <v>351</v>
      </c>
      <c r="AN37" s="122">
        <v>0.941796884034941</v>
      </c>
      <c r="AO37" s="122">
        <v>1.2629670565215776</v>
      </c>
      <c r="AP37" s="59" t="s">
        <v>351</v>
      </c>
      <c r="AQ37" s="160">
        <v>686.75</v>
      </c>
      <c r="AR37" s="161">
        <v>758.24</v>
      </c>
      <c r="AS37" s="122" t="s">
        <v>351</v>
      </c>
      <c r="AT37" s="42" t="s">
        <v>352</v>
      </c>
      <c r="AU37" s="42" t="s">
        <v>352</v>
      </c>
      <c r="AV37" s="164">
        <v>404.7246660149886</v>
      </c>
      <c r="AW37" s="164">
        <v>12.945823692493693</v>
      </c>
      <c r="AX37" s="164">
        <v>7.77</v>
      </c>
      <c r="AY37" s="42" t="s">
        <v>352</v>
      </c>
      <c r="AZ37" s="166" t="s">
        <v>351</v>
      </c>
      <c r="BA37" s="42" t="s">
        <v>352</v>
      </c>
      <c r="BB37" s="42" t="s">
        <v>352</v>
      </c>
      <c r="BC37" s="42" t="s">
        <v>352</v>
      </c>
      <c r="BD37" s="42" t="s">
        <v>352</v>
      </c>
      <c r="BE37" s="200">
        <v>0.12</v>
      </c>
      <c r="BF37" s="200">
        <v>25.84</v>
      </c>
      <c r="BG37" s="168">
        <v>7.51</v>
      </c>
      <c r="BH37" s="171">
        <v>18.850000000000001</v>
      </c>
      <c r="BI37" s="42" t="s">
        <v>352</v>
      </c>
      <c r="BJ37" s="42" t="s">
        <v>352</v>
      </c>
      <c r="BK37" s="42" t="s">
        <v>352</v>
      </c>
      <c r="BL37" s="162">
        <v>112.66754215913117</v>
      </c>
      <c r="BM37" s="162">
        <v>197.61115627540491</v>
      </c>
      <c r="BN37" s="162">
        <v>73.374606549517438</v>
      </c>
      <c r="BO37" s="42" t="s">
        <v>352</v>
      </c>
      <c r="BP37" s="42" t="s">
        <v>352</v>
      </c>
      <c r="BQ37" s="42" t="s">
        <v>352</v>
      </c>
      <c r="BR37" s="122">
        <v>14.16</v>
      </c>
      <c r="BS37" s="126">
        <v>9.8000000000000007</v>
      </c>
      <c r="BT37" s="186" t="s">
        <v>353</v>
      </c>
      <c r="BU37" s="131">
        <v>47.46</v>
      </c>
      <c r="BV37" s="42" t="s">
        <v>352</v>
      </c>
      <c r="BW37" s="42" t="s">
        <v>352</v>
      </c>
      <c r="BX37" s="42" t="s">
        <v>352</v>
      </c>
      <c r="BY37" s="42" t="s">
        <v>352</v>
      </c>
      <c r="BZ37" s="190" t="s">
        <v>359</v>
      </c>
      <c r="CA37" s="190" t="s">
        <v>359</v>
      </c>
      <c r="CB37" s="198" t="s">
        <v>351</v>
      </c>
      <c r="CC37" s="39" t="s">
        <v>351</v>
      </c>
      <c r="CD37" s="42" t="s">
        <v>352</v>
      </c>
    </row>
    <row r="38" spans="1:82">
      <c r="A38" s="3" t="s">
        <v>375</v>
      </c>
      <c r="B38" s="3" t="s">
        <v>390</v>
      </c>
      <c r="C38" s="27" t="s">
        <v>349</v>
      </c>
      <c r="D38" s="3" t="s">
        <v>391</v>
      </c>
      <c r="E38" s="29">
        <v>5601</v>
      </c>
      <c r="F38" s="6" t="s">
        <v>392</v>
      </c>
      <c r="G38" s="4">
        <v>5603</v>
      </c>
      <c r="H38" s="10">
        <v>623.728792</v>
      </c>
      <c r="I38" s="42" t="s">
        <v>352</v>
      </c>
      <c r="J38" s="41">
        <v>6010.200049</v>
      </c>
      <c r="K38" s="42" t="s">
        <v>352</v>
      </c>
      <c r="L38" s="119">
        <v>39.67</v>
      </c>
      <c r="M38" s="56" t="s">
        <v>351</v>
      </c>
      <c r="N38" s="42" t="s">
        <v>352</v>
      </c>
      <c r="O38" s="60">
        <v>1564.82</v>
      </c>
      <c r="P38" s="42" t="s">
        <v>352</v>
      </c>
      <c r="Q38" s="60">
        <v>922.45</v>
      </c>
      <c r="R38" s="122">
        <v>1.03</v>
      </c>
      <c r="S38" s="62">
        <v>686.22</v>
      </c>
      <c r="T38" s="42" t="s">
        <v>352</v>
      </c>
      <c r="U38" s="42" t="s">
        <v>352</v>
      </c>
      <c r="V38" s="42" t="s">
        <v>352</v>
      </c>
      <c r="W38" s="42" t="s">
        <v>352</v>
      </c>
      <c r="X38" s="42" t="s">
        <v>352</v>
      </c>
      <c r="Y38" s="42" t="s">
        <v>352</v>
      </c>
      <c r="Z38" s="122">
        <v>17</v>
      </c>
      <c r="AA38" s="124" t="s">
        <v>351</v>
      </c>
      <c r="AB38" s="124" t="s">
        <v>351</v>
      </c>
      <c r="AC38" s="145" t="s">
        <v>351</v>
      </c>
      <c r="AD38" s="42" t="s">
        <v>352</v>
      </c>
      <c r="AE38" s="42" t="s">
        <v>352</v>
      </c>
      <c r="AF38" s="147" t="s">
        <v>351</v>
      </c>
      <c r="AG38" s="148" t="s">
        <v>351</v>
      </c>
      <c r="AH38" s="149" t="s">
        <v>351</v>
      </c>
      <c r="AI38" s="149" t="s">
        <v>351</v>
      </c>
      <c r="AJ38" s="150">
        <v>12.08</v>
      </c>
      <c r="AK38" s="152">
        <v>491.3</v>
      </c>
      <c r="AL38" s="159" t="s">
        <v>351</v>
      </c>
      <c r="AM38" s="123" t="s">
        <v>351</v>
      </c>
      <c r="AN38" s="122">
        <v>1.87363190227369</v>
      </c>
      <c r="AO38" s="122">
        <v>0.51382180058282689</v>
      </c>
      <c r="AP38" s="59" t="s">
        <v>351</v>
      </c>
      <c r="AQ38" s="160">
        <v>713.8</v>
      </c>
      <c r="AR38" s="161">
        <v>513.27</v>
      </c>
      <c r="AS38" s="200">
        <v>5.3374925395667419E-2</v>
      </c>
      <c r="AT38" s="42" t="s">
        <v>352</v>
      </c>
      <c r="AU38" s="42" t="s">
        <v>352</v>
      </c>
      <c r="AV38" s="164">
        <v>74.223397224058161</v>
      </c>
      <c r="AW38" s="164">
        <v>4.5223904639175254</v>
      </c>
      <c r="AX38" s="164">
        <v>10.58</v>
      </c>
      <c r="AY38" s="42" t="s">
        <v>352</v>
      </c>
      <c r="AZ38" s="165">
        <v>0.57999999999999996</v>
      </c>
      <c r="BA38" s="42" t="s">
        <v>352</v>
      </c>
      <c r="BB38" s="42" t="s">
        <v>352</v>
      </c>
      <c r="BC38" s="42" t="s">
        <v>352</v>
      </c>
      <c r="BD38" s="42" t="s">
        <v>352</v>
      </c>
      <c r="BE38" s="200">
        <v>0.36</v>
      </c>
      <c r="BF38" s="200">
        <v>39.19</v>
      </c>
      <c r="BG38" s="168">
        <v>6.87</v>
      </c>
      <c r="BH38" s="171">
        <v>22.98</v>
      </c>
      <c r="BI38" s="42" t="s">
        <v>352</v>
      </c>
      <c r="BJ38" s="42" t="s">
        <v>352</v>
      </c>
      <c r="BK38" s="42" t="s">
        <v>352</v>
      </c>
      <c r="BL38" s="162">
        <v>122.82538659793815</v>
      </c>
      <c r="BM38" s="162">
        <v>252.09407216494847</v>
      </c>
      <c r="BN38" s="162">
        <v>81.7493556701031</v>
      </c>
      <c r="BO38" s="42" t="s">
        <v>352</v>
      </c>
      <c r="BP38" s="42" t="s">
        <v>352</v>
      </c>
      <c r="BQ38" s="42" t="s">
        <v>352</v>
      </c>
      <c r="BR38" s="122">
        <v>17.39</v>
      </c>
      <c r="BS38" s="126">
        <v>75.400000000000006</v>
      </c>
      <c r="BT38" s="186" t="s">
        <v>355</v>
      </c>
      <c r="BU38" s="131">
        <v>76.88</v>
      </c>
      <c r="BV38" s="42" t="s">
        <v>352</v>
      </c>
      <c r="BW38" s="42" t="s">
        <v>352</v>
      </c>
      <c r="BX38" s="42" t="s">
        <v>352</v>
      </c>
      <c r="BY38" s="42" t="s">
        <v>352</v>
      </c>
      <c r="BZ38" s="191">
        <v>0</v>
      </c>
      <c r="CA38" s="191">
        <v>0</v>
      </c>
      <c r="CB38" s="198" t="s">
        <v>351</v>
      </c>
      <c r="CC38" s="39" t="s">
        <v>351</v>
      </c>
      <c r="CD38" s="42" t="s">
        <v>352</v>
      </c>
    </row>
    <row r="39" spans="1:82">
      <c r="A39" s="3" t="s">
        <v>375</v>
      </c>
      <c r="B39" s="3" t="s">
        <v>390</v>
      </c>
      <c r="C39" s="27" t="s">
        <v>349</v>
      </c>
      <c r="D39" s="3" t="s">
        <v>391</v>
      </c>
      <c r="E39" s="29">
        <v>5601</v>
      </c>
      <c r="F39" s="6" t="s">
        <v>393</v>
      </c>
      <c r="G39" s="4">
        <v>5606</v>
      </c>
      <c r="H39" s="10">
        <v>395.99147099999999</v>
      </c>
      <c r="I39" s="42" t="s">
        <v>352</v>
      </c>
      <c r="J39" s="42" t="s">
        <v>351</v>
      </c>
      <c r="K39" s="42" t="s">
        <v>352</v>
      </c>
      <c r="L39" s="119">
        <v>61.86</v>
      </c>
      <c r="M39" s="56" t="s">
        <v>351</v>
      </c>
      <c r="N39" s="42" t="s">
        <v>352</v>
      </c>
      <c r="O39" s="60">
        <v>1608.63</v>
      </c>
      <c r="P39" s="42" t="s">
        <v>352</v>
      </c>
      <c r="Q39" s="60">
        <v>1503.3</v>
      </c>
      <c r="R39" s="122">
        <v>1.01</v>
      </c>
      <c r="S39" s="62">
        <v>1080.3800000000001</v>
      </c>
      <c r="T39" s="42" t="s">
        <v>352</v>
      </c>
      <c r="U39" s="42" t="s">
        <v>352</v>
      </c>
      <c r="V39" s="42" t="s">
        <v>352</v>
      </c>
      <c r="W39" s="42" t="s">
        <v>352</v>
      </c>
      <c r="X39" s="42" t="s">
        <v>352</v>
      </c>
      <c r="Y39" s="42" t="s">
        <v>352</v>
      </c>
      <c r="Z39" s="122">
        <v>19</v>
      </c>
      <c r="AA39" s="124" t="s">
        <v>351</v>
      </c>
      <c r="AB39" s="124" t="s">
        <v>351</v>
      </c>
      <c r="AC39" s="145" t="s">
        <v>351</v>
      </c>
      <c r="AD39" s="42" t="s">
        <v>352</v>
      </c>
      <c r="AE39" s="42" t="s">
        <v>352</v>
      </c>
      <c r="AF39" s="147" t="s">
        <v>351</v>
      </c>
      <c r="AG39" s="148" t="s">
        <v>351</v>
      </c>
      <c r="AH39" s="149" t="s">
        <v>351</v>
      </c>
      <c r="AI39" s="149" t="s">
        <v>351</v>
      </c>
      <c r="AJ39" s="150">
        <v>34.18</v>
      </c>
      <c r="AK39" s="152">
        <v>17.09</v>
      </c>
      <c r="AL39" s="159" t="s">
        <v>351</v>
      </c>
      <c r="AM39" s="123" t="s">
        <v>351</v>
      </c>
      <c r="AN39" s="122">
        <v>1.2214875239810892</v>
      </c>
      <c r="AO39" s="122">
        <v>2.6545767477400952</v>
      </c>
      <c r="AP39" s="59" t="s">
        <v>351</v>
      </c>
      <c r="AQ39" s="160">
        <v>1592.95</v>
      </c>
      <c r="AR39" s="161">
        <v>2418.4699999999998</v>
      </c>
      <c r="AS39" s="200">
        <v>6.6988679209657065E-2</v>
      </c>
      <c r="AT39" s="42" t="s">
        <v>352</v>
      </c>
      <c r="AU39" s="42" t="s">
        <v>352</v>
      </c>
      <c r="AV39" s="164">
        <v>341.51283205763173</v>
      </c>
      <c r="AW39" s="164">
        <v>12.962488250875845</v>
      </c>
      <c r="AX39" s="164">
        <v>10.61</v>
      </c>
      <c r="AY39" s="42" t="s">
        <v>352</v>
      </c>
      <c r="AZ39" s="165">
        <v>0.2</v>
      </c>
      <c r="BA39" s="42" t="s">
        <v>352</v>
      </c>
      <c r="BB39" s="42" t="s">
        <v>352</v>
      </c>
      <c r="BC39" s="42" t="s">
        <v>352</v>
      </c>
      <c r="BD39" s="42" t="s">
        <v>352</v>
      </c>
      <c r="BE39" s="200">
        <v>0</v>
      </c>
      <c r="BF39" s="200">
        <v>0</v>
      </c>
      <c r="BG39" s="168">
        <v>3.98</v>
      </c>
      <c r="BH39" s="171">
        <v>17.079999999999998</v>
      </c>
      <c r="BI39" s="42" t="s">
        <v>352</v>
      </c>
      <c r="BJ39" s="42" t="s">
        <v>352</v>
      </c>
      <c r="BK39" s="42" t="s">
        <v>352</v>
      </c>
      <c r="BL39" s="162">
        <v>52.123387165684015</v>
      </c>
      <c r="BM39" s="162">
        <v>123.04537298128686</v>
      </c>
      <c r="BN39" s="162">
        <v>30.761343245321715</v>
      </c>
      <c r="BO39" s="42" t="s">
        <v>352</v>
      </c>
      <c r="BP39" s="42" t="s">
        <v>352</v>
      </c>
      <c r="BQ39" s="42" t="s">
        <v>352</v>
      </c>
      <c r="BR39" s="182" t="s">
        <v>602</v>
      </c>
      <c r="BS39" s="126">
        <v>78.11</v>
      </c>
      <c r="BT39" s="186" t="s">
        <v>355</v>
      </c>
      <c r="BU39" s="131">
        <v>5.93</v>
      </c>
      <c r="BV39" s="42" t="s">
        <v>352</v>
      </c>
      <c r="BW39" s="42" t="s">
        <v>352</v>
      </c>
      <c r="BX39" s="42" t="s">
        <v>352</v>
      </c>
      <c r="BY39" s="42" t="s">
        <v>352</v>
      </c>
      <c r="BZ39" s="190" t="s">
        <v>359</v>
      </c>
      <c r="CA39" s="190" t="s">
        <v>359</v>
      </c>
      <c r="CB39" s="198" t="s">
        <v>355</v>
      </c>
      <c r="CC39" s="39">
        <v>0</v>
      </c>
      <c r="CD39" s="42" t="s">
        <v>352</v>
      </c>
    </row>
    <row r="40" spans="1:82">
      <c r="A40" s="3" t="s">
        <v>375</v>
      </c>
      <c r="B40" s="5" t="s">
        <v>394</v>
      </c>
      <c r="C40" s="27" t="s">
        <v>349</v>
      </c>
      <c r="D40" s="5" t="s">
        <v>395</v>
      </c>
      <c r="E40" s="29">
        <v>5701</v>
      </c>
      <c r="F40" s="7" t="s">
        <v>395</v>
      </c>
      <c r="G40" s="4">
        <v>5701</v>
      </c>
      <c r="H40" s="10">
        <v>321.83266700000001</v>
      </c>
      <c r="I40" s="42" t="s">
        <v>352</v>
      </c>
      <c r="J40" s="41">
        <v>962.131845</v>
      </c>
      <c r="K40" s="42" t="s">
        <v>352</v>
      </c>
      <c r="L40" s="119">
        <v>80.53</v>
      </c>
      <c r="M40" s="120">
        <v>91.76</v>
      </c>
      <c r="N40" s="42" t="s">
        <v>352</v>
      </c>
      <c r="O40" s="60">
        <v>1519.39</v>
      </c>
      <c r="P40" s="42" t="s">
        <v>352</v>
      </c>
      <c r="Q40" s="60">
        <v>686.13</v>
      </c>
      <c r="R40" s="122">
        <v>0.83</v>
      </c>
      <c r="S40" s="62">
        <v>693.74</v>
      </c>
      <c r="T40" s="42" t="s">
        <v>352</v>
      </c>
      <c r="U40" s="42" t="s">
        <v>352</v>
      </c>
      <c r="V40" s="42" t="s">
        <v>352</v>
      </c>
      <c r="W40" s="42" t="s">
        <v>352</v>
      </c>
      <c r="X40" s="42" t="s">
        <v>352</v>
      </c>
      <c r="Y40" s="42" t="s">
        <v>352</v>
      </c>
      <c r="Z40" s="122">
        <v>13.4</v>
      </c>
      <c r="AA40" s="124" t="s">
        <v>351</v>
      </c>
      <c r="AB40" s="124" t="s">
        <v>351</v>
      </c>
      <c r="AC40" s="145" t="s">
        <v>351</v>
      </c>
      <c r="AD40" s="42" t="s">
        <v>352</v>
      </c>
      <c r="AE40" s="42" t="s">
        <v>352</v>
      </c>
      <c r="AF40" s="147" t="s">
        <v>351</v>
      </c>
      <c r="AG40" s="148" t="s">
        <v>351</v>
      </c>
      <c r="AH40" s="149" t="s">
        <v>351</v>
      </c>
      <c r="AI40" s="149" t="s">
        <v>351</v>
      </c>
      <c r="AJ40" s="150">
        <v>7.29</v>
      </c>
      <c r="AK40" s="152">
        <v>460.44</v>
      </c>
      <c r="AL40" s="159" t="s">
        <v>351</v>
      </c>
      <c r="AM40" s="123" t="s">
        <v>351</v>
      </c>
      <c r="AN40" s="122">
        <v>1.0035940763975892</v>
      </c>
      <c r="AO40" s="122">
        <v>0.84195779258511816</v>
      </c>
      <c r="AP40" s="59">
        <v>1.58</v>
      </c>
      <c r="AQ40" s="160">
        <v>708.1</v>
      </c>
      <c r="AR40" s="161">
        <v>651.32000000000005</v>
      </c>
      <c r="AS40" s="200">
        <v>5.5612342053966826E-2</v>
      </c>
      <c r="AT40" s="42" t="s">
        <v>352</v>
      </c>
      <c r="AU40" s="42" t="s">
        <v>352</v>
      </c>
      <c r="AV40" s="164">
        <v>533.36145409924075</v>
      </c>
      <c r="AW40" s="164">
        <v>16.897900670619105</v>
      </c>
      <c r="AX40" s="164">
        <v>13.81</v>
      </c>
      <c r="AY40" s="42" t="s">
        <v>352</v>
      </c>
      <c r="AZ40" s="165">
        <v>0.93</v>
      </c>
      <c r="BA40" s="42" t="s">
        <v>352</v>
      </c>
      <c r="BB40" s="42" t="s">
        <v>352</v>
      </c>
      <c r="BC40" s="42" t="s">
        <v>352</v>
      </c>
      <c r="BD40" s="42" t="s">
        <v>352</v>
      </c>
      <c r="BE40" s="200">
        <v>0.06</v>
      </c>
      <c r="BF40" s="200">
        <v>54.84</v>
      </c>
      <c r="BG40" s="168">
        <v>8.17</v>
      </c>
      <c r="BH40" s="171">
        <v>19.920000000000002</v>
      </c>
      <c r="BI40" s="42" t="s">
        <v>352</v>
      </c>
      <c r="BJ40" s="42" t="s">
        <v>352</v>
      </c>
      <c r="BK40" s="42" t="s">
        <v>352</v>
      </c>
      <c r="BL40" s="162">
        <v>97.67713091651278</v>
      </c>
      <c r="BM40" s="162">
        <v>206.04529108756924</v>
      </c>
      <c r="BN40" s="162">
        <v>79.332296627466235</v>
      </c>
      <c r="BO40" s="42" t="s">
        <v>352</v>
      </c>
      <c r="BP40" s="42" t="s">
        <v>352</v>
      </c>
      <c r="BQ40" s="42" t="s">
        <v>352</v>
      </c>
      <c r="BR40" s="182" t="s">
        <v>358</v>
      </c>
      <c r="BS40" s="126">
        <v>32.78</v>
      </c>
      <c r="BT40" s="186" t="s">
        <v>355</v>
      </c>
      <c r="BU40" s="131">
        <v>48.99</v>
      </c>
      <c r="BV40" s="42" t="s">
        <v>352</v>
      </c>
      <c r="BW40" s="42" t="s">
        <v>352</v>
      </c>
      <c r="BX40" s="42" t="s">
        <v>352</v>
      </c>
      <c r="BY40" s="42" t="s">
        <v>352</v>
      </c>
      <c r="BZ40" s="190" t="s">
        <v>359</v>
      </c>
      <c r="CA40" s="190" t="s">
        <v>359</v>
      </c>
      <c r="CB40" s="198" t="s">
        <v>353</v>
      </c>
      <c r="CC40" s="39">
        <v>806.82039070852363</v>
      </c>
      <c r="CD40" s="42" t="s">
        <v>352</v>
      </c>
    </row>
    <row r="41" spans="1:82">
      <c r="A41" s="3" t="s">
        <v>375</v>
      </c>
      <c r="B41" s="3" t="s">
        <v>396</v>
      </c>
      <c r="C41" s="27" t="s">
        <v>376</v>
      </c>
      <c r="D41" s="3" t="s">
        <v>376</v>
      </c>
      <c r="E41" s="29">
        <v>5001</v>
      </c>
      <c r="F41" s="3" t="s">
        <v>397</v>
      </c>
      <c r="G41" s="4">
        <v>5801</v>
      </c>
      <c r="H41" s="10">
        <v>466.24178499999999</v>
      </c>
      <c r="I41" s="42" t="s">
        <v>352</v>
      </c>
      <c r="J41" s="41">
        <v>2530.9806819999999</v>
      </c>
      <c r="K41" s="42" t="s">
        <v>352</v>
      </c>
      <c r="L41" s="119">
        <v>51.77</v>
      </c>
      <c r="M41" s="120">
        <v>64.900000000000006</v>
      </c>
      <c r="N41" s="42" t="s">
        <v>352</v>
      </c>
      <c r="O41" s="60">
        <v>1202.47</v>
      </c>
      <c r="P41" s="42" t="s">
        <v>352</v>
      </c>
      <c r="Q41" s="60">
        <v>572.4</v>
      </c>
      <c r="R41" s="122">
        <v>0.91</v>
      </c>
      <c r="S41" s="62">
        <v>470.37</v>
      </c>
      <c r="T41" s="42" t="s">
        <v>352</v>
      </c>
      <c r="U41" s="42" t="s">
        <v>352</v>
      </c>
      <c r="V41" s="42" t="s">
        <v>352</v>
      </c>
      <c r="W41" s="42" t="s">
        <v>352</v>
      </c>
      <c r="X41" s="42" t="s">
        <v>352</v>
      </c>
      <c r="Y41" s="42" t="s">
        <v>352</v>
      </c>
      <c r="Z41" s="122">
        <v>14</v>
      </c>
      <c r="AA41" s="135">
        <v>1</v>
      </c>
      <c r="AB41" s="125">
        <v>37.4</v>
      </c>
      <c r="AC41" s="144">
        <v>65.3</v>
      </c>
      <c r="AD41" s="42" t="s">
        <v>352</v>
      </c>
      <c r="AE41" s="42" t="s">
        <v>352</v>
      </c>
      <c r="AF41" s="134">
        <v>18.77</v>
      </c>
      <c r="AG41" s="134">
        <v>27.86</v>
      </c>
      <c r="AH41" s="134">
        <v>36.03</v>
      </c>
      <c r="AI41" s="134">
        <v>12.53</v>
      </c>
      <c r="AJ41" s="150">
        <v>4.8499999999999996</v>
      </c>
      <c r="AK41" s="152">
        <v>367.76</v>
      </c>
      <c r="AL41" s="159" t="s">
        <v>351</v>
      </c>
      <c r="AM41" s="123" t="s">
        <v>351</v>
      </c>
      <c r="AN41" s="122">
        <v>0.88792408513346599</v>
      </c>
      <c r="AO41" s="122">
        <v>0.47094912183350068</v>
      </c>
      <c r="AP41" s="59">
        <v>12.56</v>
      </c>
      <c r="AQ41" s="160">
        <v>715.77</v>
      </c>
      <c r="AR41" s="161">
        <v>294.27</v>
      </c>
      <c r="AS41" s="122" t="s">
        <v>351</v>
      </c>
      <c r="AT41" s="42" t="s">
        <v>352</v>
      </c>
      <c r="AU41" s="42" t="s">
        <v>352</v>
      </c>
      <c r="AV41" s="164">
        <v>724.4070743086229</v>
      </c>
      <c r="AW41" s="164">
        <v>24.782289435196592</v>
      </c>
      <c r="AX41" s="164">
        <v>7.57</v>
      </c>
      <c r="AY41" s="42" t="s">
        <v>352</v>
      </c>
      <c r="AZ41" s="165">
        <v>0.51</v>
      </c>
      <c r="BA41" s="42" t="s">
        <v>352</v>
      </c>
      <c r="BB41" s="42" t="s">
        <v>352</v>
      </c>
      <c r="BC41" s="42" t="s">
        <v>352</v>
      </c>
      <c r="BD41" s="42" t="s">
        <v>352</v>
      </c>
      <c r="BE41" s="200">
        <v>0.45</v>
      </c>
      <c r="BF41" s="200">
        <v>10.36</v>
      </c>
      <c r="BG41" s="168">
        <v>5.25</v>
      </c>
      <c r="BH41" s="171">
        <v>12.06</v>
      </c>
      <c r="BI41" s="42" t="s">
        <v>352</v>
      </c>
      <c r="BJ41" s="42" t="s">
        <v>352</v>
      </c>
      <c r="BK41" s="42" t="s">
        <v>352</v>
      </c>
      <c r="BL41" s="162">
        <v>74.15813524453371</v>
      </c>
      <c r="BM41" s="162">
        <v>157.66189473428693</v>
      </c>
      <c r="BN41" s="162">
        <v>52.675336654873377</v>
      </c>
      <c r="BO41" s="42" t="s">
        <v>352</v>
      </c>
      <c r="BP41" s="42" t="s">
        <v>352</v>
      </c>
      <c r="BQ41" s="42" t="s">
        <v>352</v>
      </c>
      <c r="BR41" s="182" t="s">
        <v>358</v>
      </c>
      <c r="BS41" s="126">
        <v>46.06</v>
      </c>
      <c r="BT41" s="186" t="s">
        <v>353</v>
      </c>
      <c r="BU41" s="131">
        <v>49.31</v>
      </c>
      <c r="BV41" s="42" t="s">
        <v>352</v>
      </c>
      <c r="BW41" s="42" t="s">
        <v>352</v>
      </c>
      <c r="BX41" s="42" t="s">
        <v>352</v>
      </c>
      <c r="BY41" s="42" t="s">
        <v>352</v>
      </c>
      <c r="BZ41" s="190" t="s">
        <v>359</v>
      </c>
      <c r="CA41" s="190" t="s">
        <v>359</v>
      </c>
      <c r="CB41" s="198" t="s">
        <v>351</v>
      </c>
      <c r="CC41" s="39" t="s">
        <v>351</v>
      </c>
      <c r="CD41" s="42" t="s">
        <v>352</v>
      </c>
    </row>
    <row r="42" spans="1:82">
      <c r="A42" s="3" t="s">
        <v>375</v>
      </c>
      <c r="B42" s="3" t="s">
        <v>396</v>
      </c>
      <c r="C42" s="27" t="s">
        <v>376</v>
      </c>
      <c r="D42" s="3" t="s">
        <v>376</v>
      </c>
      <c r="E42" s="29">
        <v>5001</v>
      </c>
      <c r="F42" s="3" t="s">
        <v>398</v>
      </c>
      <c r="G42" s="4">
        <v>5802</v>
      </c>
      <c r="H42" s="10">
        <v>614.16442400000005</v>
      </c>
      <c r="I42" s="42" t="s">
        <v>352</v>
      </c>
      <c r="J42" s="41">
        <v>3106.1175640000001</v>
      </c>
      <c r="K42" s="42" t="s">
        <v>352</v>
      </c>
      <c r="L42" s="119">
        <v>60.49</v>
      </c>
      <c r="M42" s="120">
        <v>42.75</v>
      </c>
      <c r="N42" s="42" t="s">
        <v>352</v>
      </c>
      <c r="O42" s="60">
        <v>10453.49</v>
      </c>
      <c r="P42" s="42" t="s">
        <v>352</v>
      </c>
      <c r="Q42" s="60">
        <v>654.49</v>
      </c>
      <c r="R42" s="122">
        <v>1.04</v>
      </c>
      <c r="S42" s="62">
        <v>562.66</v>
      </c>
      <c r="T42" s="42" t="s">
        <v>352</v>
      </c>
      <c r="U42" s="42" t="s">
        <v>352</v>
      </c>
      <c r="V42" s="42" t="s">
        <v>352</v>
      </c>
      <c r="W42" s="42" t="s">
        <v>352</v>
      </c>
      <c r="X42" s="42" t="s">
        <v>352</v>
      </c>
      <c r="Y42" s="42" t="s">
        <v>352</v>
      </c>
      <c r="Z42" s="122">
        <v>8.3800000000000008</v>
      </c>
      <c r="AA42" s="124" t="s">
        <v>351</v>
      </c>
      <c r="AB42" s="124" t="s">
        <v>351</v>
      </c>
      <c r="AC42" s="145" t="s">
        <v>351</v>
      </c>
      <c r="AD42" s="42" t="s">
        <v>352</v>
      </c>
      <c r="AE42" s="42" t="s">
        <v>352</v>
      </c>
      <c r="AF42" s="147" t="s">
        <v>351</v>
      </c>
      <c r="AG42" s="148" t="s">
        <v>351</v>
      </c>
      <c r="AH42" s="149" t="s">
        <v>351</v>
      </c>
      <c r="AI42" s="149" t="s">
        <v>351</v>
      </c>
      <c r="AJ42" s="150">
        <v>4.0599999999999996</v>
      </c>
      <c r="AK42" s="152">
        <v>442.33</v>
      </c>
      <c r="AL42" s="159" t="s">
        <v>351</v>
      </c>
      <c r="AM42" s="123" t="s">
        <v>351</v>
      </c>
      <c r="AN42" s="122">
        <v>1.0003304792783376</v>
      </c>
      <c r="AO42" s="122">
        <v>0.46011345187422392</v>
      </c>
      <c r="AP42" s="59" t="s">
        <v>351</v>
      </c>
      <c r="AQ42" s="160">
        <v>779.83</v>
      </c>
      <c r="AR42" s="161">
        <v>521.35</v>
      </c>
      <c r="AS42" s="122" t="s">
        <v>351</v>
      </c>
      <c r="AT42" s="42" t="s">
        <v>352</v>
      </c>
      <c r="AU42" s="42" t="s">
        <v>352</v>
      </c>
      <c r="AV42" s="164">
        <v>463.41463414634148</v>
      </c>
      <c r="AW42" s="164">
        <v>13.685705589936086</v>
      </c>
      <c r="AX42" s="164">
        <v>13.56</v>
      </c>
      <c r="AY42" s="42" t="s">
        <v>352</v>
      </c>
      <c r="AZ42" s="166" t="s">
        <v>351</v>
      </c>
      <c r="BA42" s="42" t="s">
        <v>352</v>
      </c>
      <c r="BB42" s="42" t="s">
        <v>352</v>
      </c>
      <c r="BC42" s="42" t="s">
        <v>352</v>
      </c>
      <c r="BD42" s="42" t="s">
        <v>352</v>
      </c>
      <c r="BE42" s="200">
        <v>0</v>
      </c>
      <c r="BF42" s="200">
        <v>0</v>
      </c>
      <c r="BG42" s="168">
        <v>4.4400000000000004</v>
      </c>
      <c r="BH42" s="171">
        <v>30.29</v>
      </c>
      <c r="BI42" s="42" t="s">
        <v>352</v>
      </c>
      <c r="BJ42" s="42" t="s">
        <v>352</v>
      </c>
      <c r="BK42" s="42" t="s">
        <v>352</v>
      </c>
      <c r="BL42" s="162">
        <v>69.798113016130671</v>
      </c>
      <c r="BM42" s="162">
        <v>122.34959926955464</v>
      </c>
      <c r="BN42" s="162">
        <v>48.899259409556656</v>
      </c>
      <c r="BO42" s="42" t="s">
        <v>352</v>
      </c>
      <c r="BP42" s="42" t="s">
        <v>352</v>
      </c>
      <c r="BQ42" s="42" t="s">
        <v>352</v>
      </c>
      <c r="BR42" s="182" t="s">
        <v>358</v>
      </c>
      <c r="BS42" s="126">
        <v>37.119999999999997</v>
      </c>
      <c r="BT42" s="186" t="s">
        <v>355</v>
      </c>
      <c r="BU42" s="131">
        <v>55.5</v>
      </c>
      <c r="BV42" s="42" t="s">
        <v>352</v>
      </c>
      <c r="BW42" s="42" t="s">
        <v>352</v>
      </c>
      <c r="BX42" s="42" t="s">
        <v>352</v>
      </c>
      <c r="BY42" s="42" t="s">
        <v>352</v>
      </c>
      <c r="BZ42" s="190" t="s">
        <v>359</v>
      </c>
      <c r="CA42" s="190" t="s">
        <v>359</v>
      </c>
      <c r="CB42" s="198" t="s">
        <v>351</v>
      </c>
      <c r="CC42" s="39" t="s">
        <v>351</v>
      </c>
      <c r="CD42" s="42" t="s">
        <v>352</v>
      </c>
    </row>
    <row r="43" spans="1:82">
      <c r="A43" s="3" t="s">
        <v>375</v>
      </c>
      <c r="B43" s="3" t="s">
        <v>396</v>
      </c>
      <c r="C43" s="27" t="s">
        <v>376</v>
      </c>
      <c r="D43" s="3" t="s">
        <v>376</v>
      </c>
      <c r="E43" s="29">
        <v>5001</v>
      </c>
      <c r="F43" s="3" t="s">
        <v>399</v>
      </c>
      <c r="G43" s="4">
        <v>5803</v>
      </c>
      <c r="H43" s="10">
        <v>1087.7319010000001</v>
      </c>
      <c r="I43" s="42" t="s">
        <v>352</v>
      </c>
      <c r="J43" s="41">
        <v>10521.894709</v>
      </c>
      <c r="K43" s="42" t="s">
        <v>352</v>
      </c>
      <c r="L43" s="119">
        <v>29.39</v>
      </c>
      <c r="M43" s="56" t="s">
        <v>351</v>
      </c>
      <c r="N43" s="42" t="s">
        <v>352</v>
      </c>
      <c r="O43" s="60">
        <v>2506.34</v>
      </c>
      <c r="P43" s="42" t="s">
        <v>352</v>
      </c>
      <c r="Q43" s="60">
        <v>1198.74</v>
      </c>
      <c r="R43" s="122">
        <v>0.89</v>
      </c>
      <c r="S43" s="62">
        <v>1050.08</v>
      </c>
      <c r="T43" s="42" t="s">
        <v>352</v>
      </c>
      <c r="U43" s="42" t="s">
        <v>352</v>
      </c>
      <c r="V43" s="42" t="s">
        <v>352</v>
      </c>
      <c r="W43" s="42" t="s">
        <v>352</v>
      </c>
      <c r="X43" s="42" t="s">
        <v>352</v>
      </c>
      <c r="Y43" s="42" t="s">
        <v>352</v>
      </c>
      <c r="Z43" s="122">
        <v>4.5999999999999996</v>
      </c>
      <c r="AA43" s="124" t="s">
        <v>351</v>
      </c>
      <c r="AB43" s="124" t="s">
        <v>351</v>
      </c>
      <c r="AC43" s="145" t="s">
        <v>351</v>
      </c>
      <c r="AD43" s="42" t="s">
        <v>352</v>
      </c>
      <c r="AE43" s="42" t="s">
        <v>352</v>
      </c>
      <c r="AF43" s="147" t="s">
        <v>351</v>
      </c>
      <c r="AG43" s="148" t="s">
        <v>351</v>
      </c>
      <c r="AH43" s="149" t="s">
        <v>351</v>
      </c>
      <c r="AI43" s="149" t="s">
        <v>351</v>
      </c>
      <c r="AJ43" s="150">
        <v>0</v>
      </c>
      <c r="AK43" s="152">
        <v>316.69</v>
      </c>
      <c r="AL43" s="159" t="s">
        <v>351</v>
      </c>
      <c r="AM43" s="123" t="s">
        <v>351</v>
      </c>
      <c r="AN43" s="122">
        <v>0.88538441627176878</v>
      </c>
      <c r="AO43" s="162">
        <v>0</v>
      </c>
      <c r="AP43" s="59" t="s">
        <v>351</v>
      </c>
      <c r="AQ43" s="160">
        <v>1031.83</v>
      </c>
      <c r="AR43" s="161">
        <v>898.66</v>
      </c>
      <c r="AS43" s="122" t="s">
        <v>351</v>
      </c>
      <c r="AT43" s="42" t="s">
        <v>352</v>
      </c>
      <c r="AU43" s="42" t="s">
        <v>352</v>
      </c>
      <c r="AV43" s="164">
        <v>125.56208924247666</v>
      </c>
      <c r="AW43" s="164">
        <v>3.8319434181357539</v>
      </c>
      <c r="AX43" s="164">
        <v>16.93</v>
      </c>
      <c r="AY43" s="42" t="s">
        <v>352</v>
      </c>
      <c r="AZ43" s="165">
        <v>0</v>
      </c>
      <c r="BA43" s="42" t="s">
        <v>352</v>
      </c>
      <c r="BB43" s="42" t="s">
        <v>352</v>
      </c>
      <c r="BC43" s="42" t="s">
        <v>352</v>
      </c>
      <c r="BD43" s="42" t="s">
        <v>352</v>
      </c>
      <c r="BE43" s="200">
        <v>0</v>
      </c>
      <c r="BF43" s="200">
        <v>0</v>
      </c>
      <c r="BG43" s="168">
        <v>6.92</v>
      </c>
      <c r="BH43" s="171">
        <v>28.03</v>
      </c>
      <c r="BI43" s="42" t="s">
        <v>352</v>
      </c>
      <c r="BJ43" s="42" t="s">
        <v>352</v>
      </c>
      <c r="BK43" s="42" t="s">
        <v>352</v>
      </c>
      <c r="BL43" s="162">
        <v>53.309405679299061</v>
      </c>
      <c r="BM43" s="162">
        <v>69.671698511559171</v>
      </c>
      <c r="BN43" s="162">
        <v>53.837221577113901</v>
      </c>
      <c r="BO43" s="42" t="s">
        <v>352</v>
      </c>
      <c r="BP43" s="42" t="s">
        <v>352</v>
      </c>
      <c r="BQ43" s="42" t="s">
        <v>352</v>
      </c>
      <c r="BR43" s="182" t="s">
        <v>358</v>
      </c>
      <c r="BS43" s="126">
        <v>17.59</v>
      </c>
      <c r="BT43" s="186" t="s">
        <v>355</v>
      </c>
      <c r="BU43" s="131">
        <v>47.25</v>
      </c>
      <c r="BV43" s="42" t="s">
        <v>352</v>
      </c>
      <c r="BW43" s="42" t="s">
        <v>352</v>
      </c>
      <c r="BX43" s="42" t="s">
        <v>352</v>
      </c>
      <c r="BY43" s="42" t="s">
        <v>352</v>
      </c>
      <c r="BZ43" s="190" t="s">
        <v>359</v>
      </c>
      <c r="CA43" s="190" t="s">
        <v>359</v>
      </c>
      <c r="CB43" s="198" t="s">
        <v>353</v>
      </c>
      <c r="CC43" s="39">
        <v>1509.5534677504486</v>
      </c>
      <c r="CD43" s="42" t="s">
        <v>352</v>
      </c>
    </row>
    <row r="44" spans="1:82">
      <c r="A44" s="3" t="s">
        <v>375</v>
      </c>
      <c r="B44" s="3" t="s">
        <v>396</v>
      </c>
      <c r="C44" s="27" t="s">
        <v>376</v>
      </c>
      <c r="D44" s="3" t="s">
        <v>376</v>
      </c>
      <c r="E44" s="29">
        <v>5001</v>
      </c>
      <c r="F44" s="3" t="s">
        <v>400</v>
      </c>
      <c r="G44" s="4">
        <v>5804</v>
      </c>
      <c r="H44" s="10">
        <v>356.73077999999998</v>
      </c>
      <c r="I44" s="42" t="s">
        <v>352</v>
      </c>
      <c r="J44" s="41">
        <v>2078.640668</v>
      </c>
      <c r="K44" s="42" t="s">
        <v>352</v>
      </c>
      <c r="L44" s="119">
        <v>66.63</v>
      </c>
      <c r="M44" s="120">
        <v>75.900000000000006</v>
      </c>
      <c r="N44" s="42" t="s">
        <v>352</v>
      </c>
      <c r="O44" s="60">
        <v>1402.12</v>
      </c>
      <c r="P44" s="42" t="s">
        <v>352</v>
      </c>
      <c r="Q44" s="60">
        <v>759.67</v>
      </c>
      <c r="R44" s="122">
        <v>0.8</v>
      </c>
      <c r="S44" s="62">
        <v>584.54999999999995</v>
      </c>
      <c r="T44" s="42" t="s">
        <v>352</v>
      </c>
      <c r="U44" s="42" t="s">
        <v>352</v>
      </c>
      <c r="V44" s="42" t="s">
        <v>352</v>
      </c>
      <c r="W44" s="42" t="s">
        <v>352</v>
      </c>
      <c r="X44" s="42" t="s">
        <v>352</v>
      </c>
      <c r="Y44" s="42" t="s">
        <v>352</v>
      </c>
      <c r="Z44" s="122">
        <v>7.85</v>
      </c>
      <c r="AA44" s="135">
        <v>1</v>
      </c>
      <c r="AB44" s="134">
        <v>40.334355558031397</v>
      </c>
      <c r="AC44" s="144">
        <v>69.8</v>
      </c>
      <c r="AD44" s="42" t="s">
        <v>352</v>
      </c>
      <c r="AE44" s="42" t="s">
        <v>352</v>
      </c>
      <c r="AF44" s="134">
        <v>19.489999999999998</v>
      </c>
      <c r="AG44" s="134">
        <v>27.09</v>
      </c>
      <c r="AH44" s="134">
        <v>35.119999999999997</v>
      </c>
      <c r="AI44" s="134">
        <v>14.32</v>
      </c>
      <c r="AJ44" s="150">
        <v>3.66</v>
      </c>
      <c r="AK44" s="152">
        <v>225.29</v>
      </c>
      <c r="AL44" s="159" t="s">
        <v>351</v>
      </c>
      <c r="AM44" s="123" t="s">
        <v>351</v>
      </c>
      <c r="AN44" s="122">
        <v>0.86503846780875526</v>
      </c>
      <c r="AO44" s="162">
        <v>0</v>
      </c>
      <c r="AP44" s="59" t="s">
        <v>351</v>
      </c>
      <c r="AQ44" s="160">
        <v>646.37</v>
      </c>
      <c r="AR44" s="161">
        <v>181.54</v>
      </c>
      <c r="AS44" s="122" t="s">
        <v>351</v>
      </c>
      <c r="AT44" s="42" t="s">
        <v>352</v>
      </c>
      <c r="AU44" s="42" t="s">
        <v>352</v>
      </c>
      <c r="AV44" s="164">
        <v>614.63468553111534</v>
      </c>
      <c r="AW44" s="164">
        <v>20.337061392280063</v>
      </c>
      <c r="AX44" s="164">
        <v>6.75</v>
      </c>
      <c r="AY44" s="42" t="s">
        <v>352</v>
      </c>
      <c r="AZ44" s="165">
        <v>0.8</v>
      </c>
      <c r="BA44" s="42" t="s">
        <v>352</v>
      </c>
      <c r="BB44" s="42" t="s">
        <v>352</v>
      </c>
      <c r="BC44" s="42" t="s">
        <v>352</v>
      </c>
      <c r="BD44" s="42" t="s">
        <v>352</v>
      </c>
      <c r="BE44" s="200">
        <v>0.5</v>
      </c>
      <c r="BF44" s="200">
        <v>21.36</v>
      </c>
      <c r="BG44" s="168">
        <v>3.73</v>
      </c>
      <c r="BH44" s="171">
        <v>14.4</v>
      </c>
      <c r="BI44" s="42" t="s">
        <v>352</v>
      </c>
      <c r="BJ44" s="42" t="s">
        <v>352</v>
      </c>
      <c r="BK44" s="42" t="s">
        <v>352</v>
      </c>
      <c r="BL44" s="162">
        <v>68.392448303355252</v>
      </c>
      <c r="BM44" s="162">
        <v>116.88891164573444</v>
      </c>
      <c r="BN44" s="162">
        <v>56.25004571687721</v>
      </c>
      <c r="BO44" s="42" t="s">
        <v>352</v>
      </c>
      <c r="BP44" s="42" t="s">
        <v>352</v>
      </c>
      <c r="BQ44" s="42" t="s">
        <v>352</v>
      </c>
      <c r="BR44" s="182" t="s">
        <v>358</v>
      </c>
      <c r="BS44" s="126">
        <v>11.7</v>
      </c>
      <c r="BT44" s="186" t="s">
        <v>355</v>
      </c>
      <c r="BU44" s="131">
        <v>62.29</v>
      </c>
      <c r="BV44" s="42" t="s">
        <v>352</v>
      </c>
      <c r="BW44" s="42" t="s">
        <v>352</v>
      </c>
      <c r="BX44" s="42" t="s">
        <v>352</v>
      </c>
      <c r="BY44" s="42" t="s">
        <v>352</v>
      </c>
      <c r="BZ44" s="190" t="s">
        <v>359</v>
      </c>
      <c r="CA44" s="190" t="s">
        <v>359</v>
      </c>
      <c r="CB44" s="198" t="s">
        <v>353</v>
      </c>
      <c r="CC44" s="39">
        <v>0</v>
      </c>
      <c r="CD44" s="42" t="s">
        <v>352</v>
      </c>
    </row>
    <row r="45" spans="1:82">
      <c r="A45" s="3" t="s">
        <v>401</v>
      </c>
      <c r="B45" s="3" t="s">
        <v>402</v>
      </c>
      <c r="C45" s="27" t="s">
        <v>349</v>
      </c>
      <c r="D45" s="3" t="s">
        <v>403</v>
      </c>
      <c r="E45" s="29">
        <v>6001</v>
      </c>
      <c r="F45" s="3" t="s">
        <v>404</v>
      </c>
      <c r="G45" s="4">
        <v>6101</v>
      </c>
      <c r="H45" s="10">
        <v>189.526093</v>
      </c>
      <c r="I45" s="42" t="s">
        <v>352</v>
      </c>
      <c r="J45" s="41">
        <v>1234.677128</v>
      </c>
      <c r="K45" s="42" t="s">
        <v>352</v>
      </c>
      <c r="L45" s="119">
        <v>91.32</v>
      </c>
      <c r="M45" s="120">
        <v>92.56</v>
      </c>
      <c r="N45" s="42" t="s">
        <v>352</v>
      </c>
      <c r="O45" s="60">
        <v>1445.96</v>
      </c>
      <c r="P45" s="42" t="s">
        <v>352</v>
      </c>
      <c r="Q45" s="60">
        <v>726.76</v>
      </c>
      <c r="R45" s="122">
        <v>0.84</v>
      </c>
      <c r="S45" s="62">
        <v>469.43</v>
      </c>
      <c r="T45" s="42" t="s">
        <v>352</v>
      </c>
      <c r="U45" s="42" t="s">
        <v>352</v>
      </c>
      <c r="V45" s="42" t="s">
        <v>352</v>
      </c>
      <c r="W45" s="42" t="s">
        <v>352</v>
      </c>
      <c r="X45" s="42" t="s">
        <v>352</v>
      </c>
      <c r="Y45" s="42" t="s">
        <v>352</v>
      </c>
      <c r="Z45" s="122">
        <v>30.11</v>
      </c>
      <c r="AA45" s="124" t="s">
        <v>351</v>
      </c>
      <c r="AB45" s="124" t="s">
        <v>351</v>
      </c>
      <c r="AC45" s="145" t="s">
        <v>351</v>
      </c>
      <c r="AD45" s="42" t="s">
        <v>352</v>
      </c>
      <c r="AE45" s="42" t="s">
        <v>352</v>
      </c>
      <c r="AF45" s="147" t="s">
        <v>351</v>
      </c>
      <c r="AG45" s="148" t="s">
        <v>351</v>
      </c>
      <c r="AH45" s="149" t="s">
        <v>351</v>
      </c>
      <c r="AI45" s="149" t="s">
        <v>351</v>
      </c>
      <c r="AJ45" s="150">
        <v>12.21</v>
      </c>
      <c r="AK45" s="152">
        <v>363.75</v>
      </c>
      <c r="AL45" s="159" t="s">
        <v>351</v>
      </c>
      <c r="AM45" s="123" t="s">
        <v>351</v>
      </c>
      <c r="AN45" s="122">
        <v>1.037467629462282</v>
      </c>
      <c r="AO45" s="162">
        <v>0</v>
      </c>
      <c r="AP45" s="59">
        <v>3.7</v>
      </c>
      <c r="AQ45" s="160">
        <v>731.27</v>
      </c>
      <c r="AR45" s="161">
        <v>539.84</v>
      </c>
      <c r="AS45" s="200">
        <v>1.4699208991865206E-2</v>
      </c>
      <c r="AT45" s="42" t="s">
        <v>352</v>
      </c>
      <c r="AU45" s="42" t="s">
        <v>352</v>
      </c>
      <c r="AV45" s="164">
        <v>616.92472553908067</v>
      </c>
      <c r="AW45" s="164">
        <v>21.534627011511802</v>
      </c>
      <c r="AX45" s="164">
        <v>8.84</v>
      </c>
      <c r="AY45" s="42" t="s">
        <v>352</v>
      </c>
      <c r="AZ45" s="165">
        <v>1.54</v>
      </c>
      <c r="BA45" s="42" t="s">
        <v>352</v>
      </c>
      <c r="BB45" s="42" t="s">
        <v>352</v>
      </c>
      <c r="BC45" s="42" t="s">
        <v>352</v>
      </c>
      <c r="BD45" s="42" t="s">
        <v>352</v>
      </c>
      <c r="BE45" s="200">
        <v>0.23</v>
      </c>
      <c r="BF45" s="200">
        <v>12.07</v>
      </c>
      <c r="BG45" s="168">
        <v>10.64</v>
      </c>
      <c r="BH45" s="171">
        <v>13.23</v>
      </c>
      <c r="BI45" s="42" t="s">
        <v>352</v>
      </c>
      <c r="BJ45" s="42" t="s">
        <v>352</v>
      </c>
      <c r="BK45" s="42" t="s">
        <v>352</v>
      </c>
      <c r="BL45" s="162">
        <v>109.50716052398546</v>
      </c>
      <c r="BM45" s="162">
        <v>196.45638034749152</v>
      </c>
      <c r="BN45" s="162">
        <v>64.047757183425446</v>
      </c>
      <c r="BO45" s="42" t="s">
        <v>352</v>
      </c>
      <c r="BP45" s="42" t="s">
        <v>352</v>
      </c>
      <c r="BQ45" s="42" t="s">
        <v>352</v>
      </c>
      <c r="BR45" s="182" t="s">
        <v>358</v>
      </c>
      <c r="BS45" s="126">
        <v>14.24</v>
      </c>
      <c r="BT45" s="186" t="s">
        <v>353</v>
      </c>
      <c r="BU45" s="131">
        <v>30.66</v>
      </c>
      <c r="BV45" s="42" t="s">
        <v>352</v>
      </c>
      <c r="BW45" s="42" t="s">
        <v>352</v>
      </c>
      <c r="BX45" s="42" t="s">
        <v>352</v>
      </c>
      <c r="BY45" s="42" t="s">
        <v>352</v>
      </c>
      <c r="BZ45" s="191">
        <v>0</v>
      </c>
      <c r="CA45" s="191">
        <v>0</v>
      </c>
      <c r="CB45" s="198" t="s">
        <v>355</v>
      </c>
      <c r="CC45" s="39">
        <v>0</v>
      </c>
      <c r="CD45" s="42" t="s">
        <v>352</v>
      </c>
    </row>
    <row r="46" spans="1:82">
      <c r="A46" s="3" t="s">
        <v>401</v>
      </c>
      <c r="B46" s="3" t="s">
        <v>402</v>
      </c>
      <c r="C46" s="27" t="s">
        <v>349</v>
      </c>
      <c r="D46" s="3" t="s">
        <v>403</v>
      </c>
      <c r="E46" s="29">
        <v>6001</v>
      </c>
      <c r="F46" s="3" t="s">
        <v>405</v>
      </c>
      <c r="G46" s="4">
        <v>6108</v>
      </c>
      <c r="H46" s="10">
        <v>337.019274</v>
      </c>
      <c r="I46" s="42" t="s">
        <v>352</v>
      </c>
      <c r="J46" s="41">
        <v>1885.9739959999999</v>
      </c>
      <c r="K46" s="42" t="s">
        <v>352</v>
      </c>
      <c r="L46" s="119">
        <v>79.150000000000006</v>
      </c>
      <c r="M46" s="120">
        <v>87.19</v>
      </c>
      <c r="N46" s="42" t="s">
        <v>352</v>
      </c>
      <c r="O46" s="60">
        <v>1674.92</v>
      </c>
      <c r="P46" s="42" t="s">
        <v>352</v>
      </c>
      <c r="Q46" s="60">
        <v>1278.79</v>
      </c>
      <c r="R46" s="122">
        <v>0.55000000000000004</v>
      </c>
      <c r="S46" s="62">
        <v>883.04</v>
      </c>
      <c r="T46" s="42" t="s">
        <v>352</v>
      </c>
      <c r="U46" s="42" t="s">
        <v>352</v>
      </c>
      <c r="V46" s="42" t="s">
        <v>352</v>
      </c>
      <c r="W46" s="42" t="s">
        <v>352</v>
      </c>
      <c r="X46" s="42" t="s">
        <v>352</v>
      </c>
      <c r="Y46" s="42" t="s">
        <v>352</v>
      </c>
      <c r="Z46" s="122">
        <v>11.24</v>
      </c>
      <c r="AA46" s="124" t="s">
        <v>351</v>
      </c>
      <c r="AB46" s="124" t="s">
        <v>351</v>
      </c>
      <c r="AC46" s="145" t="s">
        <v>351</v>
      </c>
      <c r="AD46" s="42" t="s">
        <v>352</v>
      </c>
      <c r="AE46" s="42" t="s">
        <v>352</v>
      </c>
      <c r="AF46" s="147" t="s">
        <v>351</v>
      </c>
      <c r="AG46" s="148" t="s">
        <v>351</v>
      </c>
      <c r="AH46" s="149" t="s">
        <v>351</v>
      </c>
      <c r="AI46" s="149" t="s">
        <v>351</v>
      </c>
      <c r="AJ46" s="150">
        <v>0</v>
      </c>
      <c r="AK46" s="152">
        <v>166.1</v>
      </c>
      <c r="AL46" s="159" t="s">
        <v>351</v>
      </c>
      <c r="AM46" s="123" t="s">
        <v>351</v>
      </c>
      <c r="AN46" s="122">
        <v>1.0285349423206931</v>
      </c>
      <c r="AO46" s="122">
        <v>1.4267459563091651</v>
      </c>
      <c r="AP46" s="59">
        <v>4.1100000000000003</v>
      </c>
      <c r="AQ46" s="160">
        <v>814.78</v>
      </c>
      <c r="AR46" s="161">
        <v>410.27</v>
      </c>
      <c r="AS46" s="200">
        <v>1.3117444347327228E-2</v>
      </c>
      <c r="AT46" s="42" t="s">
        <v>352</v>
      </c>
      <c r="AU46" s="42" t="s">
        <v>352</v>
      </c>
      <c r="AV46" s="164">
        <v>496.52266612518406</v>
      </c>
      <c r="AW46" s="164">
        <v>16.748861262371999</v>
      </c>
      <c r="AX46" s="164">
        <v>7.49</v>
      </c>
      <c r="AY46" s="42" t="s">
        <v>352</v>
      </c>
      <c r="AZ46" s="165">
        <v>0.51</v>
      </c>
      <c r="BA46" s="42" t="s">
        <v>352</v>
      </c>
      <c r="BB46" s="42" t="s">
        <v>352</v>
      </c>
      <c r="BC46" s="42" t="s">
        <v>352</v>
      </c>
      <c r="BD46" s="42" t="s">
        <v>352</v>
      </c>
      <c r="BE46" s="200">
        <v>0.68</v>
      </c>
      <c r="BF46" s="200">
        <v>5.37</v>
      </c>
      <c r="BG46" s="168">
        <v>7.24</v>
      </c>
      <c r="BH46" s="171">
        <v>17.98</v>
      </c>
      <c r="BI46" s="42" t="s">
        <v>352</v>
      </c>
      <c r="BJ46" s="42" t="s">
        <v>352</v>
      </c>
      <c r="BK46" s="42" t="s">
        <v>352</v>
      </c>
      <c r="BL46" s="162">
        <v>56.508784547416006</v>
      </c>
      <c r="BM46" s="162">
        <v>114.38747902325422</v>
      </c>
      <c r="BN46" s="162">
        <v>48.974279941093869</v>
      </c>
      <c r="BO46" s="42" t="s">
        <v>352</v>
      </c>
      <c r="BP46" s="42" t="s">
        <v>352</v>
      </c>
      <c r="BQ46" s="42" t="s">
        <v>352</v>
      </c>
      <c r="BR46" s="182" t="s">
        <v>358</v>
      </c>
      <c r="BS46" s="126">
        <v>48.38</v>
      </c>
      <c r="BT46" s="186" t="s">
        <v>353</v>
      </c>
      <c r="BU46" s="131">
        <v>21</v>
      </c>
      <c r="BV46" s="42" t="s">
        <v>352</v>
      </c>
      <c r="BW46" s="42" t="s">
        <v>352</v>
      </c>
      <c r="BX46" s="42" t="s">
        <v>352</v>
      </c>
      <c r="BY46" s="42" t="s">
        <v>352</v>
      </c>
      <c r="BZ46" s="191">
        <v>0</v>
      </c>
      <c r="CA46" s="191">
        <v>0</v>
      </c>
      <c r="CB46" s="198" t="s">
        <v>351</v>
      </c>
      <c r="CC46" s="39" t="s">
        <v>351</v>
      </c>
      <c r="CD46" s="42" t="s">
        <v>352</v>
      </c>
    </row>
    <row r="47" spans="1:82">
      <c r="A47" s="3" t="s">
        <v>401</v>
      </c>
      <c r="B47" s="5" t="s">
        <v>402</v>
      </c>
      <c r="C47" s="27" t="s">
        <v>349</v>
      </c>
      <c r="D47" s="5" t="s">
        <v>406</v>
      </c>
      <c r="E47" s="29">
        <v>6115</v>
      </c>
      <c r="F47" s="5" t="s">
        <v>406</v>
      </c>
      <c r="G47" s="4">
        <v>6115</v>
      </c>
      <c r="H47" s="10">
        <v>271.301895</v>
      </c>
      <c r="I47" s="42" t="s">
        <v>352</v>
      </c>
      <c r="J47" s="41">
        <v>995.22346600000003</v>
      </c>
      <c r="K47" s="42" t="s">
        <v>352</v>
      </c>
      <c r="L47" s="119">
        <v>86.27</v>
      </c>
      <c r="M47" s="120">
        <v>81.95</v>
      </c>
      <c r="N47" s="42" t="s">
        <v>352</v>
      </c>
      <c r="O47" s="60">
        <v>1798.78</v>
      </c>
      <c r="P47" s="42" t="s">
        <v>352</v>
      </c>
      <c r="Q47" s="60">
        <v>731.64</v>
      </c>
      <c r="R47" s="122">
        <v>0.96</v>
      </c>
      <c r="S47" s="62">
        <v>543.54</v>
      </c>
      <c r="T47" s="42" t="s">
        <v>352</v>
      </c>
      <c r="U47" s="42" t="s">
        <v>352</v>
      </c>
      <c r="V47" s="42" t="s">
        <v>352</v>
      </c>
      <c r="W47" s="42" t="s">
        <v>352</v>
      </c>
      <c r="X47" s="42" t="s">
        <v>352</v>
      </c>
      <c r="Y47" s="42" t="s">
        <v>352</v>
      </c>
      <c r="Z47" s="122">
        <v>11.13</v>
      </c>
      <c r="AA47" s="124" t="s">
        <v>351</v>
      </c>
      <c r="AB47" s="124" t="s">
        <v>351</v>
      </c>
      <c r="AC47" s="145" t="s">
        <v>351</v>
      </c>
      <c r="AD47" s="42" t="s">
        <v>352</v>
      </c>
      <c r="AE47" s="42" t="s">
        <v>352</v>
      </c>
      <c r="AF47" s="147" t="s">
        <v>351</v>
      </c>
      <c r="AG47" s="148" t="s">
        <v>351</v>
      </c>
      <c r="AH47" s="149" t="s">
        <v>351</v>
      </c>
      <c r="AI47" s="149" t="s">
        <v>351</v>
      </c>
      <c r="AJ47" s="150">
        <v>12.71</v>
      </c>
      <c r="AK47" s="152">
        <v>304.97000000000003</v>
      </c>
      <c r="AL47" s="159" t="s">
        <v>351</v>
      </c>
      <c r="AM47" s="123" t="s">
        <v>351</v>
      </c>
      <c r="AN47" s="122">
        <v>0.92594889308680239</v>
      </c>
      <c r="AO47" s="122">
        <v>0.38389513108614232</v>
      </c>
      <c r="AP47" s="59" t="s">
        <v>351</v>
      </c>
      <c r="AQ47" s="160">
        <v>646.84</v>
      </c>
      <c r="AR47" s="161">
        <v>663.78</v>
      </c>
      <c r="AS47" s="200">
        <v>7.8062795706360108E-3</v>
      </c>
      <c r="AT47" s="42" t="s">
        <v>352</v>
      </c>
      <c r="AU47" s="42" t="s">
        <v>352</v>
      </c>
      <c r="AV47" s="164">
        <v>358.1434599156118</v>
      </c>
      <c r="AW47" s="164">
        <v>10.111502906699704</v>
      </c>
      <c r="AX47" s="164">
        <v>13.6</v>
      </c>
      <c r="AY47" s="42" t="s">
        <v>352</v>
      </c>
      <c r="AZ47" s="165">
        <v>0</v>
      </c>
      <c r="BA47" s="42" t="s">
        <v>352</v>
      </c>
      <c r="BB47" s="42" t="s">
        <v>352</v>
      </c>
      <c r="BC47" s="42" t="s">
        <v>352</v>
      </c>
      <c r="BD47" s="42" t="s">
        <v>352</v>
      </c>
      <c r="BE47" s="200">
        <v>0.1</v>
      </c>
      <c r="BF47" s="200">
        <v>64.239999999999995</v>
      </c>
      <c r="BG47" s="168">
        <v>10.199999999999999</v>
      </c>
      <c r="BH47" s="171">
        <v>15.46</v>
      </c>
      <c r="BI47" s="42" t="s">
        <v>352</v>
      </c>
      <c r="BJ47" s="42" t="s">
        <v>352</v>
      </c>
      <c r="BK47" s="42" t="s">
        <v>352</v>
      </c>
      <c r="BL47" s="162">
        <v>73.382254836557706</v>
      </c>
      <c r="BM47" s="162">
        <v>172.49594968073956</v>
      </c>
      <c r="BN47" s="162">
        <v>62.740239524762544</v>
      </c>
      <c r="BO47" s="42" t="s">
        <v>352</v>
      </c>
      <c r="BP47" s="42" t="s">
        <v>352</v>
      </c>
      <c r="BQ47" s="42" t="s">
        <v>352</v>
      </c>
      <c r="BR47" s="182" t="s">
        <v>358</v>
      </c>
      <c r="BS47" s="126">
        <v>9.1199999999999992</v>
      </c>
      <c r="BT47" s="186" t="s">
        <v>353</v>
      </c>
      <c r="BU47" s="131">
        <v>53.23</v>
      </c>
      <c r="BV47" s="42" t="s">
        <v>352</v>
      </c>
      <c r="BW47" s="42" t="s">
        <v>352</v>
      </c>
      <c r="BX47" s="42" t="s">
        <v>352</v>
      </c>
      <c r="BY47" s="42" t="s">
        <v>352</v>
      </c>
      <c r="BZ47" s="190" t="s">
        <v>359</v>
      </c>
      <c r="CA47" s="190" t="s">
        <v>359</v>
      </c>
      <c r="CB47" s="198" t="s">
        <v>355</v>
      </c>
      <c r="CC47" s="39" t="s">
        <v>351</v>
      </c>
      <c r="CD47" s="42" t="s">
        <v>352</v>
      </c>
    </row>
    <row r="48" spans="1:82">
      <c r="A48" s="3" t="s">
        <v>401</v>
      </c>
      <c r="B48" s="5" t="s">
        <v>407</v>
      </c>
      <c r="C48" s="27" t="s">
        <v>349</v>
      </c>
      <c r="D48" s="5" t="s">
        <v>408</v>
      </c>
      <c r="E48" s="29">
        <v>6301</v>
      </c>
      <c r="F48" s="7" t="s">
        <v>408</v>
      </c>
      <c r="G48" s="4">
        <v>6301</v>
      </c>
      <c r="H48" s="10">
        <v>267.02521999999999</v>
      </c>
      <c r="I48" s="42" t="s">
        <v>352</v>
      </c>
      <c r="J48" s="41">
        <v>1333.506198</v>
      </c>
      <c r="K48" s="42" t="s">
        <v>352</v>
      </c>
      <c r="L48" s="119">
        <v>82.18</v>
      </c>
      <c r="M48" s="120">
        <v>88.42</v>
      </c>
      <c r="N48" s="42" t="s">
        <v>352</v>
      </c>
      <c r="O48" s="60">
        <v>1282.99</v>
      </c>
      <c r="P48" s="42" t="s">
        <v>352</v>
      </c>
      <c r="Q48" s="60">
        <v>594.17999999999995</v>
      </c>
      <c r="R48" s="122">
        <v>0.94</v>
      </c>
      <c r="S48" s="62">
        <v>452.22</v>
      </c>
      <c r="T48" s="42" t="s">
        <v>352</v>
      </c>
      <c r="U48" s="42" t="s">
        <v>352</v>
      </c>
      <c r="V48" s="42" t="s">
        <v>352</v>
      </c>
      <c r="W48" s="42" t="s">
        <v>352</v>
      </c>
      <c r="X48" s="42" t="s">
        <v>352</v>
      </c>
      <c r="Y48" s="42" t="s">
        <v>352</v>
      </c>
      <c r="Z48" s="122">
        <v>8</v>
      </c>
      <c r="AA48" s="124" t="s">
        <v>351</v>
      </c>
      <c r="AB48" s="124" t="s">
        <v>351</v>
      </c>
      <c r="AC48" s="145" t="s">
        <v>351</v>
      </c>
      <c r="AD48" s="42" t="s">
        <v>352</v>
      </c>
      <c r="AE48" s="42" t="s">
        <v>352</v>
      </c>
      <c r="AF48" s="147" t="s">
        <v>351</v>
      </c>
      <c r="AG48" s="148" t="s">
        <v>351</v>
      </c>
      <c r="AH48" s="149" t="s">
        <v>351</v>
      </c>
      <c r="AI48" s="149" t="s">
        <v>351</v>
      </c>
      <c r="AJ48" s="150">
        <v>9</v>
      </c>
      <c r="AK48" s="152">
        <v>509.24</v>
      </c>
      <c r="AL48" s="159" t="s">
        <v>351</v>
      </c>
      <c r="AM48" s="123" t="s">
        <v>351</v>
      </c>
      <c r="AN48" s="122">
        <v>0.99261912600967572</v>
      </c>
      <c r="AO48" s="122">
        <v>0.2419417944624257</v>
      </c>
      <c r="AP48" s="59" t="s">
        <v>351</v>
      </c>
      <c r="AQ48" s="160">
        <v>710.41</v>
      </c>
      <c r="AR48" s="161">
        <v>771.5</v>
      </c>
      <c r="AS48" s="200">
        <v>1.3919365038150635E-2</v>
      </c>
      <c r="AT48" s="42" t="s">
        <v>352</v>
      </c>
      <c r="AU48" s="42" t="s">
        <v>352</v>
      </c>
      <c r="AV48" s="164">
        <v>446.21733149931225</v>
      </c>
      <c r="AW48" s="164">
        <v>14.600774147087947</v>
      </c>
      <c r="AX48" s="164">
        <v>14.59</v>
      </c>
      <c r="AY48" s="42" t="s">
        <v>352</v>
      </c>
      <c r="AZ48" s="165">
        <v>0.55000000000000004</v>
      </c>
      <c r="BA48" s="42" t="s">
        <v>352</v>
      </c>
      <c r="BB48" s="42" t="s">
        <v>352</v>
      </c>
      <c r="BC48" s="42" t="s">
        <v>352</v>
      </c>
      <c r="BD48" s="42" t="s">
        <v>352</v>
      </c>
      <c r="BE48" s="200">
        <v>0.42</v>
      </c>
      <c r="BF48" s="200">
        <v>26.32</v>
      </c>
      <c r="BG48" s="168">
        <v>10.119999999999999</v>
      </c>
      <c r="BH48" s="171">
        <v>18.329999999999998</v>
      </c>
      <c r="BI48" s="42" t="s">
        <v>352</v>
      </c>
      <c r="BJ48" s="42" t="s">
        <v>352</v>
      </c>
      <c r="BK48" s="42" t="s">
        <v>352</v>
      </c>
      <c r="BL48" s="162">
        <v>89.374123940691575</v>
      </c>
      <c r="BM48" s="162">
        <v>203.05286575877989</v>
      </c>
      <c r="BN48" s="162">
        <v>108.66350320846676</v>
      </c>
      <c r="BO48" s="42" t="s">
        <v>352</v>
      </c>
      <c r="BP48" s="42" t="s">
        <v>352</v>
      </c>
      <c r="BQ48" s="42" t="s">
        <v>352</v>
      </c>
      <c r="BR48" s="182" t="s">
        <v>358</v>
      </c>
      <c r="BS48" s="126">
        <v>28.12</v>
      </c>
      <c r="BT48" s="186" t="s">
        <v>355</v>
      </c>
      <c r="BU48" s="131">
        <v>35.729999999999997</v>
      </c>
      <c r="BV48" s="42" t="s">
        <v>352</v>
      </c>
      <c r="BW48" s="42" t="s">
        <v>352</v>
      </c>
      <c r="BX48" s="42" t="s">
        <v>352</v>
      </c>
      <c r="BY48" s="42" t="s">
        <v>352</v>
      </c>
      <c r="BZ48" s="190" t="s">
        <v>359</v>
      </c>
      <c r="CA48" s="190" t="s">
        <v>359</v>
      </c>
      <c r="CB48" s="198" t="s">
        <v>355</v>
      </c>
      <c r="CC48" s="39">
        <v>0</v>
      </c>
      <c r="CD48" s="42" t="s">
        <v>352</v>
      </c>
    </row>
    <row r="49" spans="1:82">
      <c r="A49" s="3" t="s">
        <v>409</v>
      </c>
      <c r="B49" s="3" t="s">
        <v>410</v>
      </c>
      <c r="C49" s="27" t="s">
        <v>349</v>
      </c>
      <c r="D49" s="3" t="s">
        <v>411</v>
      </c>
      <c r="E49" s="29">
        <v>7001</v>
      </c>
      <c r="F49" s="3" t="s">
        <v>410</v>
      </c>
      <c r="G49" s="4">
        <v>7101</v>
      </c>
      <c r="H49" s="10">
        <v>240.03178800000001</v>
      </c>
      <c r="I49" s="42" t="s">
        <v>352</v>
      </c>
      <c r="J49" s="41">
        <v>1022.834164</v>
      </c>
      <c r="K49" s="42" t="s">
        <v>352</v>
      </c>
      <c r="L49" s="119">
        <v>86.59</v>
      </c>
      <c r="M49" s="120">
        <v>95.82</v>
      </c>
      <c r="N49" s="42" t="s">
        <v>352</v>
      </c>
      <c r="O49" s="60">
        <v>1133.1099999999999</v>
      </c>
      <c r="P49" s="42" t="s">
        <v>352</v>
      </c>
      <c r="Q49" s="60">
        <v>789.5</v>
      </c>
      <c r="R49" s="122">
        <v>0.95</v>
      </c>
      <c r="S49" s="62">
        <v>513.89</v>
      </c>
      <c r="T49" s="42" t="s">
        <v>352</v>
      </c>
      <c r="U49" s="42" t="s">
        <v>352</v>
      </c>
      <c r="V49" s="42" t="s">
        <v>352</v>
      </c>
      <c r="W49" s="42" t="s">
        <v>352</v>
      </c>
      <c r="X49" s="42" t="s">
        <v>352</v>
      </c>
      <c r="Y49" s="42" t="s">
        <v>352</v>
      </c>
      <c r="Z49" s="122">
        <v>10.050000000000001</v>
      </c>
      <c r="AA49" s="124" t="s">
        <v>351</v>
      </c>
      <c r="AB49" s="124" t="s">
        <v>351</v>
      </c>
      <c r="AC49" s="145" t="s">
        <v>351</v>
      </c>
      <c r="AD49" s="42" t="s">
        <v>352</v>
      </c>
      <c r="AE49" s="42" t="s">
        <v>352</v>
      </c>
      <c r="AF49" s="147" t="s">
        <v>351</v>
      </c>
      <c r="AG49" s="148" t="s">
        <v>351</v>
      </c>
      <c r="AH49" s="149" t="s">
        <v>351</v>
      </c>
      <c r="AI49" s="149" t="s">
        <v>351</v>
      </c>
      <c r="AJ49" s="150">
        <v>4.6900000000000004</v>
      </c>
      <c r="AK49" s="152">
        <v>406.87</v>
      </c>
      <c r="AL49" s="159" t="s">
        <v>351</v>
      </c>
      <c r="AM49" s="123" t="s">
        <v>351</v>
      </c>
      <c r="AN49" s="122">
        <v>1.2193414383430328</v>
      </c>
      <c r="AO49" s="122">
        <v>1.0342096385841202</v>
      </c>
      <c r="AP49" s="59" t="s">
        <v>351</v>
      </c>
      <c r="AQ49" s="160">
        <v>760.78</v>
      </c>
      <c r="AR49" s="161">
        <v>603.62</v>
      </c>
      <c r="AS49" s="200">
        <v>2.5598785041656441E-2</v>
      </c>
      <c r="AT49" s="42" t="s">
        <v>352</v>
      </c>
      <c r="AU49" s="42" t="s">
        <v>352</v>
      </c>
      <c r="AV49" s="164">
        <v>653.35473118943275</v>
      </c>
      <c r="AW49" s="164">
        <v>22.548430663309432</v>
      </c>
      <c r="AX49" s="164">
        <v>11.93</v>
      </c>
      <c r="AY49" s="42" t="s">
        <v>352</v>
      </c>
      <c r="AZ49" s="166" t="s">
        <v>351</v>
      </c>
      <c r="BA49" s="42" t="s">
        <v>352</v>
      </c>
      <c r="BB49" s="42" t="s">
        <v>352</v>
      </c>
      <c r="BC49" s="42" t="s">
        <v>352</v>
      </c>
      <c r="BD49" s="42" t="s">
        <v>352</v>
      </c>
      <c r="BE49" s="200">
        <v>0.02</v>
      </c>
      <c r="BF49" s="200">
        <v>28.4</v>
      </c>
      <c r="BG49" s="168">
        <v>7.98</v>
      </c>
      <c r="BH49" s="171">
        <v>17.09</v>
      </c>
      <c r="BI49" s="42" t="s">
        <v>352</v>
      </c>
      <c r="BJ49" s="42" t="s">
        <v>352</v>
      </c>
      <c r="BK49" s="42" t="s">
        <v>352</v>
      </c>
      <c r="BL49" s="162">
        <v>101.10047418806478</v>
      </c>
      <c r="BM49" s="162">
        <v>214.47104385281</v>
      </c>
      <c r="BN49" s="162">
        <v>63.864142776194306</v>
      </c>
      <c r="BO49" s="42" t="s">
        <v>352</v>
      </c>
      <c r="BP49" s="42" t="s">
        <v>352</v>
      </c>
      <c r="BQ49" s="42" t="s">
        <v>352</v>
      </c>
      <c r="BR49" s="182" t="s">
        <v>358</v>
      </c>
      <c r="BS49" s="126">
        <v>3.42</v>
      </c>
      <c r="BT49" s="186" t="s">
        <v>353</v>
      </c>
      <c r="BU49" s="131">
        <v>40.76</v>
      </c>
      <c r="BV49" s="42" t="s">
        <v>352</v>
      </c>
      <c r="BW49" s="42" t="s">
        <v>352</v>
      </c>
      <c r="BX49" s="42" t="s">
        <v>352</v>
      </c>
      <c r="BY49" s="42" t="s">
        <v>352</v>
      </c>
      <c r="BZ49" s="190" t="s">
        <v>359</v>
      </c>
      <c r="CA49" s="190" t="s">
        <v>359</v>
      </c>
      <c r="CB49" s="198" t="s">
        <v>351</v>
      </c>
      <c r="CC49" s="39" t="s">
        <v>351</v>
      </c>
      <c r="CD49" s="42" t="s">
        <v>352</v>
      </c>
    </row>
    <row r="50" spans="1:82">
      <c r="A50" s="3" t="s">
        <v>409</v>
      </c>
      <c r="B50" s="5" t="s">
        <v>410</v>
      </c>
      <c r="C50" s="27" t="s">
        <v>349</v>
      </c>
      <c r="D50" s="5" t="s">
        <v>412</v>
      </c>
      <c r="E50" s="29">
        <v>7102</v>
      </c>
      <c r="F50" s="5" t="s">
        <v>412</v>
      </c>
      <c r="G50" s="4">
        <v>7102</v>
      </c>
      <c r="H50" s="10">
        <v>635.01301899999999</v>
      </c>
      <c r="I50" s="42" t="s">
        <v>352</v>
      </c>
      <c r="J50" s="41">
        <v>1925.2222159999999</v>
      </c>
      <c r="K50" s="42" t="s">
        <v>352</v>
      </c>
      <c r="L50" s="119">
        <v>30.23</v>
      </c>
      <c r="M50" s="120">
        <v>89.52</v>
      </c>
      <c r="N50" s="42" t="s">
        <v>352</v>
      </c>
      <c r="O50" s="60">
        <v>1079.22</v>
      </c>
      <c r="P50" s="42" t="s">
        <v>352</v>
      </c>
      <c r="Q50" s="60">
        <v>648.73</v>
      </c>
      <c r="R50" s="122">
        <v>0.92</v>
      </c>
      <c r="S50" s="62">
        <v>522.32000000000005</v>
      </c>
      <c r="T50" s="42" t="s">
        <v>352</v>
      </c>
      <c r="U50" s="42" t="s">
        <v>352</v>
      </c>
      <c r="V50" s="42" t="s">
        <v>352</v>
      </c>
      <c r="W50" s="42" t="s">
        <v>352</v>
      </c>
      <c r="X50" s="42" t="s">
        <v>352</v>
      </c>
      <c r="Y50" s="42" t="s">
        <v>352</v>
      </c>
      <c r="Z50" s="122">
        <v>5.09</v>
      </c>
      <c r="AA50" s="124" t="s">
        <v>351</v>
      </c>
      <c r="AB50" s="124" t="s">
        <v>351</v>
      </c>
      <c r="AC50" s="145" t="s">
        <v>351</v>
      </c>
      <c r="AD50" s="42" t="s">
        <v>352</v>
      </c>
      <c r="AE50" s="42" t="s">
        <v>352</v>
      </c>
      <c r="AF50" s="147" t="s">
        <v>351</v>
      </c>
      <c r="AG50" s="148" t="s">
        <v>351</v>
      </c>
      <c r="AH50" s="149" t="s">
        <v>351</v>
      </c>
      <c r="AI50" s="149" t="s">
        <v>351</v>
      </c>
      <c r="AJ50" s="150">
        <v>9.9700000000000006</v>
      </c>
      <c r="AK50" s="152">
        <v>368.91</v>
      </c>
      <c r="AL50" s="159" t="s">
        <v>351</v>
      </c>
      <c r="AM50" s="123" t="s">
        <v>351</v>
      </c>
      <c r="AN50" s="122">
        <v>0.94084250345006182</v>
      </c>
      <c r="AO50" s="122">
        <v>0.19652149421243906</v>
      </c>
      <c r="AP50" s="59" t="s">
        <v>351</v>
      </c>
      <c r="AQ50" s="160">
        <v>604.11</v>
      </c>
      <c r="AR50" s="161">
        <v>773.95</v>
      </c>
      <c r="AS50" s="200">
        <v>1.0987906107404868E-2</v>
      </c>
      <c r="AT50" s="42" t="s">
        <v>352</v>
      </c>
      <c r="AU50" s="42" t="s">
        <v>352</v>
      </c>
      <c r="AV50" s="164">
        <v>190.22733211392736</v>
      </c>
      <c r="AW50" s="164">
        <v>5.8068118369625905</v>
      </c>
      <c r="AX50" s="164">
        <v>33.06</v>
      </c>
      <c r="AY50" s="42" t="s">
        <v>352</v>
      </c>
      <c r="AZ50" s="165">
        <v>0</v>
      </c>
      <c r="BA50" s="42" t="s">
        <v>352</v>
      </c>
      <c r="BB50" s="42" t="s">
        <v>352</v>
      </c>
      <c r="BC50" s="42" t="s">
        <v>352</v>
      </c>
      <c r="BD50" s="42" t="s">
        <v>352</v>
      </c>
      <c r="BE50" s="200">
        <v>0.12</v>
      </c>
      <c r="BF50" s="200">
        <v>20.99</v>
      </c>
      <c r="BG50" s="168">
        <v>7.54</v>
      </c>
      <c r="BH50" s="171">
        <v>20.84</v>
      </c>
      <c r="BI50" s="42" t="s">
        <v>352</v>
      </c>
      <c r="BJ50" s="42" t="s">
        <v>352</v>
      </c>
      <c r="BK50" s="42" t="s">
        <v>352</v>
      </c>
      <c r="BL50" s="162">
        <v>63.013480098907237</v>
      </c>
      <c r="BM50" s="162">
        <v>138.39036452101777</v>
      </c>
      <c r="BN50" s="162">
        <v>63.412299593204118</v>
      </c>
      <c r="BO50" s="42" t="s">
        <v>352</v>
      </c>
      <c r="BP50" s="42" t="s">
        <v>352</v>
      </c>
      <c r="BQ50" s="42" t="s">
        <v>352</v>
      </c>
      <c r="BR50" s="122">
        <v>51.11</v>
      </c>
      <c r="BS50" s="126">
        <v>10.14</v>
      </c>
      <c r="BT50" s="186" t="s">
        <v>355</v>
      </c>
      <c r="BU50" s="131">
        <v>64.91</v>
      </c>
      <c r="BV50" s="42" t="s">
        <v>352</v>
      </c>
      <c r="BW50" s="42" t="s">
        <v>352</v>
      </c>
      <c r="BX50" s="42" t="s">
        <v>352</v>
      </c>
      <c r="BY50" s="42" t="s">
        <v>352</v>
      </c>
      <c r="BZ50" s="190" t="s">
        <v>359</v>
      </c>
      <c r="CA50" s="190" t="s">
        <v>359</v>
      </c>
      <c r="CB50" s="198" t="s">
        <v>351</v>
      </c>
      <c r="CC50" s="39" t="s">
        <v>351</v>
      </c>
      <c r="CD50" s="42" t="s">
        <v>352</v>
      </c>
    </row>
    <row r="51" spans="1:82">
      <c r="A51" s="3" t="s">
        <v>409</v>
      </c>
      <c r="B51" s="3" t="s">
        <v>410</v>
      </c>
      <c r="C51" s="27" t="s">
        <v>349</v>
      </c>
      <c r="D51" s="3" t="s">
        <v>411</v>
      </c>
      <c r="E51" s="29">
        <v>7001</v>
      </c>
      <c r="F51" s="3" t="s">
        <v>409</v>
      </c>
      <c r="G51" s="4">
        <v>7105</v>
      </c>
      <c r="H51" s="10">
        <v>195.67841000000001</v>
      </c>
      <c r="I51" s="42" t="s">
        <v>352</v>
      </c>
      <c r="J51" s="41">
        <v>1829.866356</v>
      </c>
      <c r="K51" s="42" t="s">
        <v>352</v>
      </c>
      <c r="L51" s="119">
        <v>88.22</v>
      </c>
      <c r="M51" s="120">
        <v>65.73</v>
      </c>
      <c r="N51" s="42" t="s">
        <v>352</v>
      </c>
      <c r="O51" s="60">
        <v>1749.71</v>
      </c>
      <c r="P51" s="42" t="s">
        <v>352</v>
      </c>
      <c r="Q51" s="60">
        <v>1234.57</v>
      </c>
      <c r="R51" s="122">
        <v>0.39</v>
      </c>
      <c r="S51" s="62">
        <v>494.09</v>
      </c>
      <c r="T51" s="42" t="s">
        <v>352</v>
      </c>
      <c r="U51" s="42" t="s">
        <v>352</v>
      </c>
      <c r="V51" s="42" t="s">
        <v>352</v>
      </c>
      <c r="W51" s="42" t="s">
        <v>352</v>
      </c>
      <c r="X51" s="42" t="s">
        <v>352</v>
      </c>
      <c r="Y51" s="42" t="s">
        <v>352</v>
      </c>
      <c r="Z51" s="122">
        <v>7.1</v>
      </c>
      <c r="AA51" s="124" t="s">
        <v>351</v>
      </c>
      <c r="AB51" s="124" t="s">
        <v>351</v>
      </c>
      <c r="AC51" s="145" t="s">
        <v>351</v>
      </c>
      <c r="AD51" s="42" t="s">
        <v>352</v>
      </c>
      <c r="AE51" s="42" t="s">
        <v>352</v>
      </c>
      <c r="AF51" s="147" t="s">
        <v>351</v>
      </c>
      <c r="AG51" s="148" t="s">
        <v>351</v>
      </c>
      <c r="AH51" s="149" t="s">
        <v>351</v>
      </c>
      <c r="AI51" s="149" t="s">
        <v>351</v>
      </c>
      <c r="AJ51" s="150">
        <v>13.93</v>
      </c>
      <c r="AK51" s="152">
        <v>360.33</v>
      </c>
      <c r="AL51" s="159" t="s">
        <v>351</v>
      </c>
      <c r="AM51" s="123" t="s">
        <v>351</v>
      </c>
      <c r="AN51" s="162" t="s">
        <v>351</v>
      </c>
      <c r="AO51" s="162" t="s">
        <v>351</v>
      </c>
      <c r="AP51" s="59" t="s">
        <v>351</v>
      </c>
      <c r="AQ51" s="160">
        <v>582</v>
      </c>
      <c r="AR51" s="161">
        <v>297.3</v>
      </c>
      <c r="AS51" s="200">
        <v>4.3808001772572575E-2</v>
      </c>
      <c r="AT51" s="42" t="s">
        <v>352</v>
      </c>
      <c r="AU51" s="42" t="s">
        <v>352</v>
      </c>
      <c r="AV51" s="164">
        <v>122.82665964172813</v>
      </c>
      <c r="AW51" s="164">
        <v>3.2464706599126156</v>
      </c>
      <c r="AX51" s="164">
        <v>18.149999999999999</v>
      </c>
      <c r="AY51" s="42" t="s">
        <v>352</v>
      </c>
      <c r="AZ51" s="165">
        <v>0</v>
      </c>
      <c r="BA51" s="42" t="s">
        <v>352</v>
      </c>
      <c r="BB51" s="42" t="s">
        <v>352</v>
      </c>
      <c r="BC51" s="42" t="s">
        <v>352</v>
      </c>
      <c r="BD51" s="42" t="s">
        <v>352</v>
      </c>
      <c r="BE51" s="200">
        <v>0</v>
      </c>
      <c r="BF51" s="200">
        <v>0</v>
      </c>
      <c r="BG51" s="168">
        <v>11.03</v>
      </c>
      <c r="BH51" s="171">
        <v>31.07</v>
      </c>
      <c r="BI51" s="42" t="s">
        <v>352</v>
      </c>
      <c r="BJ51" s="42" t="s">
        <v>352</v>
      </c>
      <c r="BK51" s="42" t="s">
        <v>352</v>
      </c>
      <c r="BL51" s="162">
        <v>44.388740926419132</v>
      </c>
      <c r="BM51" s="162">
        <v>84.251571013281804</v>
      </c>
      <c r="BN51" s="162">
        <v>60.055355371037656</v>
      </c>
      <c r="BO51" s="42" t="s">
        <v>352</v>
      </c>
      <c r="BP51" s="42" t="s">
        <v>352</v>
      </c>
      <c r="BQ51" s="42" t="s">
        <v>352</v>
      </c>
      <c r="BR51" s="182" t="s">
        <v>358</v>
      </c>
      <c r="BS51" s="126">
        <v>34.1</v>
      </c>
      <c r="BT51" s="186" t="s">
        <v>353</v>
      </c>
      <c r="BU51" s="131">
        <v>63.39</v>
      </c>
      <c r="BV51" s="42" t="s">
        <v>352</v>
      </c>
      <c r="BW51" s="42" t="s">
        <v>352</v>
      </c>
      <c r="BX51" s="42" t="s">
        <v>352</v>
      </c>
      <c r="BY51" s="42" t="s">
        <v>352</v>
      </c>
      <c r="BZ51" s="190" t="s">
        <v>359</v>
      </c>
      <c r="CA51" s="190" t="s">
        <v>359</v>
      </c>
      <c r="CB51" s="198" t="s">
        <v>351</v>
      </c>
      <c r="CC51" s="39" t="s">
        <v>351</v>
      </c>
      <c r="CD51" s="42" t="s">
        <v>352</v>
      </c>
    </row>
    <row r="52" spans="1:82">
      <c r="A52" s="3" t="s">
        <v>409</v>
      </c>
      <c r="B52" s="3" t="s">
        <v>413</v>
      </c>
      <c r="C52" s="27" t="s">
        <v>349</v>
      </c>
      <c r="D52" s="3" t="s">
        <v>414</v>
      </c>
      <c r="E52" s="29">
        <v>7301</v>
      </c>
      <c r="F52" s="6" t="s">
        <v>413</v>
      </c>
      <c r="G52" s="4">
        <v>7301</v>
      </c>
      <c r="H52" s="10">
        <v>266.849762</v>
      </c>
      <c r="I52" s="42" t="s">
        <v>352</v>
      </c>
      <c r="J52" s="41">
        <v>2057.5450259999998</v>
      </c>
      <c r="K52" s="42" t="s">
        <v>352</v>
      </c>
      <c r="L52" s="119">
        <v>84.23</v>
      </c>
      <c r="M52" s="120">
        <v>80.47</v>
      </c>
      <c r="N52" s="42" t="s">
        <v>352</v>
      </c>
      <c r="O52" s="60">
        <v>1438.16</v>
      </c>
      <c r="P52" s="42" t="s">
        <v>352</v>
      </c>
      <c r="Q52" s="60">
        <v>664.83</v>
      </c>
      <c r="R52" s="122">
        <v>0.95</v>
      </c>
      <c r="S52" s="62">
        <v>429.51</v>
      </c>
      <c r="T52" s="42" t="s">
        <v>352</v>
      </c>
      <c r="U52" s="42" t="s">
        <v>352</v>
      </c>
      <c r="V52" s="42" t="s">
        <v>352</v>
      </c>
      <c r="W52" s="42" t="s">
        <v>352</v>
      </c>
      <c r="X52" s="42" t="s">
        <v>352</v>
      </c>
      <c r="Y52" s="42" t="s">
        <v>352</v>
      </c>
      <c r="Z52" s="122">
        <v>14.5</v>
      </c>
      <c r="AA52" s="124" t="s">
        <v>351</v>
      </c>
      <c r="AB52" s="124" t="s">
        <v>351</v>
      </c>
      <c r="AC52" s="145" t="s">
        <v>351</v>
      </c>
      <c r="AD52" s="42" t="s">
        <v>352</v>
      </c>
      <c r="AE52" s="42" t="s">
        <v>352</v>
      </c>
      <c r="AF52" s="147" t="s">
        <v>351</v>
      </c>
      <c r="AG52" s="148" t="s">
        <v>351</v>
      </c>
      <c r="AH52" s="149" t="s">
        <v>351</v>
      </c>
      <c r="AI52" s="149" t="s">
        <v>351</v>
      </c>
      <c r="AJ52" s="150">
        <v>7.44</v>
      </c>
      <c r="AK52" s="152">
        <v>592.35</v>
      </c>
      <c r="AL52" s="159" t="s">
        <v>351</v>
      </c>
      <c r="AM52" s="123" t="s">
        <v>351</v>
      </c>
      <c r="AN52" s="122">
        <v>1.0718233461879865</v>
      </c>
      <c r="AO52" s="162">
        <v>0</v>
      </c>
      <c r="AP52" s="59">
        <v>0.87</v>
      </c>
      <c r="AQ52" s="160">
        <v>773.83</v>
      </c>
      <c r="AR52" s="161">
        <v>645.30999999999995</v>
      </c>
      <c r="AS52" s="200">
        <v>6.7630026154017628E-2</v>
      </c>
      <c r="AT52" s="42" t="s">
        <v>352</v>
      </c>
      <c r="AU52" s="42" t="s">
        <v>352</v>
      </c>
      <c r="AV52" s="164">
        <v>587.13222759270775</v>
      </c>
      <c r="AW52" s="164">
        <v>18.15807918225067</v>
      </c>
      <c r="AX52" s="164">
        <v>9.7899999999999991</v>
      </c>
      <c r="AY52" s="42" t="s">
        <v>352</v>
      </c>
      <c r="AZ52" s="165">
        <v>0.93</v>
      </c>
      <c r="BA52" s="42" t="s">
        <v>352</v>
      </c>
      <c r="BB52" s="42" t="s">
        <v>352</v>
      </c>
      <c r="BC52" s="42" t="s">
        <v>352</v>
      </c>
      <c r="BD52" s="42" t="s">
        <v>352</v>
      </c>
      <c r="BE52" s="200">
        <v>0.01</v>
      </c>
      <c r="BF52" s="200">
        <v>45.71</v>
      </c>
      <c r="BG52" s="168">
        <v>9.85</v>
      </c>
      <c r="BH52" s="171">
        <v>15.17</v>
      </c>
      <c r="BI52" s="42" t="s">
        <v>352</v>
      </c>
      <c r="BJ52" s="42" t="s">
        <v>352</v>
      </c>
      <c r="BK52" s="42" t="s">
        <v>352</v>
      </c>
      <c r="BL52" s="162">
        <v>87.766633792945186</v>
      </c>
      <c r="BM52" s="162">
        <v>253.00360370418613</v>
      </c>
      <c r="BN52" s="162">
        <v>69.841151696718214</v>
      </c>
      <c r="BO52" s="42" t="s">
        <v>352</v>
      </c>
      <c r="BP52" s="42" t="s">
        <v>352</v>
      </c>
      <c r="BQ52" s="42" t="s">
        <v>352</v>
      </c>
      <c r="BR52" s="182" t="s">
        <v>358</v>
      </c>
      <c r="BS52" s="126">
        <v>2.64</v>
      </c>
      <c r="BT52" s="186" t="s">
        <v>353</v>
      </c>
      <c r="BU52" s="131">
        <v>41.31</v>
      </c>
      <c r="BV52" s="42" t="s">
        <v>352</v>
      </c>
      <c r="BW52" s="42" t="s">
        <v>352</v>
      </c>
      <c r="BX52" s="42" t="s">
        <v>352</v>
      </c>
      <c r="BY52" s="42" t="s">
        <v>352</v>
      </c>
      <c r="BZ52" s="191">
        <v>0</v>
      </c>
      <c r="CA52" s="191">
        <v>0</v>
      </c>
      <c r="CB52" s="198" t="s">
        <v>355</v>
      </c>
      <c r="CC52" s="39">
        <v>0</v>
      </c>
      <c r="CD52" s="42" t="s">
        <v>352</v>
      </c>
    </row>
    <row r="53" spans="1:82">
      <c r="A53" s="3" t="s">
        <v>409</v>
      </c>
      <c r="B53" s="3" t="s">
        <v>413</v>
      </c>
      <c r="C53" s="27" t="s">
        <v>349</v>
      </c>
      <c r="D53" s="3" t="s">
        <v>414</v>
      </c>
      <c r="E53" s="29">
        <v>7301</v>
      </c>
      <c r="F53" s="6" t="s">
        <v>415</v>
      </c>
      <c r="G53" s="4">
        <v>7305</v>
      </c>
      <c r="H53" s="10">
        <v>243.94210899999999</v>
      </c>
      <c r="I53" s="42" t="s">
        <v>352</v>
      </c>
      <c r="J53" s="42" t="s">
        <v>351</v>
      </c>
      <c r="K53" s="42" t="s">
        <v>352</v>
      </c>
      <c r="L53" s="119">
        <v>86.52</v>
      </c>
      <c r="M53" s="56" t="s">
        <v>351</v>
      </c>
      <c r="N53" s="42" t="s">
        <v>352</v>
      </c>
      <c r="O53" s="60">
        <v>951.65</v>
      </c>
      <c r="P53" s="42" t="s">
        <v>352</v>
      </c>
      <c r="Q53" s="60">
        <v>1021.13</v>
      </c>
      <c r="R53" s="122">
        <v>0.39</v>
      </c>
      <c r="S53" s="62">
        <v>349.04</v>
      </c>
      <c r="T53" s="42" t="s">
        <v>352</v>
      </c>
      <c r="U53" s="42" t="s">
        <v>352</v>
      </c>
      <c r="V53" s="42" t="s">
        <v>352</v>
      </c>
      <c r="W53" s="42" t="s">
        <v>352</v>
      </c>
      <c r="X53" s="42" t="s">
        <v>352</v>
      </c>
      <c r="Y53" s="42" t="s">
        <v>352</v>
      </c>
      <c r="Z53" s="122">
        <v>5.25</v>
      </c>
      <c r="AA53" s="124" t="s">
        <v>351</v>
      </c>
      <c r="AB53" s="124" t="s">
        <v>351</v>
      </c>
      <c r="AC53" s="145" t="s">
        <v>351</v>
      </c>
      <c r="AD53" s="42" t="s">
        <v>352</v>
      </c>
      <c r="AE53" s="42" t="s">
        <v>352</v>
      </c>
      <c r="AF53" s="147" t="s">
        <v>351</v>
      </c>
      <c r="AG53" s="148" t="s">
        <v>351</v>
      </c>
      <c r="AH53" s="149" t="s">
        <v>351</v>
      </c>
      <c r="AI53" s="149" t="s">
        <v>351</v>
      </c>
      <c r="AJ53" s="150">
        <v>27.04</v>
      </c>
      <c r="AK53" s="152">
        <v>612.94000000000005</v>
      </c>
      <c r="AL53" s="159" t="s">
        <v>351</v>
      </c>
      <c r="AM53" s="123" t="s">
        <v>351</v>
      </c>
      <c r="AN53" s="122">
        <v>0.80244041577453928</v>
      </c>
      <c r="AO53" s="162">
        <v>0</v>
      </c>
      <c r="AP53" s="59">
        <v>4.51</v>
      </c>
      <c r="AQ53" s="160">
        <v>651.65</v>
      </c>
      <c r="AR53" s="161">
        <v>606.80999999999995</v>
      </c>
      <c r="AS53" s="200">
        <v>5.452747488962751E-2</v>
      </c>
      <c r="AT53" s="42" t="s">
        <v>352</v>
      </c>
      <c r="AU53" s="42" t="s">
        <v>352</v>
      </c>
      <c r="AV53" s="164">
        <v>211.17705242334321</v>
      </c>
      <c r="AW53" s="164">
        <v>3.8489273481160993</v>
      </c>
      <c r="AX53" s="164">
        <v>32.31</v>
      </c>
      <c r="AY53" s="42" t="s">
        <v>352</v>
      </c>
      <c r="AZ53" s="165">
        <v>0</v>
      </c>
      <c r="BA53" s="42" t="s">
        <v>352</v>
      </c>
      <c r="BB53" s="42" t="s">
        <v>352</v>
      </c>
      <c r="BC53" s="42" t="s">
        <v>352</v>
      </c>
      <c r="BD53" s="42" t="s">
        <v>352</v>
      </c>
      <c r="BE53" s="200">
        <v>0</v>
      </c>
      <c r="BF53" s="200">
        <v>0</v>
      </c>
      <c r="BG53" s="168">
        <v>18.14</v>
      </c>
      <c r="BH53" s="171">
        <v>23.62</v>
      </c>
      <c r="BI53" s="42" t="s">
        <v>352</v>
      </c>
      <c r="BJ53" s="42" t="s">
        <v>352</v>
      </c>
      <c r="BK53" s="42" t="s">
        <v>352</v>
      </c>
      <c r="BL53" s="162">
        <v>31.548584820623763</v>
      </c>
      <c r="BM53" s="162">
        <v>99.152695150531812</v>
      </c>
      <c r="BN53" s="162">
        <v>52.280511988462237</v>
      </c>
      <c r="BO53" s="42" t="s">
        <v>352</v>
      </c>
      <c r="BP53" s="42" t="s">
        <v>352</v>
      </c>
      <c r="BQ53" s="42" t="s">
        <v>352</v>
      </c>
      <c r="BR53" s="182" t="s">
        <v>358</v>
      </c>
      <c r="BS53" s="126">
        <v>5.78</v>
      </c>
      <c r="BT53" s="186" t="s">
        <v>355</v>
      </c>
      <c r="BU53" s="131">
        <v>50.64</v>
      </c>
      <c r="BV53" s="42" t="s">
        <v>352</v>
      </c>
      <c r="BW53" s="42" t="s">
        <v>352</v>
      </c>
      <c r="BX53" s="42" t="s">
        <v>352</v>
      </c>
      <c r="BY53" s="42" t="s">
        <v>352</v>
      </c>
      <c r="BZ53" s="190" t="s">
        <v>359</v>
      </c>
      <c r="CA53" s="190" t="s">
        <v>359</v>
      </c>
      <c r="CB53" s="198" t="s">
        <v>355</v>
      </c>
      <c r="CC53" s="39">
        <v>2109.2482422931316</v>
      </c>
      <c r="CD53" s="42" t="s">
        <v>352</v>
      </c>
    </row>
    <row r="54" spans="1:82">
      <c r="A54" s="3" t="s">
        <v>409</v>
      </c>
      <c r="B54" s="3" t="s">
        <v>413</v>
      </c>
      <c r="C54" s="27" t="s">
        <v>349</v>
      </c>
      <c r="D54" s="3" t="s">
        <v>414</v>
      </c>
      <c r="E54" s="29">
        <v>7301</v>
      </c>
      <c r="F54" s="6" t="s">
        <v>416</v>
      </c>
      <c r="G54" s="4">
        <v>7306</v>
      </c>
      <c r="H54" s="10">
        <v>256.35952700000001</v>
      </c>
      <c r="I54" s="42" t="s">
        <v>352</v>
      </c>
      <c r="J54" s="41">
        <v>1803.7608250000001</v>
      </c>
      <c r="K54" s="42" t="s">
        <v>352</v>
      </c>
      <c r="L54" s="119">
        <v>73.34</v>
      </c>
      <c r="M54" s="120">
        <v>100</v>
      </c>
      <c r="N54" s="42" t="s">
        <v>352</v>
      </c>
      <c r="O54" s="60">
        <v>897.56</v>
      </c>
      <c r="P54" s="42" t="s">
        <v>352</v>
      </c>
      <c r="Q54" s="60">
        <v>813.62</v>
      </c>
      <c r="R54" s="122">
        <v>0.94</v>
      </c>
      <c r="S54" s="62">
        <v>307.58</v>
      </c>
      <c r="T54" s="42" t="s">
        <v>352</v>
      </c>
      <c r="U54" s="42" t="s">
        <v>352</v>
      </c>
      <c r="V54" s="42" t="s">
        <v>352</v>
      </c>
      <c r="W54" s="42" t="s">
        <v>352</v>
      </c>
      <c r="X54" s="42" t="s">
        <v>352</v>
      </c>
      <c r="Y54" s="42" t="s">
        <v>352</v>
      </c>
      <c r="Z54" s="122">
        <v>13</v>
      </c>
      <c r="AA54" s="124" t="s">
        <v>351</v>
      </c>
      <c r="AB54" s="124" t="s">
        <v>351</v>
      </c>
      <c r="AC54" s="145" t="s">
        <v>351</v>
      </c>
      <c r="AD54" s="42" t="s">
        <v>352</v>
      </c>
      <c r="AE54" s="42" t="s">
        <v>352</v>
      </c>
      <c r="AF54" s="147" t="s">
        <v>351</v>
      </c>
      <c r="AG54" s="148" t="s">
        <v>351</v>
      </c>
      <c r="AH54" s="149" t="s">
        <v>351</v>
      </c>
      <c r="AI54" s="149" t="s">
        <v>351</v>
      </c>
      <c r="AJ54" s="150">
        <v>31.36</v>
      </c>
      <c r="AK54" s="152">
        <v>689.83</v>
      </c>
      <c r="AL54" s="159" t="s">
        <v>351</v>
      </c>
      <c r="AM54" s="123" t="s">
        <v>351</v>
      </c>
      <c r="AN54" s="122">
        <v>0.74361758606529915</v>
      </c>
      <c r="AO54" s="162">
        <v>0</v>
      </c>
      <c r="AP54" s="59" t="s">
        <v>351</v>
      </c>
      <c r="AQ54" s="160">
        <v>759.08</v>
      </c>
      <c r="AR54" s="161">
        <v>2061.94</v>
      </c>
      <c r="AS54" s="122" t="s">
        <v>351</v>
      </c>
      <c r="AT54" s="42" t="s">
        <v>352</v>
      </c>
      <c r="AU54" s="42" t="s">
        <v>352</v>
      </c>
      <c r="AV54" s="164">
        <v>288.5075818036712</v>
      </c>
      <c r="AW54" s="164">
        <v>4.5340524269409261</v>
      </c>
      <c r="AX54" s="164">
        <v>36.840000000000003</v>
      </c>
      <c r="AY54" s="42" t="s">
        <v>352</v>
      </c>
      <c r="AZ54" s="165">
        <v>0.28999999999999998</v>
      </c>
      <c r="BA54" s="42" t="s">
        <v>352</v>
      </c>
      <c r="BB54" s="42" t="s">
        <v>352</v>
      </c>
      <c r="BC54" s="42" t="s">
        <v>352</v>
      </c>
      <c r="BD54" s="42" t="s">
        <v>352</v>
      </c>
      <c r="BE54" s="200">
        <v>0</v>
      </c>
      <c r="BF54" s="200">
        <v>0</v>
      </c>
      <c r="BG54" s="168">
        <v>11.69</v>
      </c>
      <c r="BH54" s="171">
        <v>24.06</v>
      </c>
      <c r="BI54" s="42" t="s">
        <v>352</v>
      </c>
      <c r="BJ54" s="42" t="s">
        <v>352</v>
      </c>
      <c r="BK54" s="42" t="s">
        <v>352</v>
      </c>
      <c r="BL54" s="162">
        <v>33.864291985450897</v>
      </c>
      <c r="BM54" s="162">
        <v>78.389564781136329</v>
      </c>
      <c r="BN54" s="162">
        <v>72.745516116894521</v>
      </c>
      <c r="BO54" s="42" t="s">
        <v>352</v>
      </c>
      <c r="BP54" s="42" t="s">
        <v>352</v>
      </c>
      <c r="BQ54" s="42" t="s">
        <v>352</v>
      </c>
      <c r="BR54" s="182" t="s">
        <v>358</v>
      </c>
      <c r="BS54" s="126">
        <v>72.39</v>
      </c>
      <c r="BT54" s="186" t="s">
        <v>353</v>
      </c>
      <c r="BU54" s="131">
        <v>36.21</v>
      </c>
      <c r="BV54" s="42" t="s">
        <v>352</v>
      </c>
      <c r="BW54" s="42" t="s">
        <v>352</v>
      </c>
      <c r="BX54" s="42" t="s">
        <v>352</v>
      </c>
      <c r="BY54" s="42" t="s">
        <v>352</v>
      </c>
      <c r="BZ54" s="190" t="s">
        <v>359</v>
      </c>
      <c r="CA54" s="190" t="s">
        <v>359</v>
      </c>
      <c r="CB54" s="198" t="s">
        <v>355</v>
      </c>
      <c r="CC54" s="39">
        <v>1543.5842844600527</v>
      </c>
      <c r="CD54" s="42" t="s">
        <v>352</v>
      </c>
    </row>
    <row r="55" spans="1:82">
      <c r="A55" s="3" t="s">
        <v>409</v>
      </c>
      <c r="B55" s="5" t="s">
        <v>417</v>
      </c>
      <c r="C55" s="27" t="s">
        <v>349</v>
      </c>
      <c r="D55" s="5" t="s">
        <v>417</v>
      </c>
      <c r="E55" s="29">
        <v>7401</v>
      </c>
      <c r="F55" s="7" t="s">
        <v>417</v>
      </c>
      <c r="G55" s="4">
        <v>7401</v>
      </c>
      <c r="H55" s="10">
        <v>253.661418</v>
      </c>
      <c r="I55" s="42" t="s">
        <v>352</v>
      </c>
      <c r="J55" s="41">
        <v>1885.928907</v>
      </c>
      <c r="K55" s="42" t="s">
        <v>352</v>
      </c>
      <c r="L55" s="119">
        <v>84.88</v>
      </c>
      <c r="M55" s="120">
        <v>90.56</v>
      </c>
      <c r="N55" s="42" t="s">
        <v>352</v>
      </c>
      <c r="O55" s="60">
        <v>1012.16</v>
      </c>
      <c r="P55" s="42" t="s">
        <v>352</v>
      </c>
      <c r="Q55" s="60">
        <v>665.9</v>
      </c>
      <c r="R55" s="122">
        <v>1.01</v>
      </c>
      <c r="S55" s="62">
        <v>373.06</v>
      </c>
      <c r="T55" s="42" t="s">
        <v>352</v>
      </c>
      <c r="U55" s="42" t="s">
        <v>352</v>
      </c>
      <c r="V55" s="42" t="s">
        <v>352</v>
      </c>
      <c r="W55" s="42" t="s">
        <v>352</v>
      </c>
      <c r="X55" s="42" t="s">
        <v>352</v>
      </c>
      <c r="Y55" s="42" t="s">
        <v>352</v>
      </c>
      <c r="Z55" s="122">
        <v>12.49</v>
      </c>
      <c r="AA55" s="125">
        <v>0.63</v>
      </c>
      <c r="AB55" s="125">
        <v>16.8</v>
      </c>
      <c r="AC55" s="146">
        <v>46</v>
      </c>
      <c r="AD55" s="42" t="s">
        <v>352</v>
      </c>
      <c r="AE55" s="42" t="s">
        <v>352</v>
      </c>
      <c r="AF55" s="134">
        <v>5.93</v>
      </c>
      <c r="AG55" s="134">
        <v>7.74</v>
      </c>
      <c r="AH55" s="134">
        <v>7.37</v>
      </c>
      <c r="AI55" s="134">
        <v>5.82</v>
      </c>
      <c r="AJ55" s="150">
        <v>6.99</v>
      </c>
      <c r="AK55" s="152">
        <v>614.53</v>
      </c>
      <c r="AL55" s="159" t="s">
        <v>351</v>
      </c>
      <c r="AM55" s="123" t="s">
        <v>351</v>
      </c>
      <c r="AN55" s="122">
        <v>0.95648159136642874</v>
      </c>
      <c r="AO55" s="122">
        <v>0.58685930258067287</v>
      </c>
      <c r="AP55" s="59" t="s">
        <v>351</v>
      </c>
      <c r="AQ55" s="160">
        <v>726.5</v>
      </c>
      <c r="AR55" s="161">
        <v>453.25</v>
      </c>
      <c r="AS55" s="200">
        <v>1.0019537835803286E-2</v>
      </c>
      <c r="AT55" s="42" t="s">
        <v>352</v>
      </c>
      <c r="AU55" s="42" t="s">
        <v>352</v>
      </c>
      <c r="AV55" s="164">
        <v>445.4870885899976</v>
      </c>
      <c r="AW55" s="164">
        <v>12.808137733944863</v>
      </c>
      <c r="AX55" s="164">
        <v>9.23</v>
      </c>
      <c r="AY55" s="42" t="s">
        <v>352</v>
      </c>
      <c r="AZ55" s="165">
        <v>0</v>
      </c>
      <c r="BA55" s="42" t="s">
        <v>352</v>
      </c>
      <c r="BB55" s="42" t="s">
        <v>352</v>
      </c>
      <c r="BC55" s="42" t="s">
        <v>352</v>
      </c>
      <c r="BD55" s="42" t="s">
        <v>352</v>
      </c>
      <c r="BE55" s="200">
        <v>0</v>
      </c>
      <c r="BF55" s="200">
        <v>0</v>
      </c>
      <c r="BG55" s="168">
        <v>11.34</v>
      </c>
      <c r="BH55" s="171">
        <v>22.91</v>
      </c>
      <c r="BI55" s="42" t="s">
        <v>352</v>
      </c>
      <c r="BJ55" s="42" t="s">
        <v>352</v>
      </c>
      <c r="BK55" s="42" t="s">
        <v>352</v>
      </c>
      <c r="BL55" s="162">
        <v>75.841601966485811</v>
      </c>
      <c r="BM55" s="162">
        <v>195.84919611898837</v>
      </c>
      <c r="BN55" s="162">
        <v>67.348141930713354</v>
      </c>
      <c r="BO55" s="42" t="s">
        <v>352</v>
      </c>
      <c r="BP55" s="42" t="s">
        <v>352</v>
      </c>
      <c r="BQ55" s="42" t="s">
        <v>352</v>
      </c>
      <c r="BR55" s="182" t="s">
        <v>358</v>
      </c>
      <c r="BS55" s="126">
        <v>2.62</v>
      </c>
      <c r="BT55" s="186" t="s">
        <v>353</v>
      </c>
      <c r="BU55" s="131">
        <v>54.29</v>
      </c>
      <c r="BV55" s="42" t="s">
        <v>352</v>
      </c>
      <c r="BW55" s="42" t="s">
        <v>352</v>
      </c>
      <c r="BX55" s="42" t="s">
        <v>352</v>
      </c>
      <c r="BY55" s="42" t="s">
        <v>352</v>
      </c>
      <c r="BZ55" s="190" t="s">
        <v>359</v>
      </c>
      <c r="CA55" s="190" t="s">
        <v>359</v>
      </c>
      <c r="CB55" s="198" t="s">
        <v>351</v>
      </c>
      <c r="CC55" s="39" t="s">
        <v>351</v>
      </c>
      <c r="CD55" s="42" t="s">
        <v>352</v>
      </c>
    </row>
    <row r="56" spans="1:82">
      <c r="A56" s="3" t="s">
        <v>418</v>
      </c>
      <c r="B56" s="3" t="s">
        <v>419</v>
      </c>
      <c r="C56" s="27" t="s">
        <v>420</v>
      </c>
      <c r="D56" s="3" t="s">
        <v>420</v>
      </c>
      <c r="E56" s="29">
        <v>8001</v>
      </c>
      <c r="F56" s="3" t="s">
        <v>419</v>
      </c>
      <c r="G56" s="4">
        <v>8101</v>
      </c>
      <c r="H56" s="10">
        <v>323.88607400000001</v>
      </c>
      <c r="I56" s="42" t="s">
        <v>352</v>
      </c>
      <c r="J56" s="41">
        <v>1730.312977</v>
      </c>
      <c r="K56" s="42" t="s">
        <v>352</v>
      </c>
      <c r="L56" s="119">
        <v>71.150000000000006</v>
      </c>
      <c r="M56" s="120">
        <v>83.08</v>
      </c>
      <c r="N56" s="42" t="s">
        <v>352</v>
      </c>
      <c r="O56" s="60">
        <v>1242.1400000000001</v>
      </c>
      <c r="P56" s="42" t="s">
        <v>352</v>
      </c>
      <c r="Q56" s="60">
        <v>680.1</v>
      </c>
      <c r="R56" s="122">
        <v>0.91</v>
      </c>
      <c r="S56" s="62">
        <v>487.28</v>
      </c>
      <c r="T56" s="42" t="s">
        <v>352</v>
      </c>
      <c r="U56" s="42" t="s">
        <v>352</v>
      </c>
      <c r="V56" s="42" t="s">
        <v>352</v>
      </c>
      <c r="W56" s="42" t="s">
        <v>352</v>
      </c>
      <c r="X56" s="42" t="s">
        <v>352</v>
      </c>
      <c r="Y56" s="42" t="s">
        <v>352</v>
      </c>
      <c r="Z56" s="122">
        <v>19.260000000000002</v>
      </c>
      <c r="AA56" s="125">
        <v>1.1100000000000001</v>
      </c>
      <c r="AB56" s="125">
        <v>47.5</v>
      </c>
      <c r="AC56" s="144">
        <v>69.7</v>
      </c>
      <c r="AD56" s="42" t="s">
        <v>352</v>
      </c>
      <c r="AE56" s="42" t="s">
        <v>352</v>
      </c>
      <c r="AF56" s="134">
        <v>24.46</v>
      </c>
      <c r="AG56" s="134">
        <v>28.04</v>
      </c>
      <c r="AH56" s="134">
        <v>37.369999999999997</v>
      </c>
      <c r="AI56" s="134">
        <v>15.02</v>
      </c>
      <c r="AJ56" s="150">
        <v>4.21</v>
      </c>
      <c r="AK56" s="152">
        <v>419.8</v>
      </c>
      <c r="AL56" s="159" t="s">
        <v>351</v>
      </c>
      <c r="AM56" s="123" t="s">
        <v>351</v>
      </c>
      <c r="AN56" s="122">
        <v>1.1106388823725686</v>
      </c>
      <c r="AO56" s="122">
        <v>1.0058666995448429</v>
      </c>
      <c r="AP56" s="59" t="s">
        <v>351</v>
      </c>
      <c r="AQ56" s="160">
        <v>850.3</v>
      </c>
      <c r="AR56" s="161">
        <v>703.73</v>
      </c>
      <c r="AS56" s="200">
        <v>1.0035802674210862E-2</v>
      </c>
      <c r="AT56" s="42" t="s">
        <v>352</v>
      </c>
      <c r="AU56" s="42" t="s">
        <v>352</v>
      </c>
      <c r="AV56" s="164">
        <v>674.85731861522163</v>
      </c>
      <c r="AW56" s="164">
        <v>24.969126306073161</v>
      </c>
      <c r="AX56" s="164">
        <v>4.59</v>
      </c>
      <c r="AY56" s="42" t="s">
        <v>352</v>
      </c>
      <c r="AZ56" s="166" t="s">
        <v>351</v>
      </c>
      <c r="BA56" s="42" t="s">
        <v>352</v>
      </c>
      <c r="BB56" s="42" t="s">
        <v>352</v>
      </c>
      <c r="BC56" s="42" t="s">
        <v>352</v>
      </c>
      <c r="BD56" s="42" t="s">
        <v>352</v>
      </c>
      <c r="BE56" s="200">
        <v>0.69</v>
      </c>
      <c r="BF56" s="200">
        <v>31.59</v>
      </c>
      <c r="BG56" s="168">
        <v>7.7</v>
      </c>
      <c r="BH56" s="171">
        <v>13.43</v>
      </c>
      <c r="BI56" s="42" t="s">
        <v>352</v>
      </c>
      <c r="BJ56" s="42" t="s">
        <v>352</v>
      </c>
      <c r="BK56" s="42" t="s">
        <v>352</v>
      </c>
      <c r="BL56" s="162">
        <v>138.62604686057736</v>
      </c>
      <c r="BM56" s="162">
        <v>249.64489983435683</v>
      </c>
      <c r="BN56" s="162">
        <v>47.206194127043666</v>
      </c>
      <c r="BO56" s="42" t="s">
        <v>352</v>
      </c>
      <c r="BP56" s="42" t="s">
        <v>352</v>
      </c>
      <c r="BQ56" s="42" t="s">
        <v>352</v>
      </c>
      <c r="BR56" s="182" t="s">
        <v>358</v>
      </c>
      <c r="BS56" s="126">
        <v>14.54</v>
      </c>
      <c r="BT56" s="186" t="s">
        <v>353</v>
      </c>
      <c r="BU56" s="131">
        <v>11.78</v>
      </c>
      <c r="BV56" s="42" t="s">
        <v>352</v>
      </c>
      <c r="BW56" s="42" t="s">
        <v>352</v>
      </c>
      <c r="BX56" s="42" t="s">
        <v>352</v>
      </c>
      <c r="BY56" s="42" t="s">
        <v>352</v>
      </c>
      <c r="BZ56" s="190" t="s">
        <v>359</v>
      </c>
      <c r="CA56" s="190" t="s">
        <v>359</v>
      </c>
      <c r="CB56" s="198" t="s">
        <v>351</v>
      </c>
      <c r="CC56" s="39" t="s">
        <v>351</v>
      </c>
      <c r="CD56" s="42" t="s">
        <v>352</v>
      </c>
    </row>
    <row r="57" spans="1:82">
      <c r="A57" s="3" t="s">
        <v>418</v>
      </c>
      <c r="B57" s="3" t="s">
        <v>419</v>
      </c>
      <c r="C57" s="27" t="s">
        <v>420</v>
      </c>
      <c r="D57" s="3" t="s">
        <v>420</v>
      </c>
      <c r="E57" s="29">
        <v>8001</v>
      </c>
      <c r="F57" s="3" t="s">
        <v>421</v>
      </c>
      <c r="G57" s="4">
        <v>8102</v>
      </c>
      <c r="H57" s="10">
        <v>267.34182700000002</v>
      </c>
      <c r="I57" s="42" t="s">
        <v>352</v>
      </c>
      <c r="J57" s="41">
        <v>1611.401155</v>
      </c>
      <c r="K57" s="42" t="s">
        <v>352</v>
      </c>
      <c r="L57" s="119">
        <v>81.12</v>
      </c>
      <c r="M57" s="120">
        <v>86.63</v>
      </c>
      <c r="N57" s="42" t="s">
        <v>352</v>
      </c>
      <c r="O57" s="60">
        <v>1474.89</v>
      </c>
      <c r="P57" s="42" t="s">
        <v>352</v>
      </c>
      <c r="Q57" s="60">
        <v>698.01</v>
      </c>
      <c r="R57" s="122">
        <v>0.84</v>
      </c>
      <c r="S57" s="62">
        <v>450.21</v>
      </c>
      <c r="T57" s="42" t="s">
        <v>352</v>
      </c>
      <c r="U57" s="42" t="s">
        <v>352</v>
      </c>
      <c r="V57" s="42" t="s">
        <v>352</v>
      </c>
      <c r="W57" s="42" t="s">
        <v>352</v>
      </c>
      <c r="X57" s="42" t="s">
        <v>352</v>
      </c>
      <c r="Y57" s="42" t="s">
        <v>352</v>
      </c>
      <c r="Z57" s="122">
        <v>12.71</v>
      </c>
      <c r="AA57" s="134">
        <v>1</v>
      </c>
      <c r="AB57" s="125">
        <v>34.5</v>
      </c>
      <c r="AC57" s="144">
        <v>66.599999999999994</v>
      </c>
      <c r="AD57" s="42" t="s">
        <v>352</v>
      </c>
      <c r="AE57" s="42" t="s">
        <v>352</v>
      </c>
      <c r="AF57" s="134">
        <v>19.09</v>
      </c>
      <c r="AG57" s="134">
        <v>23.49</v>
      </c>
      <c r="AH57" s="134">
        <v>30.45</v>
      </c>
      <c r="AI57" s="134">
        <v>15.94</v>
      </c>
      <c r="AJ57" s="150">
        <v>7.21</v>
      </c>
      <c r="AK57" s="152">
        <v>207.61</v>
      </c>
      <c r="AL57" s="123">
        <v>4.38</v>
      </c>
      <c r="AM57" s="123">
        <v>10.55</v>
      </c>
      <c r="AN57" s="122">
        <v>1.0594633626182324</v>
      </c>
      <c r="AO57" s="162">
        <v>0</v>
      </c>
      <c r="AP57" s="59" t="s">
        <v>351</v>
      </c>
      <c r="AQ57" s="160">
        <v>607.75</v>
      </c>
      <c r="AR57" s="161">
        <v>1295.1600000000001</v>
      </c>
      <c r="AS57" s="122" t="s">
        <v>351</v>
      </c>
      <c r="AT57" s="42" t="s">
        <v>352</v>
      </c>
      <c r="AU57" s="42" t="s">
        <v>352</v>
      </c>
      <c r="AV57" s="164">
        <v>577.54175873785255</v>
      </c>
      <c r="AW57" s="164">
        <v>19.484100582751516</v>
      </c>
      <c r="AX57" s="164">
        <v>9.1</v>
      </c>
      <c r="AY57" s="42" t="s">
        <v>352</v>
      </c>
      <c r="AZ57" s="165">
        <v>0</v>
      </c>
      <c r="BA57" s="42" t="s">
        <v>352</v>
      </c>
      <c r="BB57" s="42" t="s">
        <v>352</v>
      </c>
      <c r="BC57" s="42" t="s">
        <v>352</v>
      </c>
      <c r="BD57" s="42" t="s">
        <v>352</v>
      </c>
      <c r="BE57" s="200">
        <v>0.49</v>
      </c>
      <c r="BF57" s="200">
        <v>38.24</v>
      </c>
      <c r="BG57" s="168">
        <v>11.36</v>
      </c>
      <c r="BH57" s="171">
        <v>14.55</v>
      </c>
      <c r="BI57" s="42" t="s">
        <v>352</v>
      </c>
      <c r="BJ57" s="42" t="s">
        <v>352</v>
      </c>
      <c r="BK57" s="42" t="s">
        <v>352</v>
      </c>
      <c r="BL57" s="162">
        <v>91.380568002372698</v>
      </c>
      <c r="BM57" s="162">
        <v>136.83037682460542</v>
      </c>
      <c r="BN57" s="162">
        <v>57.874359734836034</v>
      </c>
      <c r="BO57" s="42" t="s">
        <v>352</v>
      </c>
      <c r="BP57" s="42" t="s">
        <v>352</v>
      </c>
      <c r="BQ57" s="42" t="s">
        <v>352</v>
      </c>
      <c r="BR57" s="122">
        <v>22.05</v>
      </c>
      <c r="BS57" s="126">
        <v>71.59</v>
      </c>
      <c r="BT57" s="186" t="s">
        <v>353</v>
      </c>
      <c r="BU57" s="131">
        <v>52.87</v>
      </c>
      <c r="BV57" s="42" t="s">
        <v>352</v>
      </c>
      <c r="BW57" s="42" t="s">
        <v>352</v>
      </c>
      <c r="BX57" s="42" t="s">
        <v>352</v>
      </c>
      <c r="BY57" s="42" t="s">
        <v>352</v>
      </c>
      <c r="BZ57" s="191">
        <v>0</v>
      </c>
      <c r="CA57" s="191">
        <v>0</v>
      </c>
      <c r="CB57" s="198" t="s">
        <v>353</v>
      </c>
      <c r="CC57" s="39">
        <v>148.29302702139427</v>
      </c>
      <c r="CD57" s="42" t="s">
        <v>352</v>
      </c>
    </row>
    <row r="58" spans="1:82">
      <c r="A58" s="3" t="s">
        <v>418</v>
      </c>
      <c r="B58" s="3" t="s">
        <v>419</v>
      </c>
      <c r="C58" s="27" t="s">
        <v>420</v>
      </c>
      <c r="D58" s="3" t="s">
        <v>420</v>
      </c>
      <c r="E58" s="29">
        <v>8001</v>
      </c>
      <c r="F58" s="3" t="s">
        <v>422</v>
      </c>
      <c r="G58" s="4">
        <v>8103</v>
      </c>
      <c r="H58" s="10">
        <v>294.558898</v>
      </c>
      <c r="I58" s="42" t="s">
        <v>352</v>
      </c>
      <c r="J58" s="41">
        <v>12088.139714999999</v>
      </c>
      <c r="K58" s="42" t="s">
        <v>352</v>
      </c>
      <c r="L58" s="119">
        <v>74.67</v>
      </c>
      <c r="M58" s="120">
        <v>1.07</v>
      </c>
      <c r="N58" s="42" t="s">
        <v>352</v>
      </c>
      <c r="O58" s="60">
        <v>1371.97</v>
      </c>
      <c r="P58" s="42" t="s">
        <v>352</v>
      </c>
      <c r="Q58" s="60">
        <v>640.29</v>
      </c>
      <c r="R58" s="122">
        <v>0.74</v>
      </c>
      <c r="S58" s="62">
        <v>566.04</v>
      </c>
      <c r="T58" s="42" t="s">
        <v>352</v>
      </c>
      <c r="U58" s="42" t="s">
        <v>352</v>
      </c>
      <c r="V58" s="42" t="s">
        <v>352</v>
      </c>
      <c r="W58" s="42" t="s">
        <v>352</v>
      </c>
      <c r="X58" s="42" t="s">
        <v>352</v>
      </c>
      <c r="Y58" s="42" t="s">
        <v>352</v>
      </c>
      <c r="Z58" s="122">
        <v>15.12</v>
      </c>
      <c r="AA58" s="134">
        <v>1</v>
      </c>
      <c r="AB58" s="125">
        <v>39.4</v>
      </c>
      <c r="AC58" s="144">
        <v>66.2</v>
      </c>
      <c r="AD58" s="42" t="s">
        <v>352</v>
      </c>
      <c r="AE58" s="42" t="s">
        <v>352</v>
      </c>
      <c r="AF58" s="134">
        <v>19.71</v>
      </c>
      <c r="AG58" s="134">
        <v>23.68</v>
      </c>
      <c r="AH58" s="134">
        <v>33.770000000000003</v>
      </c>
      <c r="AI58" s="134">
        <v>12.58</v>
      </c>
      <c r="AJ58" s="150">
        <v>5.51</v>
      </c>
      <c r="AK58" s="152">
        <v>472.39</v>
      </c>
      <c r="AL58" s="159" t="s">
        <v>351</v>
      </c>
      <c r="AM58" s="123" t="s">
        <v>351</v>
      </c>
      <c r="AN58" s="122">
        <v>1.0227023325306075</v>
      </c>
      <c r="AO58" s="122">
        <v>0.94873001078168673</v>
      </c>
      <c r="AP58" s="59" t="s">
        <v>351</v>
      </c>
      <c r="AQ58" s="160">
        <v>661.69</v>
      </c>
      <c r="AR58" s="161">
        <v>196.75</v>
      </c>
      <c r="AS58" s="200">
        <v>1.7213503711797196E-2</v>
      </c>
      <c r="AT58" s="42" t="s">
        <v>352</v>
      </c>
      <c r="AU58" s="42" t="s">
        <v>352</v>
      </c>
      <c r="AV58" s="164">
        <v>672.29273561976777</v>
      </c>
      <c r="AW58" s="164">
        <v>21.930297858283325</v>
      </c>
      <c r="AX58" s="164">
        <v>3.84</v>
      </c>
      <c r="AY58" s="42" t="s">
        <v>352</v>
      </c>
      <c r="AZ58" s="165">
        <v>0</v>
      </c>
      <c r="BA58" s="42" t="s">
        <v>352</v>
      </c>
      <c r="BB58" s="42" t="s">
        <v>352</v>
      </c>
      <c r="BC58" s="42" t="s">
        <v>352</v>
      </c>
      <c r="BD58" s="42" t="s">
        <v>352</v>
      </c>
      <c r="BE58" s="200">
        <v>0</v>
      </c>
      <c r="BF58" s="200">
        <v>0</v>
      </c>
      <c r="BG58" s="168">
        <v>8.7100000000000009</v>
      </c>
      <c r="BH58" s="171">
        <v>12.65</v>
      </c>
      <c r="BI58" s="42" t="s">
        <v>352</v>
      </c>
      <c r="BJ58" s="42" t="s">
        <v>352</v>
      </c>
      <c r="BK58" s="42" t="s">
        <v>352</v>
      </c>
      <c r="BL58" s="162">
        <v>55.827781754115506</v>
      </c>
      <c r="BM58" s="162">
        <v>72.565104883554483</v>
      </c>
      <c r="BN58" s="162">
        <v>58.250289049165893</v>
      </c>
      <c r="BO58" s="42" t="s">
        <v>352</v>
      </c>
      <c r="BP58" s="42" t="s">
        <v>352</v>
      </c>
      <c r="BQ58" s="42" t="s">
        <v>352</v>
      </c>
      <c r="BR58" s="182" t="s">
        <v>358</v>
      </c>
      <c r="BS58" s="126">
        <v>37.68</v>
      </c>
      <c r="BT58" s="186" t="s">
        <v>353</v>
      </c>
      <c r="BU58" s="131">
        <v>54.86</v>
      </c>
      <c r="BV58" s="42" t="s">
        <v>352</v>
      </c>
      <c r="BW58" s="42" t="s">
        <v>352</v>
      </c>
      <c r="BX58" s="42" t="s">
        <v>352</v>
      </c>
      <c r="BY58" s="42" t="s">
        <v>352</v>
      </c>
      <c r="BZ58" s="190" t="s">
        <v>359</v>
      </c>
      <c r="CA58" s="190" t="s">
        <v>359</v>
      </c>
      <c r="CB58" s="198" t="s">
        <v>351</v>
      </c>
      <c r="CC58" s="39" t="s">
        <v>351</v>
      </c>
      <c r="CD58" s="42" t="s">
        <v>352</v>
      </c>
    </row>
    <row r="59" spans="1:82">
      <c r="A59" s="3" t="s">
        <v>418</v>
      </c>
      <c r="B59" s="3" t="s">
        <v>419</v>
      </c>
      <c r="C59" s="27" t="s">
        <v>420</v>
      </c>
      <c r="D59" s="3" t="s">
        <v>420</v>
      </c>
      <c r="E59" s="29">
        <v>8001</v>
      </c>
      <c r="F59" s="3" t="s">
        <v>423</v>
      </c>
      <c r="G59" s="4">
        <v>8105</v>
      </c>
      <c r="H59" s="10">
        <v>400.08891799999998</v>
      </c>
      <c r="I59" s="42" t="s">
        <v>352</v>
      </c>
      <c r="J59" s="42" t="s">
        <v>351</v>
      </c>
      <c r="K59" s="42" t="s">
        <v>352</v>
      </c>
      <c r="L59" s="119">
        <v>67.989999999999995</v>
      </c>
      <c r="M59" s="56" t="s">
        <v>351</v>
      </c>
      <c r="N59" s="42" t="s">
        <v>352</v>
      </c>
      <c r="O59" s="60">
        <v>724.43</v>
      </c>
      <c r="P59" s="42" t="s">
        <v>352</v>
      </c>
      <c r="Q59" s="60">
        <v>643.16</v>
      </c>
      <c r="R59" s="122">
        <v>0.79</v>
      </c>
      <c r="S59" s="62">
        <v>630.38</v>
      </c>
      <c r="T59" s="42" t="s">
        <v>352</v>
      </c>
      <c r="U59" s="42" t="s">
        <v>352</v>
      </c>
      <c r="V59" s="42" t="s">
        <v>352</v>
      </c>
      <c r="W59" s="42" t="s">
        <v>352</v>
      </c>
      <c r="X59" s="42" t="s">
        <v>352</v>
      </c>
      <c r="Y59" s="42" t="s">
        <v>352</v>
      </c>
      <c r="Z59" s="122">
        <v>2.96</v>
      </c>
      <c r="AA59" s="125">
        <v>0.89</v>
      </c>
      <c r="AB59" s="125">
        <v>27.1</v>
      </c>
      <c r="AC59" s="144">
        <v>69.400000000000006</v>
      </c>
      <c r="AD59" s="42" t="s">
        <v>352</v>
      </c>
      <c r="AE59" s="42" t="s">
        <v>352</v>
      </c>
      <c r="AF59" s="134">
        <v>23.58</v>
      </c>
      <c r="AG59" s="134">
        <v>35.76</v>
      </c>
      <c r="AH59" s="134">
        <v>65.3</v>
      </c>
      <c r="AI59" s="134">
        <v>12.89</v>
      </c>
      <c r="AJ59" s="150">
        <v>3.85</v>
      </c>
      <c r="AK59" s="152">
        <v>169.25</v>
      </c>
      <c r="AL59" s="159" t="s">
        <v>351</v>
      </c>
      <c r="AM59" s="123" t="s">
        <v>351</v>
      </c>
      <c r="AN59" s="122">
        <v>0.82362611913598038</v>
      </c>
      <c r="AO59" s="122">
        <v>0.81036557196452408</v>
      </c>
      <c r="AP59" s="59">
        <v>8.08</v>
      </c>
      <c r="AQ59" s="160">
        <v>514.78</v>
      </c>
      <c r="AR59" s="161">
        <v>231.6</v>
      </c>
      <c r="AS59" s="200">
        <v>4.2416340357715271E-2</v>
      </c>
      <c r="AT59" s="42" t="s">
        <v>352</v>
      </c>
      <c r="AU59" s="42" t="s">
        <v>352</v>
      </c>
      <c r="AV59" s="164">
        <v>424.31041309225287</v>
      </c>
      <c r="AW59" s="164">
        <v>12.366811555179444</v>
      </c>
      <c r="AX59" s="164">
        <v>14.36</v>
      </c>
      <c r="AY59" s="42" t="s">
        <v>352</v>
      </c>
      <c r="AZ59" s="165">
        <v>0.09</v>
      </c>
      <c r="BA59" s="42" t="s">
        <v>352</v>
      </c>
      <c r="BB59" s="42" t="s">
        <v>352</v>
      </c>
      <c r="BC59" s="42" t="s">
        <v>352</v>
      </c>
      <c r="BD59" s="42" t="s">
        <v>352</v>
      </c>
      <c r="BE59" s="200">
        <v>0</v>
      </c>
      <c r="BF59" s="200">
        <v>0</v>
      </c>
      <c r="BG59" s="168">
        <v>12.91</v>
      </c>
      <c r="BH59" s="171">
        <v>22.15</v>
      </c>
      <c r="BI59" s="42" t="s">
        <v>352</v>
      </c>
      <c r="BJ59" s="42" t="s">
        <v>352</v>
      </c>
      <c r="BK59" s="42" t="s">
        <v>352</v>
      </c>
      <c r="BL59" s="162">
        <v>48.851790591222063</v>
      </c>
      <c r="BM59" s="162">
        <v>115.01327076201099</v>
      </c>
      <c r="BN59" s="162">
        <v>55.775666423048811</v>
      </c>
      <c r="BO59" s="42" t="s">
        <v>352</v>
      </c>
      <c r="BP59" s="42" t="s">
        <v>352</v>
      </c>
      <c r="BQ59" s="42" t="s">
        <v>352</v>
      </c>
      <c r="BR59" s="182" t="s">
        <v>358</v>
      </c>
      <c r="BS59" s="126">
        <v>50.61</v>
      </c>
      <c r="BT59" s="186" t="s">
        <v>353</v>
      </c>
      <c r="BU59" s="131">
        <v>78.47</v>
      </c>
      <c r="BV59" s="42" t="s">
        <v>352</v>
      </c>
      <c r="BW59" s="42" t="s">
        <v>352</v>
      </c>
      <c r="BX59" s="42" t="s">
        <v>352</v>
      </c>
      <c r="BY59" s="42" t="s">
        <v>352</v>
      </c>
      <c r="BZ59" s="190" t="s">
        <v>359</v>
      </c>
      <c r="CA59" s="190" t="s">
        <v>359</v>
      </c>
      <c r="CB59" s="198" t="s">
        <v>355</v>
      </c>
      <c r="CC59" s="39">
        <v>0</v>
      </c>
      <c r="CD59" s="42" t="s">
        <v>352</v>
      </c>
    </row>
    <row r="60" spans="1:82">
      <c r="A60" s="3" t="s">
        <v>418</v>
      </c>
      <c r="B60" s="3" t="s">
        <v>419</v>
      </c>
      <c r="C60" s="27" t="s">
        <v>420</v>
      </c>
      <c r="D60" s="3" t="s">
        <v>420</v>
      </c>
      <c r="E60" s="29">
        <v>8001</v>
      </c>
      <c r="F60" s="3" t="s">
        <v>424</v>
      </c>
      <c r="G60" s="4">
        <v>8106</v>
      </c>
      <c r="H60" s="10">
        <v>645.84493799999996</v>
      </c>
      <c r="I60" s="42" t="s">
        <v>352</v>
      </c>
      <c r="J60" s="41">
        <v>2449.0122419999998</v>
      </c>
      <c r="K60" s="42" t="s">
        <v>352</v>
      </c>
      <c r="L60" s="119">
        <v>58</v>
      </c>
      <c r="M60" s="120">
        <v>70.349999999999994</v>
      </c>
      <c r="N60" s="42" t="s">
        <v>352</v>
      </c>
      <c r="O60" s="60">
        <v>1165.74</v>
      </c>
      <c r="P60" s="42" t="s">
        <v>352</v>
      </c>
      <c r="Q60" s="60">
        <v>499.41</v>
      </c>
      <c r="R60" s="122">
        <v>0.88</v>
      </c>
      <c r="S60" s="62">
        <v>401.41</v>
      </c>
      <c r="T60" s="42" t="s">
        <v>352</v>
      </c>
      <c r="U60" s="42" t="s">
        <v>352</v>
      </c>
      <c r="V60" s="42" t="s">
        <v>352</v>
      </c>
      <c r="W60" s="42" t="s">
        <v>352</v>
      </c>
      <c r="X60" s="42" t="s">
        <v>352</v>
      </c>
      <c r="Y60" s="42" t="s">
        <v>352</v>
      </c>
      <c r="Z60" s="122">
        <v>12.22</v>
      </c>
      <c r="AA60" s="125">
        <v>1.25</v>
      </c>
      <c r="AB60" s="125">
        <v>48.2</v>
      </c>
      <c r="AC60" s="146">
        <v>81</v>
      </c>
      <c r="AD60" s="42" t="s">
        <v>352</v>
      </c>
      <c r="AE60" s="42" t="s">
        <v>352</v>
      </c>
      <c r="AF60" s="134">
        <v>17.77</v>
      </c>
      <c r="AG60" s="134">
        <v>20.87</v>
      </c>
      <c r="AH60" s="134">
        <v>24.81</v>
      </c>
      <c r="AI60" s="134">
        <v>22.82</v>
      </c>
      <c r="AJ60" s="150">
        <v>6.55</v>
      </c>
      <c r="AK60" s="152">
        <v>443.32</v>
      </c>
      <c r="AL60" s="159" t="s">
        <v>351</v>
      </c>
      <c r="AM60" s="123" t="s">
        <v>351</v>
      </c>
      <c r="AN60" s="122">
        <v>0.97209866268510625</v>
      </c>
      <c r="AO60" s="162">
        <v>0</v>
      </c>
      <c r="AP60" s="59">
        <v>0.87</v>
      </c>
      <c r="AQ60" s="160">
        <v>519.67999999999995</v>
      </c>
      <c r="AR60" s="161">
        <v>248.86</v>
      </c>
      <c r="AS60" s="122" t="s">
        <v>351</v>
      </c>
      <c r="AT60" s="42" t="s">
        <v>352</v>
      </c>
      <c r="AU60" s="42" t="s">
        <v>352</v>
      </c>
      <c r="AV60" s="164">
        <v>485.96605744125327</v>
      </c>
      <c r="AW60" s="164">
        <v>16.258653447183942</v>
      </c>
      <c r="AX60" s="164">
        <v>20.04</v>
      </c>
      <c r="AY60" s="42" t="s">
        <v>352</v>
      </c>
      <c r="AZ60" s="165">
        <v>1.08</v>
      </c>
      <c r="BA60" s="42" t="s">
        <v>352</v>
      </c>
      <c r="BB60" s="42" t="s">
        <v>352</v>
      </c>
      <c r="BC60" s="42" t="s">
        <v>352</v>
      </c>
      <c r="BD60" s="42" t="s">
        <v>352</v>
      </c>
      <c r="BE60" s="200">
        <v>5.39</v>
      </c>
      <c r="BF60" s="200">
        <v>27.86</v>
      </c>
      <c r="BG60" s="168">
        <v>18.13</v>
      </c>
      <c r="BH60" s="171">
        <v>19.62</v>
      </c>
      <c r="BI60" s="42" t="s">
        <v>352</v>
      </c>
      <c r="BJ60" s="42" t="s">
        <v>352</v>
      </c>
      <c r="BK60" s="42" t="s">
        <v>352</v>
      </c>
      <c r="BL60" s="162">
        <v>98.709353366382047</v>
      </c>
      <c r="BM60" s="162">
        <v>127.75436221091482</v>
      </c>
      <c r="BN60" s="162">
        <v>60.492236465681032</v>
      </c>
      <c r="BO60" s="42" t="s">
        <v>352</v>
      </c>
      <c r="BP60" s="42" t="s">
        <v>352</v>
      </c>
      <c r="BQ60" s="42" t="s">
        <v>352</v>
      </c>
      <c r="BR60" s="122">
        <v>32.14</v>
      </c>
      <c r="BS60" s="126">
        <v>29.99</v>
      </c>
      <c r="BT60" s="186" t="s">
        <v>355</v>
      </c>
      <c r="BU60" s="131">
        <v>77.47</v>
      </c>
      <c r="BV60" s="42" t="s">
        <v>352</v>
      </c>
      <c r="BW60" s="42" t="s">
        <v>352</v>
      </c>
      <c r="BX60" s="42" t="s">
        <v>352</v>
      </c>
      <c r="BY60" s="42" t="s">
        <v>352</v>
      </c>
      <c r="BZ60" s="191">
        <v>0</v>
      </c>
      <c r="CA60" s="191">
        <v>0</v>
      </c>
      <c r="CB60" s="198" t="s">
        <v>355</v>
      </c>
      <c r="CC60" s="39">
        <v>0</v>
      </c>
      <c r="CD60" s="42" t="s">
        <v>352</v>
      </c>
    </row>
    <row r="61" spans="1:82">
      <c r="A61" s="3" t="s">
        <v>418</v>
      </c>
      <c r="B61" s="3" t="s">
        <v>419</v>
      </c>
      <c r="C61" s="27" t="s">
        <v>420</v>
      </c>
      <c r="D61" s="3" t="s">
        <v>420</v>
      </c>
      <c r="E61" s="29">
        <v>8001</v>
      </c>
      <c r="F61" s="3" t="s">
        <v>425</v>
      </c>
      <c r="G61" s="4">
        <v>8107</v>
      </c>
      <c r="H61" s="10">
        <v>277.18022000000002</v>
      </c>
      <c r="I61" s="42" t="s">
        <v>352</v>
      </c>
      <c r="J61" s="41">
        <v>10177.445383</v>
      </c>
      <c r="K61" s="42" t="s">
        <v>352</v>
      </c>
      <c r="L61" s="119">
        <v>77.680000000000007</v>
      </c>
      <c r="M61" s="56" t="s">
        <v>351</v>
      </c>
      <c r="N61" s="42" t="s">
        <v>352</v>
      </c>
      <c r="O61" s="60">
        <v>1086.22</v>
      </c>
      <c r="P61" s="42" t="s">
        <v>352</v>
      </c>
      <c r="Q61" s="60">
        <v>608.89</v>
      </c>
      <c r="R61" s="122">
        <v>0.79</v>
      </c>
      <c r="S61" s="62">
        <v>442.28</v>
      </c>
      <c r="T61" s="42" t="s">
        <v>352</v>
      </c>
      <c r="U61" s="42" t="s">
        <v>352</v>
      </c>
      <c r="V61" s="42" t="s">
        <v>352</v>
      </c>
      <c r="W61" s="42" t="s">
        <v>352</v>
      </c>
      <c r="X61" s="42" t="s">
        <v>352</v>
      </c>
      <c r="Y61" s="42" t="s">
        <v>352</v>
      </c>
      <c r="Z61" s="122">
        <v>1.6</v>
      </c>
      <c r="AA61" s="134">
        <v>1</v>
      </c>
      <c r="AB61" s="125">
        <v>38.700000000000003</v>
      </c>
      <c r="AC61" s="146">
        <v>73</v>
      </c>
      <c r="AD61" s="42" t="s">
        <v>352</v>
      </c>
      <c r="AE61" s="42" t="s">
        <v>352</v>
      </c>
      <c r="AF61" s="134">
        <v>18.440000000000001</v>
      </c>
      <c r="AG61" s="134">
        <v>23.03</v>
      </c>
      <c r="AH61" s="134">
        <v>30.18</v>
      </c>
      <c r="AI61" s="134">
        <v>16.02</v>
      </c>
      <c r="AJ61" s="150">
        <v>8.0500000000000007</v>
      </c>
      <c r="AK61" s="152">
        <v>702.21</v>
      </c>
      <c r="AL61" s="159" t="s">
        <v>351</v>
      </c>
      <c r="AM61" s="123" t="s">
        <v>351</v>
      </c>
      <c r="AN61" s="122">
        <v>1.0897433918579973</v>
      </c>
      <c r="AO61" s="162">
        <v>0</v>
      </c>
      <c r="AP61" s="59">
        <v>2.0099999999999998</v>
      </c>
      <c r="AQ61" s="160">
        <v>619.65</v>
      </c>
      <c r="AR61" s="161">
        <v>327.67</v>
      </c>
      <c r="AS61" s="122" t="s">
        <v>351</v>
      </c>
      <c r="AT61" s="42" t="s">
        <v>352</v>
      </c>
      <c r="AU61" s="42" t="s">
        <v>352</v>
      </c>
      <c r="AV61" s="164">
        <v>479.74098057354303</v>
      </c>
      <c r="AW61" s="164">
        <v>15.651911468812877</v>
      </c>
      <c r="AX61" s="164">
        <v>2.41</v>
      </c>
      <c r="AY61" s="42" t="s">
        <v>352</v>
      </c>
      <c r="AZ61" s="165">
        <v>0.72</v>
      </c>
      <c r="BA61" s="42" t="s">
        <v>352</v>
      </c>
      <c r="BB61" s="42" t="s">
        <v>352</v>
      </c>
      <c r="BC61" s="42" t="s">
        <v>352</v>
      </c>
      <c r="BD61" s="42" t="s">
        <v>352</v>
      </c>
      <c r="BE61" s="200">
        <v>0.19</v>
      </c>
      <c r="BF61" s="200">
        <v>68.599999999999994</v>
      </c>
      <c r="BG61" s="168">
        <v>8.59</v>
      </c>
      <c r="BH61" s="171">
        <v>18.260000000000002</v>
      </c>
      <c r="BI61" s="42" t="s">
        <v>352</v>
      </c>
      <c r="BJ61" s="42" t="s">
        <v>352</v>
      </c>
      <c r="BK61" s="42" t="s">
        <v>352</v>
      </c>
      <c r="BL61" s="162">
        <v>83.702213279678062</v>
      </c>
      <c r="BM61" s="162">
        <v>112.07243460764589</v>
      </c>
      <c r="BN61" s="162">
        <v>72.434607645875261</v>
      </c>
      <c r="BO61" s="42" t="s">
        <v>352</v>
      </c>
      <c r="BP61" s="42" t="s">
        <v>352</v>
      </c>
      <c r="BQ61" s="42" t="s">
        <v>352</v>
      </c>
      <c r="BR61" s="122">
        <v>42.11</v>
      </c>
      <c r="BS61" s="126">
        <v>21.77</v>
      </c>
      <c r="BT61" s="186" t="s">
        <v>353</v>
      </c>
      <c r="BU61" s="131">
        <v>59.63</v>
      </c>
      <c r="BV61" s="42" t="s">
        <v>352</v>
      </c>
      <c r="BW61" s="42" t="s">
        <v>352</v>
      </c>
      <c r="BX61" s="42" t="s">
        <v>352</v>
      </c>
      <c r="BY61" s="42" t="s">
        <v>352</v>
      </c>
      <c r="BZ61" s="190" t="s">
        <v>359</v>
      </c>
      <c r="CA61" s="190" t="s">
        <v>359</v>
      </c>
      <c r="CB61" s="198" t="s">
        <v>355</v>
      </c>
      <c r="CC61" s="39">
        <v>5492.9577464788736</v>
      </c>
      <c r="CD61" s="42" t="s">
        <v>352</v>
      </c>
    </row>
    <row r="62" spans="1:82">
      <c r="A62" s="3" t="s">
        <v>418</v>
      </c>
      <c r="B62" s="3" t="s">
        <v>419</v>
      </c>
      <c r="C62" s="27" t="s">
        <v>420</v>
      </c>
      <c r="D62" s="3" t="s">
        <v>420</v>
      </c>
      <c r="E62" s="29">
        <v>8001</v>
      </c>
      <c r="F62" s="3" t="s">
        <v>426</v>
      </c>
      <c r="G62" s="4">
        <v>8108</v>
      </c>
      <c r="H62" s="10">
        <v>259.34625399999999</v>
      </c>
      <c r="I62" s="42" t="s">
        <v>352</v>
      </c>
      <c r="J62" s="41">
        <v>3599.2729330000002</v>
      </c>
      <c r="K62" s="42" t="s">
        <v>352</v>
      </c>
      <c r="L62" s="119">
        <v>81.19</v>
      </c>
      <c r="M62" s="120">
        <v>43.87</v>
      </c>
      <c r="N62" s="42" t="s">
        <v>352</v>
      </c>
      <c r="O62" s="60">
        <v>1504.24</v>
      </c>
      <c r="P62" s="42" t="s">
        <v>352</v>
      </c>
      <c r="Q62" s="60">
        <v>924.66</v>
      </c>
      <c r="R62" s="122">
        <v>0.65</v>
      </c>
      <c r="S62" s="62">
        <v>576.84</v>
      </c>
      <c r="T62" s="42" t="s">
        <v>352</v>
      </c>
      <c r="U62" s="42" t="s">
        <v>352</v>
      </c>
      <c r="V62" s="42" t="s">
        <v>352</v>
      </c>
      <c r="W62" s="42" t="s">
        <v>352</v>
      </c>
      <c r="X62" s="42" t="s">
        <v>352</v>
      </c>
      <c r="Y62" s="42" t="s">
        <v>352</v>
      </c>
      <c r="Z62" s="122">
        <v>15.89</v>
      </c>
      <c r="AA62" s="134">
        <v>1</v>
      </c>
      <c r="AB62" s="125">
        <v>29.4</v>
      </c>
      <c r="AC62" s="144">
        <v>49.2</v>
      </c>
      <c r="AD62" s="42" t="s">
        <v>352</v>
      </c>
      <c r="AE62" s="42" t="s">
        <v>352</v>
      </c>
      <c r="AF62" s="134">
        <v>23.73</v>
      </c>
      <c r="AG62" s="134">
        <v>27.39</v>
      </c>
      <c r="AH62" s="134">
        <v>46.19</v>
      </c>
      <c r="AI62" s="134">
        <v>14.58</v>
      </c>
      <c r="AJ62" s="150">
        <v>9.06</v>
      </c>
      <c r="AK62" s="152">
        <v>269.07</v>
      </c>
      <c r="AL62" s="159" t="s">
        <v>351</v>
      </c>
      <c r="AM62" s="123" t="s">
        <v>351</v>
      </c>
      <c r="AN62" s="122">
        <v>0.84084597716252019</v>
      </c>
      <c r="AO62" s="122">
        <v>0.74712671532843433</v>
      </c>
      <c r="AP62" s="59">
        <v>4.32</v>
      </c>
      <c r="AQ62" s="160">
        <v>697.48</v>
      </c>
      <c r="AR62" s="161">
        <v>246.91</v>
      </c>
      <c r="AS62" s="200">
        <v>2.7105132229086139E-2</v>
      </c>
      <c r="AT62" s="42" t="s">
        <v>352</v>
      </c>
      <c r="AU62" s="42" t="s">
        <v>352</v>
      </c>
      <c r="AV62" s="164">
        <v>677.83550980895745</v>
      </c>
      <c r="AW62" s="164">
        <v>23.916407589677817</v>
      </c>
      <c r="AX62" s="164">
        <v>7.52</v>
      </c>
      <c r="AY62" s="42" t="s">
        <v>352</v>
      </c>
      <c r="AZ62" s="165">
        <v>1.65</v>
      </c>
      <c r="BA62" s="42" t="s">
        <v>352</v>
      </c>
      <c r="BB62" s="42" t="s">
        <v>352</v>
      </c>
      <c r="BC62" s="42" t="s">
        <v>352</v>
      </c>
      <c r="BD62" s="42" t="s">
        <v>352</v>
      </c>
      <c r="BE62" s="200">
        <v>7.0000000000000007E-2</v>
      </c>
      <c r="BF62" s="200">
        <v>29.15</v>
      </c>
      <c r="BG62" s="168">
        <v>12.17</v>
      </c>
      <c r="BH62" s="171">
        <v>15.88</v>
      </c>
      <c r="BI62" s="42" t="s">
        <v>352</v>
      </c>
      <c r="BJ62" s="42" t="s">
        <v>352</v>
      </c>
      <c r="BK62" s="42" t="s">
        <v>352</v>
      </c>
      <c r="BL62" s="162">
        <v>63.433199960964181</v>
      </c>
      <c r="BM62" s="162">
        <v>84.554364343570938</v>
      </c>
      <c r="BN62" s="162">
        <v>48.72506238759776</v>
      </c>
      <c r="BO62" s="42" t="s">
        <v>352</v>
      </c>
      <c r="BP62" s="42" t="s">
        <v>352</v>
      </c>
      <c r="BQ62" s="42" t="s">
        <v>352</v>
      </c>
      <c r="BR62" s="182" t="s">
        <v>602</v>
      </c>
      <c r="BS62" s="126">
        <v>18.37</v>
      </c>
      <c r="BT62" s="186" t="s">
        <v>353</v>
      </c>
      <c r="BU62" s="131">
        <v>24.97</v>
      </c>
      <c r="BV62" s="42" t="s">
        <v>352</v>
      </c>
      <c r="BW62" s="42" t="s">
        <v>352</v>
      </c>
      <c r="BX62" s="42" t="s">
        <v>352</v>
      </c>
      <c r="BY62" s="42" t="s">
        <v>352</v>
      </c>
      <c r="BZ62" s="190" t="s">
        <v>359</v>
      </c>
      <c r="CA62" s="190" t="s">
        <v>359</v>
      </c>
      <c r="CB62" s="198" t="s">
        <v>353</v>
      </c>
      <c r="CC62" s="39">
        <v>1277.7955917411368</v>
      </c>
      <c r="CD62" s="42" t="s">
        <v>352</v>
      </c>
    </row>
    <row r="63" spans="1:82">
      <c r="A63" s="3" t="s">
        <v>418</v>
      </c>
      <c r="B63" s="3" t="s">
        <v>419</v>
      </c>
      <c r="C63" s="27" t="s">
        <v>420</v>
      </c>
      <c r="D63" s="3" t="s">
        <v>420</v>
      </c>
      <c r="E63" s="29">
        <v>8001</v>
      </c>
      <c r="F63" s="3" t="s">
        <v>427</v>
      </c>
      <c r="G63" s="4">
        <v>8109</v>
      </c>
      <c r="H63" s="10">
        <v>265.83053200000001</v>
      </c>
      <c r="I63" s="42" t="s">
        <v>352</v>
      </c>
      <c r="J63" s="41">
        <v>1165.0544110000001</v>
      </c>
      <c r="K63" s="42" t="s">
        <v>352</v>
      </c>
      <c r="L63" s="119">
        <v>80.540000000000006</v>
      </c>
      <c r="M63" s="120">
        <v>100</v>
      </c>
      <c r="N63" s="42" t="s">
        <v>352</v>
      </c>
      <c r="O63" s="58" t="s">
        <v>351</v>
      </c>
      <c r="P63" s="42" t="s">
        <v>352</v>
      </c>
      <c r="Q63" s="60">
        <v>558.49</v>
      </c>
      <c r="R63" s="122">
        <v>1.06</v>
      </c>
      <c r="S63" s="62">
        <v>572.09</v>
      </c>
      <c r="T63" s="42" t="s">
        <v>352</v>
      </c>
      <c r="U63" s="42" t="s">
        <v>352</v>
      </c>
      <c r="V63" s="42" t="s">
        <v>352</v>
      </c>
      <c r="W63" s="42" t="s">
        <v>352</v>
      </c>
      <c r="X63" s="42" t="s">
        <v>352</v>
      </c>
      <c r="Y63" s="42" t="s">
        <v>352</v>
      </c>
      <c r="Z63" s="122">
        <v>4.5999999999999996</v>
      </c>
      <c r="AA63" s="124" t="s">
        <v>351</v>
      </c>
      <c r="AB63" s="124" t="s">
        <v>351</v>
      </c>
      <c r="AC63" s="145" t="s">
        <v>351</v>
      </c>
      <c r="AD63" s="42" t="s">
        <v>352</v>
      </c>
      <c r="AE63" s="42" t="s">
        <v>352</v>
      </c>
      <c r="AF63" s="147" t="s">
        <v>351</v>
      </c>
      <c r="AG63" s="148" t="s">
        <v>351</v>
      </c>
      <c r="AH63" s="149" t="s">
        <v>351</v>
      </c>
      <c r="AI63" s="149" t="s">
        <v>351</v>
      </c>
      <c r="AJ63" s="150">
        <v>27.17</v>
      </c>
      <c r="AK63" s="152">
        <v>278.48</v>
      </c>
      <c r="AL63" s="159" t="s">
        <v>351</v>
      </c>
      <c r="AM63" s="123" t="s">
        <v>351</v>
      </c>
      <c r="AN63" s="122">
        <v>0.62619198923685704</v>
      </c>
      <c r="AO63" s="162">
        <v>0</v>
      </c>
      <c r="AP63" s="59">
        <v>5.43</v>
      </c>
      <c r="AQ63" s="160">
        <v>510.74</v>
      </c>
      <c r="AR63" s="161">
        <v>347.02</v>
      </c>
      <c r="AS63" s="122" t="s">
        <v>351</v>
      </c>
      <c r="AT63" s="42" t="s">
        <v>352</v>
      </c>
      <c r="AU63" s="42" t="s">
        <v>352</v>
      </c>
      <c r="AV63" s="164">
        <v>70.466030320044922</v>
      </c>
      <c r="AW63" s="164">
        <v>1.7048155946478301</v>
      </c>
      <c r="AX63" s="164">
        <v>39.36</v>
      </c>
      <c r="AY63" s="42" t="s">
        <v>352</v>
      </c>
      <c r="AZ63" s="165">
        <v>7.0000000000000007E-2</v>
      </c>
      <c r="BA63" s="42" t="s">
        <v>352</v>
      </c>
      <c r="BB63" s="42" t="s">
        <v>352</v>
      </c>
      <c r="BC63" s="42" t="s">
        <v>352</v>
      </c>
      <c r="BD63" s="42" t="s">
        <v>352</v>
      </c>
      <c r="BE63" s="200">
        <v>0</v>
      </c>
      <c r="BF63" s="200">
        <v>0</v>
      </c>
      <c r="BG63" s="168">
        <v>15.48</v>
      </c>
      <c r="BH63" s="171">
        <v>29.73</v>
      </c>
      <c r="BI63" s="42" t="s">
        <v>352</v>
      </c>
      <c r="BJ63" s="42" t="s">
        <v>352</v>
      </c>
      <c r="BK63" s="42" t="s">
        <v>352</v>
      </c>
      <c r="BL63" s="162">
        <v>58.412008422196564</v>
      </c>
      <c r="BM63" s="162">
        <v>154.85974325884669</v>
      </c>
      <c r="BN63" s="162">
        <v>67.920940025809955</v>
      </c>
      <c r="BO63" s="42" t="s">
        <v>352</v>
      </c>
      <c r="BP63" s="42" t="s">
        <v>352</v>
      </c>
      <c r="BQ63" s="42" t="s">
        <v>352</v>
      </c>
      <c r="BR63" s="182" t="s">
        <v>358</v>
      </c>
      <c r="BS63" s="126">
        <v>51.18</v>
      </c>
      <c r="BT63" s="186" t="s">
        <v>353</v>
      </c>
      <c r="BU63" s="131">
        <v>76.400000000000006</v>
      </c>
      <c r="BV63" s="42" t="s">
        <v>352</v>
      </c>
      <c r="BW63" s="42" t="s">
        <v>352</v>
      </c>
      <c r="BX63" s="42" t="s">
        <v>352</v>
      </c>
      <c r="BY63" s="42" t="s">
        <v>352</v>
      </c>
      <c r="BZ63" s="190" t="s">
        <v>359</v>
      </c>
      <c r="CA63" s="190" t="s">
        <v>359</v>
      </c>
      <c r="CB63" s="198" t="s">
        <v>353</v>
      </c>
      <c r="CC63" s="39">
        <v>3396.047001290498</v>
      </c>
      <c r="CD63" s="42" t="s">
        <v>352</v>
      </c>
    </row>
    <row r="64" spans="1:82">
      <c r="A64" s="3" t="s">
        <v>418</v>
      </c>
      <c r="B64" s="3" t="s">
        <v>419</v>
      </c>
      <c r="C64" s="27" t="s">
        <v>420</v>
      </c>
      <c r="D64" s="3" t="s">
        <v>420</v>
      </c>
      <c r="E64" s="29">
        <v>8001</v>
      </c>
      <c r="F64" s="3" t="s">
        <v>428</v>
      </c>
      <c r="G64" s="4">
        <v>8110</v>
      </c>
      <c r="H64" s="10">
        <v>369.25828799999999</v>
      </c>
      <c r="I64" s="42" t="s">
        <v>352</v>
      </c>
      <c r="J64" s="41">
        <v>1981.346</v>
      </c>
      <c r="K64" s="42" t="s">
        <v>352</v>
      </c>
      <c r="L64" s="119">
        <v>66.3</v>
      </c>
      <c r="M64" s="120">
        <v>76.45</v>
      </c>
      <c r="N64" s="42" t="s">
        <v>352</v>
      </c>
      <c r="O64" s="60">
        <v>1176.52</v>
      </c>
      <c r="P64" s="42" t="s">
        <v>352</v>
      </c>
      <c r="Q64" s="60">
        <v>636.07000000000005</v>
      </c>
      <c r="R64" s="122">
        <v>0.84</v>
      </c>
      <c r="S64" s="62">
        <v>483.87</v>
      </c>
      <c r="T64" s="42" t="s">
        <v>352</v>
      </c>
      <c r="U64" s="42" t="s">
        <v>352</v>
      </c>
      <c r="V64" s="42" t="s">
        <v>352</v>
      </c>
      <c r="W64" s="42" t="s">
        <v>352</v>
      </c>
      <c r="X64" s="42" t="s">
        <v>352</v>
      </c>
      <c r="Y64" s="42" t="s">
        <v>352</v>
      </c>
      <c r="Z64" s="122">
        <v>13.58</v>
      </c>
      <c r="AA64" s="125">
        <v>0.83</v>
      </c>
      <c r="AB64" s="125">
        <v>34.700000000000003</v>
      </c>
      <c r="AC64" s="144">
        <v>61.7</v>
      </c>
      <c r="AD64" s="42" t="s">
        <v>352</v>
      </c>
      <c r="AE64" s="42" t="s">
        <v>352</v>
      </c>
      <c r="AF64" s="134">
        <v>17.940000000000001</v>
      </c>
      <c r="AG64" s="134">
        <v>23.73</v>
      </c>
      <c r="AH64" s="134">
        <v>32.47</v>
      </c>
      <c r="AI64" s="134">
        <v>11.6</v>
      </c>
      <c r="AJ64" s="150">
        <v>8.2200000000000006</v>
      </c>
      <c r="AK64" s="152">
        <v>246.52</v>
      </c>
      <c r="AL64" s="159" t="s">
        <v>351</v>
      </c>
      <c r="AM64" s="123" t="s">
        <v>351</v>
      </c>
      <c r="AN64" s="122">
        <v>1.0918666228988436</v>
      </c>
      <c r="AO64" s="122">
        <v>1.0012636897101617</v>
      </c>
      <c r="AP64" s="59">
        <v>0</v>
      </c>
      <c r="AQ64" s="160">
        <v>634.77</v>
      </c>
      <c r="AR64" s="161">
        <v>461.35</v>
      </c>
      <c r="AS64" s="200">
        <v>1.3032414409555829E-2</v>
      </c>
      <c r="AT64" s="42" t="s">
        <v>352</v>
      </c>
      <c r="AU64" s="42" t="s">
        <v>352</v>
      </c>
      <c r="AV64" s="164">
        <v>810.90389620555368</v>
      </c>
      <c r="AW64" s="164">
        <v>26.192929337623184</v>
      </c>
      <c r="AX64" s="164">
        <v>12.27</v>
      </c>
      <c r="AY64" s="42" t="s">
        <v>352</v>
      </c>
      <c r="AZ64" s="165">
        <v>1.24</v>
      </c>
      <c r="BA64" s="42" t="s">
        <v>352</v>
      </c>
      <c r="BB64" s="42" t="s">
        <v>352</v>
      </c>
      <c r="BC64" s="42" t="s">
        <v>352</v>
      </c>
      <c r="BD64" s="42" t="s">
        <v>352</v>
      </c>
      <c r="BE64" s="200">
        <v>0.78</v>
      </c>
      <c r="BF64" s="200">
        <v>29.25</v>
      </c>
      <c r="BG64" s="168">
        <v>7.91</v>
      </c>
      <c r="BH64" s="171">
        <v>16.649999999999999</v>
      </c>
      <c r="BI64" s="42" t="s">
        <v>352</v>
      </c>
      <c r="BJ64" s="42" t="s">
        <v>352</v>
      </c>
      <c r="BK64" s="42" t="s">
        <v>352</v>
      </c>
      <c r="BL64" s="162">
        <v>86.155129801584053</v>
      </c>
      <c r="BM64" s="162">
        <v>152.96802209819029</v>
      </c>
      <c r="BN64" s="162">
        <v>56.130414720327678</v>
      </c>
      <c r="BO64" s="42" t="s">
        <v>352</v>
      </c>
      <c r="BP64" s="42" t="s">
        <v>352</v>
      </c>
      <c r="BQ64" s="42" t="s">
        <v>352</v>
      </c>
      <c r="BR64" s="122">
        <v>52.82</v>
      </c>
      <c r="BS64" s="126">
        <v>9.98</v>
      </c>
      <c r="BT64" s="186" t="s">
        <v>353</v>
      </c>
      <c r="BU64" s="131">
        <v>27.91</v>
      </c>
      <c r="BV64" s="42" t="s">
        <v>352</v>
      </c>
      <c r="BW64" s="42" t="s">
        <v>352</v>
      </c>
      <c r="BX64" s="42" t="s">
        <v>352</v>
      </c>
      <c r="BY64" s="42" t="s">
        <v>352</v>
      </c>
      <c r="BZ64" s="190" t="s">
        <v>359</v>
      </c>
      <c r="CA64" s="190" t="s">
        <v>359</v>
      </c>
      <c r="CB64" s="198" t="s">
        <v>355</v>
      </c>
      <c r="CC64" s="39">
        <v>0</v>
      </c>
      <c r="CD64" s="42" t="s">
        <v>352</v>
      </c>
    </row>
    <row r="65" spans="1:82">
      <c r="A65" s="3" t="s">
        <v>418</v>
      </c>
      <c r="B65" s="3" t="s">
        <v>419</v>
      </c>
      <c r="C65" s="27" t="s">
        <v>420</v>
      </c>
      <c r="D65" s="3" t="s">
        <v>420</v>
      </c>
      <c r="E65" s="29">
        <v>8001</v>
      </c>
      <c r="F65" s="3" t="s">
        <v>429</v>
      </c>
      <c r="G65" s="4">
        <v>8111</v>
      </c>
      <c r="H65" s="10">
        <v>816.20475399999998</v>
      </c>
      <c r="I65" s="42" t="s">
        <v>352</v>
      </c>
      <c r="J65" s="41">
        <v>88.744364000000004</v>
      </c>
      <c r="K65" s="42" t="s">
        <v>352</v>
      </c>
      <c r="L65" s="119">
        <v>26.21</v>
      </c>
      <c r="M65" s="120">
        <v>8.4499999999999993</v>
      </c>
      <c r="N65" s="42" t="s">
        <v>352</v>
      </c>
      <c r="O65" s="60">
        <v>1121.54</v>
      </c>
      <c r="P65" s="42" t="s">
        <v>352</v>
      </c>
      <c r="Q65" s="60">
        <v>659.28</v>
      </c>
      <c r="R65" s="122">
        <v>0.95</v>
      </c>
      <c r="S65" s="62">
        <v>615.97</v>
      </c>
      <c r="T65" s="42" t="s">
        <v>352</v>
      </c>
      <c r="U65" s="42" t="s">
        <v>352</v>
      </c>
      <c r="V65" s="42" t="s">
        <v>352</v>
      </c>
      <c r="W65" s="42" t="s">
        <v>352</v>
      </c>
      <c r="X65" s="42" t="s">
        <v>352</v>
      </c>
      <c r="Y65" s="42" t="s">
        <v>352</v>
      </c>
      <c r="Z65" s="122">
        <v>5.93</v>
      </c>
      <c r="AA65" s="125">
        <v>0.93</v>
      </c>
      <c r="AB65" s="125">
        <v>46.1</v>
      </c>
      <c r="AC65" s="144">
        <v>74.400000000000006</v>
      </c>
      <c r="AD65" s="42" t="s">
        <v>352</v>
      </c>
      <c r="AE65" s="42" t="s">
        <v>352</v>
      </c>
      <c r="AF65" s="134">
        <v>21</v>
      </c>
      <c r="AG65" s="134">
        <v>25.86</v>
      </c>
      <c r="AH65" s="134">
        <v>31.84</v>
      </c>
      <c r="AI65" s="134">
        <v>14.92</v>
      </c>
      <c r="AJ65" s="150">
        <v>5.13</v>
      </c>
      <c r="AK65" s="152">
        <v>276.85000000000002</v>
      </c>
      <c r="AL65" s="159" t="s">
        <v>351</v>
      </c>
      <c r="AM65" s="123" t="s">
        <v>351</v>
      </c>
      <c r="AN65" s="122">
        <v>0.93687056203806107</v>
      </c>
      <c r="AO65" s="162">
        <v>0</v>
      </c>
      <c r="AP65" s="59">
        <v>4.79</v>
      </c>
      <c r="AQ65" s="160">
        <v>663.63</v>
      </c>
      <c r="AR65" s="161">
        <v>251.84</v>
      </c>
      <c r="AS65" s="200">
        <v>7.714919817284395E-2</v>
      </c>
      <c r="AT65" s="42" t="s">
        <v>352</v>
      </c>
      <c r="AU65" s="42" t="s">
        <v>352</v>
      </c>
      <c r="AV65" s="164">
        <v>453.68394939221037</v>
      </c>
      <c r="AW65" s="164">
        <v>15.626495317519995</v>
      </c>
      <c r="AX65" s="164">
        <v>8.64</v>
      </c>
      <c r="AY65" s="42" t="s">
        <v>352</v>
      </c>
      <c r="AZ65" s="165">
        <v>0.28000000000000003</v>
      </c>
      <c r="BA65" s="42" t="s">
        <v>352</v>
      </c>
      <c r="BB65" s="42" t="s">
        <v>352</v>
      </c>
      <c r="BC65" s="42" t="s">
        <v>352</v>
      </c>
      <c r="BD65" s="42" t="s">
        <v>352</v>
      </c>
      <c r="BE65" s="200">
        <v>0.77</v>
      </c>
      <c r="BF65" s="200">
        <v>21.21</v>
      </c>
      <c r="BG65" s="168">
        <v>7.27</v>
      </c>
      <c r="BH65" s="171">
        <v>21.71</v>
      </c>
      <c r="BI65" s="42" t="s">
        <v>352</v>
      </c>
      <c r="BJ65" s="42" t="s">
        <v>352</v>
      </c>
      <c r="BK65" s="42" t="s">
        <v>352</v>
      </c>
      <c r="BL65" s="162">
        <v>79.978125640850379</v>
      </c>
      <c r="BM65" s="162">
        <v>127.14471255724931</v>
      </c>
      <c r="BN65" s="162">
        <v>95.187640987080457</v>
      </c>
      <c r="BO65" s="42" t="s">
        <v>352</v>
      </c>
      <c r="BP65" s="42" t="s">
        <v>352</v>
      </c>
      <c r="BQ65" s="42" t="s">
        <v>352</v>
      </c>
      <c r="BR65" s="122">
        <v>18.64</v>
      </c>
      <c r="BS65" s="126">
        <v>27.54</v>
      </c>
      <c r="BT65" s="186" t="s">
        <v>355</v>
      </c>
      <c r="BU65" s="131">
        <v>73.7</v>
      </c>
      <c r="BV65" s="42" t="s">
        <v>352</v>
      </c>
      <c r="BW65" s="42" t="s">
        <v>352</v>
      </c>
      <c r="BX65" s="42" t="s">
        <v>352</v>
      </c>
      <c r="BY65" s="42" t="s">
        <v>352</v>
      </c>
      <c r="BZ65" s="190" t="s">
        <v>359</v>
      </c>
      <c r="CA65" s="190" t="s">
        <v>359</v>
      </c>
      <c r="CB65" s="198" t="s">
        <v>355</v>
      </c>
      <c r="CC65" s="39">
        <v>213.77059265841822</v>
      </c>
      <c r="CD65" s="42" t="s">
        <v>352</v>
      </c>
    </row>
    <row r="66" spans="1:82">
      <c r="A66" s="3" t="s">
        <v>418</v>
      </c>
      <c r="B66" s="3" t="s">
        <v>419</v>
      </c>
      <c r="C66" s="27" t="s">
        <v>420</v>
      </c>
      <c r="D66" s="3" t="s">
        <v>420</v>
      </c>
      <c r="E66" s="29">
        <v>8001</v>
      </c>
      <c r="F66" s="3" t="s">
        <v>430</v>
      </c>
      <c r="G66" s="4">
        <v>8112</v>
      </c>
      <c r="H66" s="10">
        <v>185.22022000000001</v>
      </c>
      <c r="I66" s="42" t="s">
        <v>352</v>
      </c>
      <c r="J66" s="41">
        <v>1074.547877</v>
      </c>
      <c r="K66" s="42" t="s">
        <v>352</v>
      </c>
      <c r="L66" s="119">
        <v>95.11</v>
      </c>
      <c r="M66" s="120">
        <v>100</v>
      </c>
      <c r="N66" s="42" t="s">
        <v>352</v>
      </c>
      <c r="O66" s="60">
        <v>643.83000000000004</v>
      </c>
      <c r="P66" s="42" t="s">
        <v>352</v>
      </c>
      <c r="Q66" s="60">
        <v>581.89</v>
      </c>
      <c r="R66" s="122">
        <v>0.69</v>
      </c>
      <c r="S66" s="62">
        <v>367.01</v>
      </c>
      <c r="T66" s="42" t="s">
        <v>352</v>
      </c>
      <c r="U66" s="42" t="s">
        <v>352</v>
      </c>
      <c r="V66" s="42" t="s">
        <v>352</v>
      </c>
      <c r="W66" s="42" t="s">
        <v>352</v>
      </c>
      <c r="X66" s="42" t="s">
        <v>352</v>
      </c>
      <c r="Y66" s="42" t="s">
        <v>352</v>
      </c>
      <c r="Z66" s="122">
        <v>24.17</v>
      </c>
      <c r="AA66" s="125">
        <v>0.83</v>
      </c>
      <c r="AB66" s="125">
        <v>34.6</v>
      </c>
      <c r="AC66" s="146">
        <v>64</v>
      </c>
      <c r="AD66" s="42" t="s">
        <v>352</v>
      </c>
      <c r="AE66" s="42" t="s">
        <v>352</v>
      </c>
      <c r="AF66" s="134">
        <v>16.690000000000001</v>
      </c>
      <c r="AG66" s="134">
        <v>21.98</v>
      </c>
      <c r="AH66" s="134">
        <v>33.82</v>
      </c>
      <c r="AI66" s="134">
        <v>9.58</v>
      </c>
      <c r="AJ66" s="150">
        <v>5.16</v>
      </c>
      <c r="AK66" s="152">
        <v>322</v>
      </c>
      <c r="AL66" s="159" t="s">
        <v>351</v>
      </c>
      <c r="AM66" s="123" t="s">
        <v>351</v>
      </c>
      <c r="AN66" s="122">
        <v>0.97638119441920845</v>
      </c>
      <c r="AO66" s="162">
        <v>0</v>
      </c>
      <c r="AP66" s="59">
        <v>2.17</v>
      </c>
      <c r="AQ66" s="160">
        <v>613.23</v>
      </c>
      <c r="AR66" s="161">
        <v>325.24</v>
      </c>
      <c r="AS66" s="122" t="s">
        <v>351</v>
      </c>
      <c r="AT66" s="42" t="s">
        <v>352</v>
      </c>
      <c r="AU66" s="42" t="s">
        <v>352</v>
      </c>
      <c r="AV66" s="164">
        <v>432.97552035606759</v>
      </c>
      <c r="AW66" s="164">
        <v>13.654096228868662</v>
      </c>
      <c r="AX66" s="164">
        <v>3.93</v>
      </c>
      <c r="AY66" s="42" t="s">
        <v>352</v>
      </c>
      <c r="AZ66" s="165">
        <v>0</v>
      </c>
      <c r="BA66" s="42" t="s">
        <v>352</v>
      </c>
      <c r="BB66" s="42" t="s">
        <v>352</v>
      </c>
      <c r="BC66" s="42" t="s">
        <v>352</v>
      </c>
      <c r="BD66" s="42" t="s">
        <v>352</v>
      </c>
      <c r="BE66" s="200">
        <v>0</v>
      </c>
      <c r="BF66" s="200">
        <v>26.92</v>
      </c>
      <c r="BG66" s="168">
        <v>10.53</v>
      </c>
      <c r="BH66" s="171">
        <v>10.95</v>
      </c>
      <c r="BI66" s="42" t="s">
        <v>352</v>
      </c>
      <c r="BJ66" s="42" t="s">
        <v>352</v>
      </c>
      <c r="BK66" s="42" t="s">
        <v>352</v>
      </c>
      <c r="BL66" s="162">
        <v>73.688773298656258</v>
      </c>
      <c r="BM66" s="162">
        <v>131.27747848163975</v>
      </c>
      <c r="BN66" s="162">
        <v>69.663756269738059</v>
      </c>
      <c r="BO66" s="42" t="s">
        <v>352</v>
      </c>
      <c r="BP66" s="42" t="s">
        <v>352</v>
      </c>
      <c r="BQ66" s="42" t="s">
        <v>352</v>
      </c>
      <c r="BR66" s="122">
        <v>13.89</v>
      </c>
      <c r="BS66" s="126">
        <v>27.14</v>
      </c>
      <c r="BT66" s="186" t="s">
        <v>355</v>
      </c>
      <c r="BU66" s="131">
        <v>41.47</v>
      </c>
      <c r="BV66" s="42" t="s">
        <v>352</v>
      </c>
      <c r="BW66" s="42" t="s">
        <v>352</v>
      </c>
      <c r="BX66" s="42" t="s">
        <v>352</v>
      </c>
      <c r="BY66" s="42" t="s">
        <v>352</v>
      </c>
      <c r="BZ66" s="190" t="s">
        <v>359</v>
      </c>
      <c r="CA66" s="190" t="s">
        <v>359</v>
      </c>
      <c r="CB66" s="198" t="s">
        <v>351</v>
      </c>
      <c r="CC66" s="39" t="s">
        <v>351</v>
      </c>
      <c r="CD66" s="42" t="s">
        <v>352</v>
      </c>
    </row>
    <row r="67" spans="1:82">
      <c r="A67" s="3" t="s">
        <v>418</v>
      </c>
      <c r="B67" s="3" t="s">
        <v>418</v>
      </c>
      <c r="C67" s="27" t="s">
        <v>349</v>
      </c>
      <c r="D67" s="3" t="s">
        <v>431</v>
      </c>
      <c r="E67" s="29">
        <v>8301</v>
      </c>
      <c r="F67" s="3" t="s">
        <v>432</v>
      </c>
      <c r="G67" s="4">
        <v>8301</v>
      </c>
      <c r="H67" s="10">
        <v>292.32192099999997</v>
      </c>
      <c r="I67" s="42" t="s">
        <v>352</v>
      </c>
      <c r="J67" s="41">
        <v>1220.422333</v>
      </c>
      <c r="K67" s="42" t="s">
        <v>352</v>
      </c>
      <c r="L67" s="119">
        <v>78.83</v>
      </c>
      <c r="M67" s="120">
        <v>89.31</v>
      </c>
      <c r="N67" s="42" t="s">
        <v>352</v>
      </c>
      <c r="O67" s="60">
        <v>879.24</v>
      </c>
      <c r="P67" s="42" t="s">
        <v>352</v>
      </c>
      <c r="Q67" s="60">
        <v>715.85</v>
      </c>
      <c r="R67" s="122">
        <v>0.88</v>
      </c>
      <c r="S67" s="62">
        <v>753.62</v>
      </c>
      <c r="T67" s="42" t="s">
        <v>352</v>
      </c>
      <c r="U67" s="42" t="s">
        <v>352</v>
      </c>
      <c r="V67" s="42" t="s">
        <v>352</v>
      </c>
      <c r="W67" s="42" t="s">
        <v>352</v>
      </c>
      <c r="X67" s="42" t="s">
        <v>352</v>
      </c>
      <c r="Y67" s="42" t="s">
        <v>352</v>
      </c>
      <c r="Z67" s="122">
        <v>15.6</v>
      </c>
      <c r="AA67" s="124" t="s">
        <v>351</v>
      </c>
      <c r="AB67" s="124" t="s">
        <v>351</v>
      </c>
      <c r="AC67" s="145" t="s">
        <v>351</v>
      </c>
      <c r="AD67" s="42" t="s">
        <v>352</v>
      </c>
      <c r="AE67" s="42" t="s">
        <v>352</v>
      </c>
      <c r="AF67" s="147" t="s">
        <v>351</v>
      </c>
      <c r="AG67" s="148" t="s">
        <v>351</v>
      </c>
      <c r="AH67" s="149" t="s">
        <v>351</v>
      </c>
      <c r="AI67" s="149" t="s">
        <v>351</v>
      </c>
      <c r="AJ67" s="150">
        <v>9.69</v>
      </c>
      <c r="AK67" s="152">
        <v>457.32</v>
      </c>
      <c r="AL67" s="159" t="s">
        <v>351</v>
      </c>
      <c r="AM67" s="123" t="s">
        <v>351</v>
      </c>
      <c r="AN67" s="122">
        <v>1.0340649868652581</v>
      </c>
      <c r="AO67" s="122">
        <v>0.56140969055943524</v>
      </c>
      <c r="AP67" s="59" t="s">
        <v>351</v>
      </c>
      <c r="AQ67" s="160">
        <v>715.36</v>
      </c>
      <c r="AR67" s="161">
        <v>631.33000000000004</v>
      </c>
      <c r="AS67" s="200">
        <v>7.6462072274196588E-2</v>
      </c>
      <c r="AT67" s="42" t="s">
        <v>352</v>
      </c>
      <c r="AU67" s="42" t="s">
        <v>352</v>
      </c>
      <c r="AV67" s="164">
        <v>482.16678255855368</v>
      </c>
      <c r="AW67" s="164">
        <v>13.11982279240407</v>
      </c>
      <c r="AX67" s="164">
        <v>7.31</v>
      </c>
      <c r="AY67" s="42" t="s">
        <v>352</v>
      </c>
      <c r="AZ67" s="165">
        <v>0.28999999999999998</v>
      </c>
      <c r="BA67" s="42" t="s">
        <v>352</v>
      </c>
      <c r="BB67" s="42" t="s">
        <v>352</v>
      </c>
      <c r="BC67" s="42" t="s">
        <v>352</v>
      </c>
      <c r="BD67" s="42" t="s">
        <v>352</v>
      </c>
      <c r="BE67" s="200">
        <v>0.01</v>
      </c>
      <c r="BF67" s="200">
        <v>10.18</v>
      </c>
      <c r="BG67" s="168">
        <v>17.420000000000002</v>
      </c>
      <c r="BH67" s="171">
        <v>16.13</v>
      </c>
      <c r="BI67" s="42" t="s">
        <v>352</v>
      </c>
      <c r="BJ67" s="42" t="s">
        <v>352</v>
      </c>
      <c r="BK67" s="42" t="s">
        <v>352</v>
      </c>
      <c r="BL67" s="162">
        <v>71.113777429105426</v>
      </c>
      <c r="BM67" s="162">
        <v>170.65460670527699</v>
      </c>
      <c r="BN67" s="162">
        <v>59.023050831814302</v>
      </c>
      <c r="BO67" s="42" t="s">
        <v>352</v>
      </c>
      <c r="BP67" s="42" t="s">
        <v>352</v>
      </c>
      <c r="BQ67" s="42" t="s">
        <v>352</v>
      </c>
      <c r="BR67" s="182" t="s">
        <v>358</v>
      </c>
      <c r="BS67" s="126">
        <v>45.61</v>
      </c>
      <c r="BT67" s="186" t="s">
        <v>353</v>
      </c>
      <c r="BU67" s="131">
        <v>43.89</v>
      </c>
      <c r="BV67" s="42" t="s">
        <v>352</v>
      </c>
      <c r="BW67" s="42" t="s">
        <v>352</v>
      </c>
      <c r="BX67" s="42" t="s">
        <v>352</v>
      </c>
      <c r="BY67" s="42" t="s">
        <v>352</v>
      </c>
      <c r="BZ67" s="190" t="s">
        <v>359</v>
      </c>
      <c r="CA67" s="190" t="s">
        <v>359</v>
      </c>
      <c r="CB67" s="198" t="s">
        <v>355</v>
      </c>
      <c r="CC67" s="39">
        <v>46.147811440042453</v>
      </c>
      <c r="CD67" s="42" t="s">
        <v>352</v>
      </c>
    </row>
    <row r="68" spans="1:82">
      <c r="A68" s="3" t="s">
        <v>418</v>
      </c>
      <c r="B68" s="3" t="s">
        <v>418</v>
      </c>
      <c r="C68" s="27" t="s">
        <v>349</v>
      </c>
      <c r="D68" s="3" t="s">
        <v>431</v>
      </c>
      <c r="E68" s="29">
        <v>8301</v>
      </c>
      <c r="F68" s="6" t="s">
        <v>433</v>
      </c>
      <c r="G68" s="4">
        <v>8306</v>
      </c>
      <c r="H68" s="10">
        <v>251.061082</v>
      </c>
      <c r="I68" s="42" t="s">
        <v>352</v>
      </c>
      <c r="J68" s="41">
        <v>1751.963698</v>
      </c>
      <c r="K68" s="42" t="s">
        <v>352</v>
      </c>
      <c r="L68" s="119">
        <v>82.5</v>
      </c>
      <c r="M68" s="120">
        <v>99.75</v>
      </c>
      <c r="N68" s="42" t="s">
        <v>352</v>
      </c>
      <c r="O68" s="60">
        <v>943.43</v>
      </c>
      <c r="P68" s="42" t="s">
        <v>352</v>
      </c>
      <c r="Q68" s="60">
        <v>580.34</v>
      </c>
      <c r="R68" s="122">
        <v>0.99</v>
      </c>
      <c r="S68" s="62">
        <v>588.47</v>
      </c>
      <c r="T68" s="42" t="s">
        <v>352</v>
      </c>
      <c r="U68" s="42" t="s">
        <v>352</v>
      </c>
      <c r="V68" s="42" t="s">
        <v>352</v>
      </c>
      <c r="W68" s="42" t="s">
        <v>352</v>
      </c>
      <c r="X68" s="42" t="s">
        <v>352</v>
      </c>
      <c r="Y68" s="42" t="s">
        <v>352</v>
      </c>
      <c r="Z68" s="122">
        <v>7.89</v>
      </c>
      <c r="AA68" s="124" t="s">
        <v>351</v>
      </c>
      <c r="AB68" s="124" t="s">
        <v>351</v>
      </c>
      <c r="AC68" s="145" t="s">
        <v>351</v>
      </c>
      <c r="AD68" s="42" t="s">
        <v>352</v>
      </c>
      <c r="AE68" s="42" t="s">
        <v>352</v>
      </c>
      <c r="AF68" s="147" t="s">
        <v>351</v>
      </c>
      <c r="AG68" s="148" t="s">
        <v>351</v>
      </c>
      <c r="AH68" s="149" t="s">
        <v>351</v>
      </c>
      <c r="AI68" s="149" t="s">
        <v>351</v>
      </c>
      <c r="AJ68" s="150">
        <v>14.35</v>
      </c>
      <c r="AK68" s="152">
        <v>401.72</v>
      </c>
      <c r="AL68" s="159" t="s">
        <v>351</v>
      </c>
      <c r="AM68" s="123" t="s">
        <v>351</v>
      </c>
      <c r="AN68" s="122">
        <v>0.6800180814056328</v>
      </c>
      <c r="AO68" s="122">
        <v>7.0607396882878357E-2</v>
      </c>
      <c r="AP68" s="59">
        <v>2.5099999999999998</v>
      </c>
      <c r="AQ68" s="160">
        <v>416.62</v>
      </c>
      <c r="AR68" s="161">
        <v>362.42</v>
      </c>
      <c r="AS68" s="200">
        <v>6.475384050346121E-2</v>
      </c>
      <c r="AT68" s="42" t="s">
        <v>352</v>
      </c>
      <c r="AU68" s="42" t="s">
        <v>352</v>
      </c>
      <c r="AV68" s="164">
        <v>371.17205755749598</v>
      </c>
      <c r="AW68" s="164">
        <v>10.82496413199426</v>
      </c>
      <c r="AX68" s="164">
        <v>43.58</v>
      </c>
      <c r="AY68" s="42" t="s">
        <v>352</v>
      </c>
      <c r="AZ68" s="165">
        <v>0.14000000000000001</v>
      </c>
      <c r="BA68" s="42" t="s">
        <v>352</v>
      </c>
      <c r="BB68" s="42" t="s">
        <v>352</v>
      </c>
      <c r="BC68" s="42" t="s">
        <v>352</v>
      </c>
      <c r="BD68" s="42" t="s">
        <v>352</v>
      </c>
      <c r="BE68" s="200">
        <v>0</v>
      </c>
      <c r="BF68" s="200">
        <v>0</v>
      </c>
      <c r="BG68" s="168">
        <v>17.350000000000001</v>
      </c>
      <c r="BH68" s="171">
        <v>25.73</v>
      </c>
      <c r="BI68" s="42" t="s">
        <v>352</v>
      </c>
      <c r="BJ68" s="42" t="s">
        <v>352</v>
      </c>
      <c r="BK68" s="42" t="s">
        <v>352</v>
      </c>
      <c r="BL68" s="162">
        <v>42.682926829268297</v>
      </c>
      <c r="BM68" s="162">
        <v>76.398852223816363</v>
      </c>
      <c r="BN68" s="162">
        <v>54.160688665710182</v>
      </c>
      <c r="BO68" s="42" t="s">
        <v>352</v>
      </c>
      <c r="BP68" s="42" t="s">
        <v>352</v>
      </c>
      <c r="BQ68" s="42" t="s">
        <v>352</v>
      </c>
      <c r="BR68" s="182" t="s">
        <v>358</v>
      </c>
      <c r="BS68" s="126">
        <v>39.299999999999997</v>
      </c>
      <c r="BT68" s="186" t="s">
        <v>353</v>
      </c>
      <c r="BU68" s="131">
        <v>60.69</v>
      </c>
      <c r="BV68" s="42" t="s">
        <v>352</v>
      </c>
      <c r="BW68" s="42" t="s">
        <v>352</v>
      </c>
      <c r="BX68" s="42" t="s">
        <v>352</v>
      </c>
      <c r="BY68" s="42" t="s">
        <v>352</v>
      </c>
      <c r="BZ68" s="190" t="s">
        <v>359</v>
      </c>
      <c r="CA68" s="190" t="s">
        <v>359</v>
      </c>
      <c r="CB68" s="198" t="s">
        <v>353</v>
      </c>
      <c r="CC68" s="39">
        <v>824.96413199426115</v>
      </c>
      <c r="CD68" s="42" t="s">
        <v>352</v>
      </c>
    </row>
    <row r="69" spans="1:82">
      <c r="A69" s="3" t="s">
        <v>434</v>
      </c>
      <c r="B69" s="3" t="s">
        <v>435</v>
      </c>
      <c r="C69" s="27" t="s">
        <v>349</v>
      </c>
      <c r="D69" s="3" t="s">
        <v>436</v>
      </c>
      <c r="E69" s="29">
        <v>9001</v>
      </c>
      <c r="F69" s="3" t="s">
        <v>437</v>
      </c>
      <c r="G69" s="4">
        <v>9101</v>
      </c>
      <c r="H69" s="10">
        <v>254.43463399999999</v>
      </c>
      <c r="I69" s="42" t="s">
        <v>352</v>
      </c>
      <c r="J69" s="41">
        <v>850.51927499999999</v>
      </c>
      <c r="K69" s="42" t="s">
        <v>352</v>
      </c>
      <c r="L69" s="119">
        <v>83.15</v>
      </c>
      <c r="M69" s="120">
        <v>87.1</v>
      </c>
      <c r="N69" s="42" t="s">
        <v>352</v>
      </c>
      <c r="O69" s="60">
        <v>1233.79</v>
      </c>
      <c r="P69" s="42" t="s">
        <v>352</v>
      </c>
      <c r="Q69" s="60">
        <v>811.83</v>
      </c>
      <c r="R69" s="122">
        <v>0.9</v>
      </c>
      <c r="S69" s="62">
        <v>610.74</v>
      </c>
      <c r="T69" s="42" t="s">
        <v>352</v>
      </c>
      <c r="U69" s="42" t="s">
        <v>352</v>
      </c>
      <c r="V69" s="42" t="s">
        <v>352</v>
      </c>
      <c r="W69" s="42" t="s">
        <v>352</v>
      </c>
      <c r="X69" s="42" t="s">
        <v>352</v>
      </c>
      <c r="Y69" s="42" t="s">
        <v>352</v>
      </c>
      <c r="Z69" s="122">
        <v>23.62</v>
      </c>
      <c r="AA69" s="136">
        <v>1.1299999999999999</v>
      </c>
      <c r="AB69" s="125">
        <v>36.799999999999997</v>
      </c>
      <c r="AC69" s="144">
        <v>62.4</v>
      </c>
      <c r="AD69" s="42" t="s">
        <v>352</v>
      </c>
      <c r="AE69" s="42" t="s">
        <v>352</v>
      </c>
      <c r="AF69" s="134">
        <v>10.79</v>
      </c>
      <c r="AG69" s="134">
        <v>14.44</v>
      </c>
      <c r="AH69" s="134">
        <v>17.39</v>
      </c>
      <c r="AI69" s="134">
        <v>7.06</v>
      </c>
      <c r="AJ69" s="150">
        <v>5.66</v>
      </c>
      <c r="AK69" s="152">
        <v>407.83</v>
      </c>
      <c r="AL69" s="123">
        <v>8.15</v>
      </c>
      <c r="AM69" s="123">
        <v>2.74</v>
      </c>
      <c r="AN69" s="122">
        <v>1.0066794822756444</v>
      </c>
      <c r="AO69" s="122">
        <v>2.0898771630315505</v>
      </c>
      <c r="AP69" s="59">
        <v>6.22</v>
      </c>
      <c r="AQ69" s="160">
        <v>722.08</v>
      </c>
      <c r="AR69" s="161">
        <v>577.66</v>
      </c>
      <c r="AS69" s="200">
        <v>6.0759579882527247E-2</v>
      </c>
      <c r="AT69" s="42" t="s">
        <v>352</v>
      </c>
      <c r="AU69" s="42" t="s">
        <v>352</v>
      </c>
      <c r="AV69" s="164">
        <v>636.75448046224653</v>
      </c>
      <c r="AW69" s="164">
        <v>21.628445402470913</v>
      </c>
      <c r="AX69" s="164">
        <v>5.85</v>
      </c>
      <c r="AY69" s="42" t="s">
        <v>352</v>
      </c>
      <c r="AZ69" s="165">
        <v>0.82</v>
      </c>
      <c r="BA69" s="42" t="s">
        <v>352</v>
      </c>
      <c r="BB69" s="42" t="s">
        <v>352</v>
      </c>
      <c r="BC69" s="42" t="s">
        <v>352</v>
      </c>
      <c r="BD69" s="42" t="s">
        <v>352</v>
      </c>
      <c r="BE69" s="200">
        <v>0</v>
      </c>
      <c r="BF69" s="200">
        <v>0</v>
      </c>
      <c r="BG69" s="168">
        <v>10.37</v>
      </c>
      <c r="BH69" s="171">
        <v>16.510000000000002</v>
      </c>
      <c r="BI69" s="42" t="s">
        <v>352</v>
      </c>
      <c r="BJ69" s="42" t="s">
        <v>352</v>
      </c>
      <c r="BK69" s="42" t="s">
        <v>352</v>
      </c>
      <c r="BL69" s="162">
        <v>92.010458455581514</v>
      </c>
      <c r="BM69" s="162">
        <v>224.17153996101362</v>
      </c>
      <c r="BN69" s="162">
        <v>76.808441277634742</v>
      </c>
      <c r="BO69" s="42" t="s">
        <v>352</v>
      </c>
      <c r="BP69" s="42" t="s">
        <v>352</v>
      </c>
      <c r="BQ69" s="42" t="s">
        <v>352</v>
      </c>
      <c r="BR69" s="182" t="s">
        <v>358</v>
      </c>
      <c r="BS69" s="126">
        <v>17.809999999999999</v>
      </c>
      <c r="BT69" s="186" t="s">
        <v>353</v>
      </c>
      <c r="BU69" s="131">
        <v>38.03</v>
      </c>
      <c r="BV69" s="42" t="s">
        <v>352</v>
      </c>
      <c r="BW69" s="42" t="s">
        <v>352</v>
      </c>
      <c r="BX69" s="42" t="s">
        <v>352</v>
      </c>
      <c r="BY69" s="42" t="s">
        <v>352</v>
      </c>
      <c r="BZ69" s="190" t="s">
        <v>359</v>
      </c>
      <c r="CA69" s="190" t="s">
        <v>359</v>
      </c>
      <c r="CB69" s="198" t="s">
        <v>351</v>
      </c>
      <c r="CC69" s="39" t="s">
        <v>351</v>
      </c>
      <c r="CD69" s="42" t="s">
        <v>352</v>
      </c>
    </row>
    <row r="70" spans="1:82">
      <c r="A70" s="3" t="s">
        <v>434</v>
      </c>
      <c r="B70" s="3" t="s">
        <v>435</v>
      </c>
      <c r="C70" s="27" t="s">
        <v>349</v>
      </c>
      <c r="D70" s="3" t="s">
        <v>436</v>
      </c>
      <c r="E70" s="29">
        <v>9001</v>
      </c>
      <c r="F70" s="3" t="s">
        <v>438</v>
      </c>
      <c r="G70" s="4">
        <v>9112</v>
      </c>
      <c r="H70" s="10">
        <v>238.70304200000001</v>
      </c>
      <c r="I70" s="42" t="s">
        <v>352</v>
      </c>
      <c r="J70" s="41">
        <v>1157.62943</v>
      </c>
      <c r="K70" s="42" t="s">
        <v>352</v>
      </c>
      <c r="L70" s="119">
        <v>84.94</v>
      </c>
      <c r="M70" s="120">
        <v>92.75</v>
      </c>
      <c r="N70" s="42" t="s">
        <v>352</v>
      </c>
      <c r="O70" s="60">
        <v>746.17</v>
      </c>
      <c r="P70" s="42" t="s">
        <v>352</v>
      </c>
      <c r="Q70" s="60">
        <v>603.55999999999995</v>
      </c>
      <c r="R70" s="122">
        <v>0.68</v>
      </c>
      <c r="S70" s="62">
        <v>497.71</v>
      </c>
      <c r="T70" s="42" t="s">
        <v>352</v>
      </c>
      <c r="U70" s="42" t="s">
        <v>352</v>
      </c>
      <c r="V70" s="42" t="s">
        <v>352</v>
      </c>
      <c r="W70" s="42" t="s">
        <v>352</v>
      </c>
      <c r="X70" s="42" t="s">
        <v>352</v>
      </c>
      <c r="Y70" s="42" t="s">
        <v>352</v>
      </c>
      <c r="Z70" s="122">
        <v>14.44</v>
      </c>
      <c r="AA70" s="136">
        <v>1.25</v>
      </c>
      <c r="AB70" s="125">
        <v>31.3</v>
      </c>
      <c r="AC70" s="144">
        <v>68.2</v>
      </c>
      <c r="AD70" s="42" t="s">
        <v>352</v>
      </c>
      <c r="AE70" s="42" t="s">
        <v>352</v>
      </c>
      <c r="AF70" s="134">
        <v>11.81</v>
      </c>
      <c r="AG70" s="134">
        <v>17.899999999999999</v>
      </c>
      <c r="AH70" s="134">
        <v>20.149999999999999</v>
      </c>
      <c r="AI70" s="134">
        <v>9.99</v>
      </c>
      <c r="AJ70" s="150">
        <v>17.260000000000002</v>
      </c>
      <c r="AK70" s="152">
        <v>376.07</v>
      </c>
      <c r="AL70" s="123">
        <v>11.66</v>
      </c>
      <c r="AM70" s="123">
        <v>4.2699999999999996</v>
      </c>
      <c r="AN70" s="122">
        <v>0.58800855959582277</v>
      </c>
      <c r="AO70" s="162">
        <v>0</v>
      </c>
      <c r="AP70" s="59">
        <v>2.84</v>
      </c>
      <c r="AQ70" s="160">
        <v>441.4</v>
      </c>
      <c r="AR70" s="161">
        <v>298.07</v>
      </c>
      <c r="AS70" s="122" t="s">
        <v>351</v>
      </c>
      <c r="AT70" s="42" t="s">
        <v>352</v>
      </c>
      <c r="AU70" s="42" t="s">
        <v>352</v>
      </c>
      <c r="AV70" s="164">
        <v>228.66194558330227</v>
      </c>
      <c r="AW70" s="164">
        <v>4.5387849718252546</v>
      </c>
      <c r="AX70" s="164">
        <v>24.61</v>
      </c>
      <c r="AY70" s="42" t="s">
        <v>352</v>
      </c>
      <c r="AZ70" s="165">
        <v>0.26</v>
      </c>
      <c r="BA70" s="42" t="s">
        <v>352</v>
      </c>
      <c r="BB70" s="42" t="s">
        <v>352</v>
      </c>
      <c r="BC70" s="42" t="s">
        <v>352</v>
      </c>
      <c r="BD70" s="42" t="s">
        <v>352</v>
      </c>
      <c r="BE70" s="200">
        <v>0</v>
      </c>
      <c r="BF70" s="200">
        <v>0</v>
      </c>
      <c r="BG70" s="168">
        <v>19.62</v>
      </c>
      <c r="BH70" s="171">
        <v>36.159999999999997</v>
      </c>
      <c r="BI70" s="42" t="s">
        <v>352</v>
      </c>
      <c r="BJ70" s="42" t="s">
        <v>352</v>
      </c>
      <c r="BK70" s="42" t="s">
        <v>352</v>
      </c>
      <c r="BL70" s="162">
        <v>42.169640325026819</v>
      </c>
      <c r="BM70" s="162">
        <v>74.475037299170168</v>
      </c>
      <c r="BN70" s="162">
        <v>66.213733492805275</v>
      </c>
      <c r="BO70" s="42" t="s">
        <v>352</v>
      </c>
      <c r="BP70" s="42" t="s">
        <v>352</v>
      </c>
      <c r="BQ70" s="42" t="s">
        <v>352</v>
      </c>
      <c r="BR70" s="182" t="s">
        <v>358</v>
      </c>
      <c r="BS70" s="126">
        <v>4.1900000000000004</v>
      </c>
      <c r="BT70" s="186" t="s">
        <v>355</v>
      </c>
      <c r="BU70" s="131">
        <v>64.069999999999993</v>
      </c>
      <c r="BV70" s="42" t="s">
        <v>352</v>
      </c>
      <c r="BW70" s="42" t="s">
        <v>352</v>
      </c>
      <c r="BX70" s="42" t="s">
        <v>352</v>
      </c>
      <c r="BY70" s="42" t="s">
        <v>352</v>
      </c>
      <c r="BZ70" s="190" t="s">
        <v>359</v>
      </c>
      <c r="CA70" s="190" t="s">
        <v>359</v>
      </c>
      <c r="CB70" s="198" t="s">
        <v>355</v>
      </c>
      <c r="CC70" s="39">
        <v>2923.7852307616431</v>
      </c>
      <c r="CD70" s="42" t="s">
        <v>352</v>
      </c>
    </row>
    <row r="71" spans="1:82">
      <c r="A71" s="3" t="s">
        <v>434</v>
      </c>
      <c r="B71" s="5" t="s">
        <v>435</v>
      </c>
      <c r="C71" s="27" t="s">
        <v>349</v>
      </c>
      <c r="D71" s="5" t="s">
        <v>439</v>
      </c>
      <c r="E71" s="29">
        <v>9120</v>
      </c>
      <c r="F71" s="5" t="s">
        <v>439</v>
      </c>
      <c r="G71" s="4">
        <v>9120</v>
      </c>
      <c r="H71" s="10">
        <v>375.10951799999998</v>
      </c>
      <c r="I71" s="42" t="s">
        <v>352</v>
      </c>
      <c r="J71" s="41">
        <v>1904.614511</v>
      </c>
      <c r="K71" s="42" t="s">
        <v>352</v>
      </c>
      <c r="L71" s="119">
        <v>65.56</v>
      </c>
      <c r="M71" s="120">
        <v>78.73</v>
      </c>
      <c r="N71" s="42" t="s">
        <v>352</v>
      </c>
      <c r="O71" s="60">
        <v>790.52</v>
      </c>
      <c r="P71" s="42" t="s">
        <v>352</v>
      </c>
      <c r="Q71" s="60">
        <v>592.99</v>
      </c>
      <c r="R71" s="122">
        <v>1.2</v>
      </c>
      <c r="S71" s="62">
        <v>657.2</v>
      </c>
      <c r="T71" s="42" t="s">
        <v>352</v>
      </c>
      <c r="U71" s="42" t="s">
        <v>352</v>
      </c>
      <c r="V71" s="42" t="s">
        <v>352</v>
      </c>
      <c r="W71" s="42" t="s">
        <v>352</v>
      </c>
      <c r="X71" s="42" t="s">
        <v>352</v>
      </c>
      <c r="Y71" s="42" t="s">
        <v>352</v>
      </c>
      <c r="Z71" s="122">
        <v>6.41</v>
      </c>
      <c r="AA71" s="133" t="s">
        <v>351</v>
      </c>
      <c r="AB71" s="124" t="s">
        <v>351</v>
      </c>
      <c r="AC71" s="145" t="s">
        <v>351</v>
      </c>
      <c r="AD71" s="42" t="s">
        <v>352</v>
      </c>
      <c r="AE71" s="42" t="s">
        <v>352</v>
      </c>
      <c r="AF71" s="147" t="s">
        <v>351</v>
      </c>
      <c r="AG71" s="148" t="s">
        <v>351</v>
      </c>
      <c r="AH71" s="149" t="s">
        <v>351</v>
      </c>
      <c r="AI71" s="149" t="s">
        <v>351</v>
      </c>
      <c r="AJ71" s="150">
        <v>15.37</v>
      </c>
      <c r="AK71" s="152">
        <v>742.65</v>
      </c>
      <c r="AL71" s="159" t="s">
        <v>351</v>
      </c>
      <c r="AM71" s="123" t="s">
        <v>351</v>
      </c>
      <c r="AN71" s="122">
        <v>0.81358272476778004</v>
      </c>
      <c r="AO71" s="122">
        <v>1.2400188414762183</v>
      </c>
      <c r="AP71" s="59" t="s">
        <v>351</v>
      </c>
      <c r="AQ71" s="160">
        <v>777.21</v>
      </c>
      <c r="AR71" s="161">
        <v>684.47</v>
      </c>
      <c r="AS71" s="122" t="s">
        <v>351</v>
      </c>
      <c r="AT71" s="42" t="s">
        <v>352</v>
      </c>
      <c r="AU71" s="42" t="s">
        <v>352</v>
      </c>
      <c r="AV71" s="164">
        <v>225.00145424931651</v>
      </c>
      <c r="AW71" s="164">
        <v>6.6036125243282005</v>
      </c>
      <c r="AX71" s="164">
        <v>50.08</v>
      </c>
      <c r="AY71" s="42" t="s">
        <v>352</v>
      </c>
      <c r="AZ71" s="165">
        <v>0.14000000000000001</v>
      </c>
      <c r="BA71" s="42" t="s">
        <v>352</v>
      </c>
      <c r="BB71" s="42" t="s">
        <v>352</v>
      </c>
      <c r="BC71" s="42" t="s">
        <v>352</v>
      </c>
      <c r="BD71" s="42" t="s">
        <v>352</v>
      </c>
      <c r="BE71" s="200">
        <v>0</v>
      </c>
      <c r="BF71" s="200">
        <v>0</v>
      </c>
      <c r="BG71" s="168">
        <v>12.51</v>
      </c>
      <c r="BH71" s="171">
        <v>27.53</v>
      </c>
      <c r="BI71" s="42" t="s">
        <v>352</v>
      </c>
      <c r="BJ71" s="42" t="s">
        <v>352</v>
      </c>
      <c r="BK71" s="42" t="s">
        <v>352</v>
      </c>
      <c r="BL71" s="162">
        <v>55.656093147130129</v>
      </c>
      <c r="BM71" s="162">
        <v>151.43237613958414</v>
      </c>
      <c r="BN71" s="162">
        <v>80.92327653907877</v>
      </c>
      <c r="BO71" s="42" t="s">
        <v>352</v>
      </c>
      <c r="BP71" s="42" t="s">
        <v>352</v>
      </c>
      <c r="BQ71" s="42" t="s">
        <v>352</v>
      </c>
      <c r="BR71" s="182" t="s">
        <v>358</v>
      </c>
      <c r="BS71" s="126">
        <v>31.94</v>
      </c>
      <c r="BT71" s="186" t="s">
        <v>353</v>
      </c>
      <c r="BU71" s="131">
        <v>40.950000000000003</v>
      </c>
      <c r="BV71" s="42" t="s">
        <v>352</v>
      </c>
      <c r="BW71" s="42" t="s">
        <v>352</v>
      </c>
      <c r="BX71" s="42" t="s">
        <v>352</v>
      </c>
      <c r="BY71" s="42" t="s">
        <v>352</v>
      </c>
      <c r="BZ71" s="190" t="s">
        <v>359</v>
      </c>
      <c r="CA71" s="190" t="s">
        <v>359</v>
      </c>
      <c r="CB71" s="198" t="s">
        <v>355</v>
      </c>
      <c r="CC71" s="39">
        <v>0</v>
      </c>
      <c r="CD71" s="42" t="s">
        <v>352</v>
      </c>
    </row>
    <row r="72" spans="1:82">
      <c r="A72" s="3" t="s">
        <v>434</v>
      </c>
      <c r="B72" s="5" t="s">
        <v>440</v>
      </c>
      <c r="C72" s="27" t="s">
        <v>349</v>
      </c>
      <c r="D72" s="5" t="s">
        <v>441</v>
      </c>
      <c r="E72" s="29">
        <v>9201</v>
      </c>
      <c r="F72" s="5" t="s">
        <v>441</v>
      </c>
      <c r="G72" s="4">
        <v>9201</v>
      </c>
      <c r="H72" s="10">
        <v>341.13374700000003</v>
      </c>
      <c r="I72" s="42" t="s">
        <v>352</v>
      </c>
      <c r="J72" s="41">
        <v>1913.042942</v>
      </c>
      <c r="K72" s="42" t="s">
        <v>352</v>
      </c>
      <c r="L72" s="119">
        <v>75.040000000000006</v>
      </c>
      <c r="M72" s="120">
        <v>86.78</v>
      </c>
      <c r="N72" s="42" t="s">
        <v>352</v>
      </c>
      <c r="O72" s="60">
        <v>1057.31</v>
      </c>
      <c r="P72" s="42" t="s">
        <v>352</v>
      </c>
      <c r="Q72" s="60">
        <v>787.73</v>
      </c>
      <c r="R72" s="122">
        <v>0.95</v>
      </c>
      <c r="S72" s="62">
        <v>385.66</v>
      </c>
      <c r="T72" s="42" t="s">
        <v>352</v>
      </c>
      <c r="U72" s="42" t="s">
        <v>352</v>
      </c>
      <c r="V72" s="42" t="s">
        <v>352</v>
      </c>
      <c r="W72" s="42" t="s">
        <v>352</v>
      </c>
      <c r="X72" s="42" t="s">
        <v>352</v>
      </c>
      <c r="Y72" s="42" t="s">
        <v>352</v>
      </c>
      <c r="Z72" s="122">
        <v>4.24</v>
      </c>
      <c r="AA72" s="133" t="s">
        <v>351</v>
      </c>
      <c r="AB72" s="124" t="s">
        <v>351</v>
      </c>
      <c r="AC72" s="145" t="s">
        <v>351</v>
      </c>
      <c r="AD72" s="42" t="s">
        <v>352</v>
      </c>
      <c r="AE72" s="42" t="s">
        <v>352</v>
      </c>
      <c r="AF72" s="147" t="s">
        <v>351</v>
      </c>
      <c r="AG72" s="148" t="s">
        <v>351</v>
      </c>
      <c r="AH72" s="149" t="s">
        <v>351</v>
      </c>
      <c r="AI72" s="149" t="s">
        <v>351</v>
      </c>
      <c r="AJ72" s="150">
        <v>12.55</v>
      </c>
      <c r="AK72" s="152">
        <v>509.32</v>
      </c>
      <c r="AL72" s="159" t="s">
        <v>351</v>
      </c>
      <c r="AM72" s="123" t="s">
        <v>351</v>
      </c>
      <c r="AN72" s="122">
        <v>0.78391461798925111</v>
      </c>
      <c r="AO72" s="122">
        <v>0.34304549827358627</v>
      </c>
      <c r="AP72" s="59" t="s">
        <v>351</v>
      </c>
      <c r="AQ72" s="160">
        <v>680.47</v>
      </c>
      <c r="AR72" s="161">
        <v>328.83</v>
      </c>
      <c r="AS72" s="122" t="s">
        <v>351</v>
      </c>
      <c r="AT72" s="42" t="s">
        <v>352</v>
      </c>
      <c r="AU72" s="42" t="s">
        <v>352</v>
      </c>
      <c r="AV72" s="164">
        <v>302.67965895249694</v>
      </c>
      <c r="AW72" s="164">
        <v>9.804343537597962</v>
      </c>
      <c r="AX72" s="164">
        <v>13.9</v>
      </c>
      <c r="AY72" s="42" t="s">
        <v>352</v>
      </c>
      <c r="AZ72" s="166" t="s">
        <v>351</v>
      </c>
      <c r="BA72" s="42" t="s">
        <v>352</v>
      </c>
      <c r="BB72" s="42" t="s">
        <v>352</v>
      </c>
      <c r="BC72" s="42" t="s">
        <v>352</v>
      </c>
      <c r="BD72" s="42" t="s">
        <v>352</v>
      </c>
      <c r="BE72" s="200">
        <v>0.14000000000000001</v>
      </c>
      <c r="BF72" s="200">
        <v>21.08</v>
      </c>
      <c r="BG72" s="168">
        <v>15.56</v>
      </c>
      <c r="BH72" s="171">
        <v>21.27</v>
      </c>
      <c r="BI72" s="42" t="s">
        <v>352</v>
      </c>
      <c r="BJ72" s="42" t="s">
        <v>352</v>
      </c>
      <c r="BK72" s="42" t="s">
        <v>352</v>
      </c>
      <c r="BL72" s="162">
        <v>72.272735424400565</v>
      </c>
      <c r="BM72" s="162">
        <v>185.61360090385753</v>
      </c>
      <c r="BN72" s="162">
        <v>96.483205107512418</v>
      </c>
      <c r="BO72" s="42" t="s">
        <v>352</v>
      </c>
      <c r="BP72" s="42" t="s">
        <v>352</v>
      </c>
      <c r="BQ72" s="42" t="s">
        <v>352</v>
      </c>
      <c r="BR72" s="182" t="s">
        <v>358</v>
      </c>
      <c r="BS72" s="126">
        <v>5.37</v>
      </c>
      <c r="BT72" s="186" t="s">
        <v>353</v>
      </c>
      <c r="BU72" s="131">
        <v>68.48</v>
      </c>
      <c r="BV72" s="42" t="s">
        <v>352</v>
      </c>
      <c r="BW72" s="42" t="s">
        <v>352</v>
      </c>
      <c r="BX72" s="42" t="s">
        <v>352</v>
      </c>
      <c r="BY72" s="42" t="s">
        <v>352</v>
      </c>
      <c r="BZ72" s="190" t="s">
        <v>359</v>
      </c>
      <c r="CA72" s="190" t="s">
        <v>359</v>
      </c>
      <c r="CB72" s="198" t="s">
        <v>351</v>
      </c>
      <c r="CC72" s="39" t="s">
        <v>351</v>
      </c>
      <c r="CD72" s="42" t="s">
        <v>352</v>
      </c>
    </row>
    <row r="73" spans="1:82">
      <c r="A73" s="3" t="s">
        <v>442</v>
      </c>
      <c r="B73" s="3" t="s">
        <v>443</v>
      </c>
      <c r="C73" s="27" t="s">
        <v>349</v>
      </c>
      <c r="D73" s="3" t="s">
        <v>444</v>
      </c>
      <c r="E73" s="29">
        <v>10001</v>
      </c>
      <c r="F73" s="3" t="s">
        <v>445</v>
      </c>
      <c r="G73" s="4">
        <v>10101</v>
      </c>
      <c r="H73" s="10">
        <v>266.81770599999999</v>
      </c>
      <c r="I73" s="42" t="s">
        <v>352</v>
      </c>
      <c r="J73" s="41">
        <v>1194.143229</v>
      </c>
      <c r="K73" s="42" t="s">
        <v>352</v>
      </c>
      <c r="L73" s="119">
        <v>80.27</v>
      </c>
      <c r="M73" s="120">
        <v>91.8</v>
      </c>
      <c r="N73" s="42" t="s">
        <v>352</v>
      </c>
      <c r="O73" s="60">
        <v>1257.75</v>
      </c>
      <c r="P73" s="42" t="s">
        <v>352</v>
      </c>
      <c r="Q73" s="60">
        <v>659.22</v>
      </c>
      <c r="R73" s="122">
        <v>0.87</v>
      </c>
      <c r="S73" s="62">
        <v>478.76</v>
      </c>
      <c r="T73" s="42" t="s">
        <v>352</v>
      </c>
      <c r="U73" s="42" t="s">
        <v>352</v>
      </c>
      <c r="V73" s="42" t="s">
        <v>352</v>
      </c>
      <c r="W73" s="42" t="s">
        <v>352</v>
      </c>
      <c r="X73" s="42" t="s">
        <v>352</v>
      </c>
      <c r="Y73" s="42" t="s">
        <v>352</v>
      </c>
      <c r="Z73" s="122">
        <v>16.32</v>
      </c>
      <c r="AA73" s="136">
        <v>1</v>
      </c>
      <c r="AB73" s="125">
        <v>33.299999999999997</v>
      </c>
      <c r="AC73" s="144">
        <v>52.9</v>
      </c>
      <c r="AD73" s="42" t="s">
        <v>352</v>
      </c>
      <c r="AE73" s="42" t="s">
        <v>352</v>
      </c>
      <c r="AF73" s="134">
        <v>17.25</v>
      </c>
      <c r="AG73" s="134">
        <v>22.38</v>
      </c>
      <c r="AH73" s="134">
        <v>30.35</v>
      </c>
      <c r="AI73" s="134">
        <v>10.08</v>
      </c>
      <c r="AJ73" s="150">
        <v>8.65</v>
      </c>
      <c r="AK73" s="152">
        <v>301.27999999999997</v>
      </c>
      <c r="AL73" s="159" t="s">
        <v>351</v>
      </c>
      <c r="AM73" s="123" t="s">
        <v>351</v>
      </c>
      <c r="AN73" s="122">
        <v>0.99734156004439201</v>
      </c>
      <c r="AO73" s="162">
        <v>0</v>
      </c>
      <c r="AP73" s="59">
        <v>0.15</v>
      </c>
      <c r="AQ73" s="160">
        <v>749.6</v>
      </c>
      <c r="AR73" s="161">
        <v>726.83</v>
      </c>
      <c r="AS73" s="200">
        <v>5.279993879880646E-3</v>
      </c>
      <c r="AT73" s="42" t="s">
        <v>352</v>
      </c>
      <c r="AU73" s="42" t="s">
        <v>352</v>
      </c>
      <c r="AV73" s="164">
        <v>491.18167866839809</v>
      </c>
      <c r="AW73" s="164">
        <v>15.65016568683871</v>
      </c>
      <c r="AX73" s="164">
        <v>12.65</v>
      </c>
      <c r="AY73" s="42" t="s">
        <v>352</v>
      </c>
      <c r="AZ73" s="165">
        <v>0.52</v>
      </c>
      <c r="BA73" s="42" t="s">
        <v>352</v>
      </c>
      <c r="BB73" s="42" t="s">
        <v>352</v>
      </c>
      <c r="BC73" s="42" t="s">
        <v>352</v>
      </c>
      <c r="BD73" s="42" t="s">
        <v>352</v>
      </c>
      <c r="BE73" s="200">
        <v>0.43</v>
      </c>
      <c r="BF73" s="200">
        <v>20.61</v>
      </c>
      <c r="BG73" s="168">
        <v>11.42</v>
      </c>
      <c r="BH73" s="171">
        <v>20.34</v>
      </c>
      <c r="BI73" s="42" t="s">
        <v>352</v>
      </c>
      <c r="BJ73" s="42" t="s">
        <v>352</v>
      </c>
      <c r="BK73" s="42" t="s">
        <v>352</v>
      </c>
      <c r="BL73" s="162">
        <v>80.906331456426798</v>
      </c>
      <c r="BM73" s="162">
        <v>174.22507080714504</v>
      </c>
      <c r="BN73" s="162">
        <v>103.62479923870565</v>
      </c>
      <c r="BO73" s="42" t="s">
        <v>352</v>
      </c>
      <c r="BP73" s="42" t="s">
        <v>352</v>
      </c>
      <c r="BQ73" s="42" t="s">
        <v>352</v>
      </c>
      <c r="BR73" s="182" t="s">
        <v>602</v>
      </c>
      <c r="BS73" s="126">
        <v>19.649999999999999</v>
      </c>
      <c r="BT73" s="186" t="s">
        <v>353</v>
      </c>
      <c r="BU73" s="131">
        <v>34.380000000000003</v>
      </c>
      <c r="BV73" s="42" t="s">
        <v>352</v>
      </c>
      <c r="BW73" s="42" t="s">
        <v>352</v>
      </c>
      <c r="BX73" s="42" t="s">
        <v>352</v>
      </c>
      <c r="BY73" s="42" t="s">
        <v>352</v>
      </c>
      <c r="BZ73" s="191">
        <v>0</v>
      </c>
      <c r="CA73" s="191">
        <v>0</v>
      </c>
      <c r="CB73" s="198" t="s">
        <v>351</v>
      </c>
      <c r="CC73" s="39" t="s">
        <v>351</v>
      </c>
      <c r="CD73" s="42" t="s">
        <v>352</v>
      </c>
    </row>
    <row r="74" spans="1:82">
      <c r="A74" s="3" t="s">
        <v>442</v>
      </c>
      <c r="B74" s="3" t="s">
        <v>443</v>
      </c>
      <c r="C74" s="27" t="s">
        <v>349</v>
      </c>
      <c r="D74" s="3" t="s">
        <v>444</v>
      </c>
      <c r="E74" s="29">
        <v>10001</v>
      </c>
      <c r="F74" s="3" t="s">
        <v>446</v>
      </c>
      <c r="G74" s="4">
        <v>10109</v>
      </c>
      <c r="H74" s="10">
        <v>217.04552200000001</v>
      </c>
      <c r="I74" s="42" t="s">
        <v>352</v>
      </c>
      <c r="J74" s="41">
        <v>1184.571295</v>
      </c>
      <c r="K74" s="42" t="s">
        <v>352</v>
      </c>
      <c r="L74" s="119">
        <v>89.76</v>
      </c>
      <c r="M74" s="120">
        <v>89.31</v>
      </c>
      <c r="N74" s="42" t="s">
        <v>352</v>
      </c>
      <c r="O74" s="60">
        <v>892.4</v>
      </c>
      <c r="P74" s="42" t="s">
        <v>352</v>
      </c>
      <c r="Q74" s="60">
        <v>726.18</v>
      </c>
      <c r="R74" s="122">
        <v>0.74</v>
      </c>
      <c r="S74" s="62">
        <v>617.37</v>
      </c>
      <c r="T74" s="42" t="s">
        <v>352</v>
      </c>
      <c r="U74" s="42" t="s">
        <v>352</v>
      </c>
      <c r="V74" s="42" t="s">
        <v>352</v>
      </c>
      <c r="W74" s="42" t="s">
        <v>352</v>
      </c>
      <c r="X74" s="42" t="s">
        <v>352</v>
      </c>
      <c r="Y74" s="42" t="s">
        <v>352</v>
      </c>
      <c r="Z74" s="122">
        <v>9.5</v>
      </c>
      <c r="AA74" s="133" t="s">
        <v>351</v>
      </c>
      <c r="AB74" s="124" t="s">
        <v>351</v>
      </c>
      <c r="AC74" s="145" t="s">
        <v>351</v>
      </c>
      <c r="AD74" s="42" t="s">
        <v>352</v>
      </c>
      <c r="AE74" s="42" t="s">
        <v>352</v>
      </c>
      <c r="AF74" s="147" t="s">
        <v>351</v>
      </c>
      <c r="AG74" s="148" t="s">
        <v>351</v>
      </c>
      <c r="AH74" s="149" t="s">
        <v>351</v>
      </c>
      <c r="AI74" s="149" t="s">
        <v>351</v>
      </c>
      <c r="AJ74" s="150">
        <v>12.54</v>
      </c>
      <c r="AK74" s="152">
        <v>434.74</v>
      </c>
      <c r="AL74" s="159" t="s">
        <v>351</v>
      </c>
      <c r="AM74" s="123" t="s">
        <v>351</v>
      </c>
      <c r="AN74" s="122">
        <v>0.98630136986301364</v>
      </c>
      <c r="AO74" s="122">
        <v>0.42064745133742842</v>
      </c>
      <c r="AP74" s="59">
        <v>5.0199999999999996</v>
      </c>
      <c r="AQ74" s="160">
        <v>1081.08</v>
      </c>
      <c r="AR74" s="161">
        <v>1085.51</v>
      </c>
      <c r="AS74" s="200">
        <v>2.5404019120758392E-3</v>
      </c>
      <c r="AT74" s="42" t="s">
        <v>352</v>
      </c>
      <c r="AU74" s="42" t="s">
        <v>352</v>
      </c>
      <c r="AV74" s="164">
        <v>630.18139714395977</v>
      </c>
      <c r="AW74" s="164">
        <v>17.06343400564322</v>
      </c>
      <c r="AX74" s="164">
        <v>14.9</v>
      </c>
      <c r="AY74" s="42" t="s">
        <v>352</v>
      </c>
      <c r="AZ74" s="165">
        <v>0.15</v>
      </c>
      <c r="BA74" s="42" t="s">
        <v>352</v>
      </c>
      <c r="BB74" s="42" t="s">
        <v>352</v>
      </c>
      <c r="BC74" s="42" t="s">
        <v>352</v>
      </c>
      <c r="BD74" s="42" t="s">
        <v>352</v>
      </c>
      <c r="BE74" s="200">
        <v>0.25</v>
      </c>
      <c r="BF74" s="200">
        <v>28.88</v>
      </c>
      <c r="BG74" s="168">
        <v>5.87</v>
      </c>
      <c r="BH74" s="171">
        <v>21.09</v>
      </c>
      <c r="BI74" s="42" t="s">
        <v>352</v>
      </c>
      <c r="BJ74" s="42" t="s">
        <v>352</v>
      </c>
      <c r="BK74" s="42" t="s">
        <v>352</v>
      </c>
      <c r="BL74" s="162">
        <v>56.43222907304839</v>
      </c>
      <c r="BM74" s="162">
        <v>170.75974500992788</v>
      </c>
      <c r="BN74" s="162">
        <v>67.718674887658068</v>
      </c>
      <c r="BO74" s="42" t="s">
        <v>352</v>
      </c>
      <c r="BP74" s="42" t="s">
        <v>352</v>
      </c>
      <c r="BQ74" s="42" t="s">
        <v>352</v>
      </c>
      <c r="BR74" s="182" t="s">
        <v>358</v>
      </c>
      <c r="BS74" s="126">
        <v>47.37</v>
      </c>
      <c r="BT74" s="186" t="s">
        <v>355</v>
      </c>
      <c r="BU74" s="131">
        <v>14.27</v>
      </c>
      <c r="BV74" s="42" t="s">
        <v>352</v>
      </c>
      <c r="BW74" s="42" t="s">
        <v>352</v>
      </c>
      <c r="BX74" s="42" t="s">
        <v>352</v>
      </c>
      <c r="BY74" s="42" t="s">
        <v>352</v>
      </c>
      <c r="BZ74" s="191">
        <v>0</v>
      </c>
      <c r="CA74" s="191">
        <v>0</v>
      </c>
      <c r="CB74" s="198" t="s">
        <v>355</v>
      </c>
      <c r="CC74" s="39">
        <v>0</v>
      </c>
      <c r="CD74" s="42" t="s">
        <v>352</v>
      </c>
    </row>
    <row r="75" spans="1:82">
      <c r="A75" s="3" t="s">
        <v>442</v>
      </c>
      <c r="B75" s="5" t="s">
        <v>447</v>
      </c>
      <c r="C75" s="27" t="s">
        <v>349</v>
      </c>
      <c r="D75" s="5" t="s">
        <v>448</v>
      </c>
      <c r="E75" s="29">
        <v>10201</v>
      </c>
      <c r="F75" s="5" t="s">
        <v>448</v>
      </c>
      <c r="G75" s="4">
        <v>10201</v>
      </c>
      <c r="H75" s="10">
        <v>447.25456600000001</v>
      </c>
      <c r="I75" s="42" t="s">
        <v>352</v>
      </c>
      <c r="J75" s="41">
        <v>3076.7629630000001</v>
      </c>
      <c r="K75" s="42" t="s">
        <v>352</v>
      </c>
      <c r="L75" s="119">
        <v>65.7</v>
      </c>
      <c r="M75" s="120">
        <v>55.18</v>
      </c>
      <c r="N75" s="42" t="s">
        <v>352</v>
      </c>
      <c r="O75" s="60">
        <v>844.61</v>
      </c>
      <c r="P75" s="42" t="s">
        <v>352</v>
      </c>
      <c r="Q75" s="60">
        <v>749.78</v>
      </c>
      <c r="R75" s="122">
        <v>1.17</v>
      </c>
      <c r="S75" s="62">
        <v>456.22</v>
      </c>
      <c r="T75" s="42" t="s">
        <v>352</v>
      </c>
      <c r="U75" s="42" t="s">
        <v>352</v>
      </c>
      <c r="V75" s="42" t="s">
        <v>352</v>
      </c>
      <c r="W75" s="42" t="s">
        <v>352</v>
      </c>
      <c r="X75" s="42" t="s">
        <v>352</v>
      </c>
      <c r="Y75" s="42" t="s">
        <v>352</v>
      </c>
      <c r="Z75" s="122">
        <v>2.33</v>
      </c>
      <c r="AA75" s="133" t="s">
        <v>351</v>
      </c>
      <c r="AB75" s="124" t="s">
        <v>351</v>
      </c>
      <c r="AC75" s="145" t="s">
        <v>351</v>
      </c>
      <c r="AD75" s="42" t="s">
        <v>352</v>
      </c>
      <c r="AE75" s="42" t="s">
        <v>352</v>
      </c>
      <c r="AF75" s="147" t="s">
        <v>351</v>
      </c>
      <c r="AG75" s="148" t="s">
        <v>351</v>
      </c>
      <c r="AH75" s="149" t="s">
        <v>351</v>
      </c>
      <c r="AI75" s="149" t="s">
        <v>351</v>
      </c>
      <c r="AJ75" s="150">
        <v>10.59</v>
      </c>
      <c r="AK75" s="152">
        <v>387.6</v>
      </c>
      <c r="AL75" s="159" t="s">
        <v>351</v>
      </c>
      <c r="AM75" s="123" t="s">
        <v>351</v>
      </c>
      <c r="AN75" s="122">
        <v>1.8117025887956382</v>
      </c>
      <c r="AO75" s="162">
        <v>0</v>
      </c>
      <c r="AP75" s="59" t="s">
        <v>351</v>
      </c>
      <c r="AQ75" s="160">
        <v>815.03</v>
      </c>
      <c r="AR75" s="161">
        <v>521.74</v>
      </c>
      <c r="AS75" s="122" t="s">
        <v>351</v>
      </c>
      <c r="AT75" s="42" t="s">
        <v>352</v>
      </c>
      <c r="AU75" s="42" t="s">
        <v>352</v>
      </c>
      <c r="AV75" s="164">
        <v>536.79529479271275</v>
      </c>
      <c r="AW75" s="164">
        <v>15.851230567204643</v>
      </c>
      <c r="AX75" s="164">
        <v>10.69</v>
      </c>
      <c r="AY75" s="42" t="s">
        <v>352</v>
      </c>
      <c r="AZ75" s="165">
        <v>0.25</v>
      </c>
      <c r="BA75" s="42" t="s">
        <v>352</v>
      </c>
      <c r="BB75" s="42" t="s">
        <v>352</v>
      </c>
      <c r="BC75" s="42" t="s">
        <v>352</v>
      </c>
      <c r="BD75" s="42" t="s">
        <v>352</v>
      </c>
      <c r="BE75" s="200">
        <v>0.3</v>
      </c>
      <c r="BF75" s="200">
        <v>15.05</v>
      </c>
      <c r="BG75" s="168">
        <v>10.130000000000001</v>
      </c>
      <c r="BH75" s="171">
        <v>23.23</v>
      </c>
      <c r="BI75" s="42" t="s">
        <v>352</v>
      </c>
      <c r="BJ75" s="42" t="s">
        <v>352</v>
      </c>
      <c r="BK75" s="42" t="s">
        <v>352</v>
      </c>
      <c r="BL75" s="162">
        <v>79.637395687719746</v>
      </c>
      <c r="BM75" s="162">
        <v>162.45181513957723</v>
      </c>
      <c r="BN75" s="162">
        <v>88.109459058753757</v>
      </c>
      <c r="BO75" s="42" t="s">
        <v>352</v>
      </c>
      <c r="BP75" s="42" t="s">
        <v>352</v>
      </c>
      <c r="BQ75" s="42" t="s">
        <v>352</v>
      </c>
      <c r="BR75" s="182" t="s">
        <v>602</v>
      </c>
      <c r="BS75" s="126">
        <v>37.92</v>
      </c>
      <c r="BT75" s="186" t="s">
        <v>353</v>
      </c>
      <c r="BU75" s="131">
        <v>66.67</v>
      </c>
      <c r="BV75" s="42" t="s">
        <v>352</v>
      </c>
      <c r="BW75" s="42" t="s">
        <v>352</v>
      </c>
      <c r="BX75" s="42" t="s">
        <v>352</v>
      </c>
      <c r="BY75" s="42" t="s">
        <v>352</v>
      </c>
      <c r="BZ75" s="191">
        <v>0</v>
      </c>
      <c r="CA75" s="191">
        <v>0</v>
      </c>
      <c r="CB75" s="198" t="s">
        <v>353</v>
      </c>
      <c r="CC75" s="39">
        <v>4629.3593637480408</v>
      </c>
      <c r="CD75" s="42" t="s">
        <v>352</v>
      </c>
    </row>
    <row r="76" spans="1:82">
      <c r="A76" s="3" t="s">
        <v>442</v>
      </c>
      <c r="B76" s="3" t="s">
        <v>449</v>
      </c>
      <c r="C76" s="27" t="s">
        <v>349</v>
      </c>
      <c r="D76" s="3" t="s">
        <v>449</v>
      </c>
      <c r="E76" s="29">
        <v>10301</v>
      </c>
      <c r="F76" s="3" t="s">
        <v>449</v>
      </c>
      <c r="G76" s="4">
        <v>10301</v>
      </c>
      <c r="H76" s="10">
        <v>205.27715799999999</v>
      </c>
      <c r="I76" s="42" t="s">
        <v>352</v>
      </c>
      <c r="J76" s="41">
        <v>1065.982667</v>
      </c>
      <c r="K76" s="42" t="s">
        <v>352</v>
      </c>
      <c r="L76" s="119">
        <v>90.3</v>
      </c>
      <c r="M76" s="120">
        <v>99.33</v>
      </c>
      <c r="N76" s="42" t="s">
        <v>352</v>
      </c>
      <c r="O76" s="60">
        <v>1162.47</v>
      </c>
      <c r="P76" s="42" t="s">
        <v>352</v>
      </c>
      <c r="Q76" s="60">
        <v>597.53</v>
      </c>
      <c r="R76" s="122">
        <v>0.82</v>
      </c>
      <c r="S76" s="62">
        <v>415.8</v>
      </c>
      <c r="T76" s="42" t="s">
        <v>352</v>
      </c>
      <c r="U76" s="42" t="s">
        <v>352</v>
      </c>
      <c r="V76" s="42" t="s">
        <v>352</v>
      </c>
      <c r="W76" s="42" t="s">
        <v>352</v>
      </c>
      <c r="X76" s="42" t="s">
        <v>352</v>
      </c>
      <c r="Y76" s="42" t="s">
        <v>352</v>
      </c>
      <c r="Z76" s="122">
        <v>21.36</v>
      </c>
      <c r="AA76" s="136">
        <v>1.25</v>
      </c>
      <c r="AB76" s="125">
        <v>31.3</v>
      </c>
      <c r="AC76" s="144">
        <v>53.2</v>
      </c>
      <c r="AD76" s="42" t="s">
        <v>352</v>
      </c>
      <c r="AE76" s="42" t="s">
        <v>352</v>
      </c>
      <c r="AF76" s="134">
        <v>9.7899999999999991</v>
      </c>
      <c r="AG76" s="134">
        <v>14.79</v>
      </c>
      <c r="AH76" s="134">
        <v>16.05</v>
      </c>
      <c r="AI76" s="134">
        <v>6.72</v>
      </c>
      <c r="AJ76" s="150">
        <v>9.86</v>
      </c>
      <c r="AK76" s="152">
        <v>623.78</v>
      </c>
      <c r="AL76" s="159" t="s">
        <v>351</v>
      </c>
      <c r="AM76" s="123" t="s">
        <v>351</v>
      </c>
      <c r="AN76" s="122">
        <v>1.6429994035226503</v>
      </c>
      <c r="AO76" s="122">
        <v>0.26905902295348877</v>
      </c>
      <c r="AP76" s="59" t="s">
        <v>351</v>
      </c>
      <c r="AQ76" s="160">
        <v>792.4</v>
      </c>
      <c r="AR76" s="161">
        <v>579.29</v>
      </c>
      <c r="AS76" s="200">
        <v>3.8104050073348664E-3</v>
      </c>
      <c r="AT76" s="42" t="s">
        <v>352</v>
      </c>
      <c r="AU76" s="42" t="s">
        <v>352</v>
      </c>
      <c r="AV76" s="164">
        <v>582.6651192234649</v>
      </c>
      <c r="AW76" s="164">
        <v>19.226975211215301</v>
      </c>
      <c r="AX76" s="164">
        <v>9.49</v>
      </c>
      <c r="AY76" s="42" t="s">
        <v>352</v>
      </c>
      <c r="AZ76" s="165">
        <v>0.51</v>
      </c>
      <c r="BA76" s="42" t="s">
        <v>352</v>
      </c>
      <c r="BB76" s="42" t="s">
        <v>352</v>
      </c>
      <c r="BC76" s="42" t="s">
        <v>352</v>
      </c>
      <c r="BD76" s="42" t="s">
        <v>352</v>
      </c>
      <c r="BE76" s="200">
        <v>0.41</v>
      </c>
      <c r="BF76" s="200">
        <v>44.73</v>
      </c>
      <c r="BG76" s="168">
        <v>8.52</v>
      </c>
      <c r="BH76" s="171">
        <v>22.03</v>
      </c>
      <c r="BI76" s="42" t="s">
        <v>352</v>
      </c>
      <c r="BJ76" s="42" t="s">
        <v>352</v>
      </c>
      <c r="BK76" s="42" t="s">
        <v>352</v>
      </c>
      <c r="BL76" s="162">
        <v>72.242595859251693</v>
      </c>
      <c r="BM76" s="162">
        <v>168.62408318633368</v>
      </c>
      <c r="BN76" s="162">
        <v>83.789805960449357</v>
      </c>
      <c r="BO76" s="42" t="s">
        <v>352</v>
      </c>
      <c r="BP76" s="42" t="s">
        <v>352</v>
      </c>
      <c r="BQ76" s="42" t="s">
        <v>352</v>
      </c>
      <c r="BR76" s="182" t="s">
        <v>358</v>
      </c>
      <c r="BS76" s="126">
        <v>26.59</v>
      </c>
      <c r="BT76" s="186" t="s">
        <v>355</v>
      </c>
      <c r="BU76" s="131">
        <v>33.86</v>
      </c>
      <c r="BV76" s="42" t="s">
        <v>352</v>
      </c>
      <c r="BW76" s="42" t="s">
        <v>352</v>
      </c>
      <c r="BX76" s="42" t="s">
        <v>352</v>
      </c>
      <c r="BY76" s="42" t="s">
        <v>352</v>
      </c>
      <c r="BZ76" s="191">
        <v>0</v>
      </c>
      <c r="CA76" s="191">
        <v>0</v>
      </c>
      <c r="CB76" s="198" t="s">
        <v>353</v>
      </c>
      <c r="CC76" s="39">
        <v>980.6424658806053</v>
      </c>
      <c r="CD76" s="42" t="s">
        <v>352</v>
      </c>
    </row>
    <row r="77" spans="1:82">
      <c r="A77" s="3" t="s">
        <v>450</v>
      </c>
      <c r="B77" s="5" t="s">
        <v>451</v>
      </c>
      <c r="C77" s="27" t="s">
        <v>349</v>
      </c>
      <c r="D77" s="5" t="s">
        <v>451</v>
      </c>
      <c r="E77" s="29">
        <v>11101</v>
      </c>
      <c r="F77" s="5" t="s">
        <v>451</v>
      </c>
      <c r="G77" s="4">
        <v>11101</v>
      </c>
      <c r="H77" s="10">
        <v>219.119122</v>
      </c>
      <c r="I77" s="42" t="s">
        <v>352</v>
      </c>
      <c r="J77" s="41">
        <v>1112.8444300000001</v>
      </c>
      <c r="K77" s="42" t="s">
        <v>352</v>
      </c>
      <c r="L77" s="119">
        <v>88.67</v>
      </c>
      <c r="M77" s="120">
        <v>100</v>
      </c>
      <c r="N77" s="42" t="s">
        <v>352</v>
      </c>
      <c r="O77" s="60">
        <v>1097.3499999999999</v>
      </c>
      <c r="P77" s="42" t="s">
        <v>352</v>
      </c>
      <c r="Q77" s="60">
        <v>493.95</v>
      </c>
      <c r="R77" s="122">
        <v>1.01</v>
      </c>
      <c r="S77" s="62">
        <v>388.51</v>
      </c>
      <c r="T77" s="42" t="s">
        <v>352</v>
      </c>
      <c r="U77" s="42" t="s">
        <v>352</v>
      </c>
      <c r="V77" s="42" t="s">
        <v>352</v>
      </c>
      <c r="W77" s="42" t="s">
        <v>352</v>
      </c>
      <c r="X77" s="42" t="s">
        <v>352</v>
      </c>
      <c r="Y77" s="42" t="s">
        <v>352</v>
      </c>
      <c r="Z77" s="122">
        <v>17.86</v>
      </c>
      <c r="AA77" s="133" t="s">
        <v>351</v>
      </c>
      <c r="AB77" s="124" t="s">
        <v>351</v>
      </c>
      <c r="AC77" s="145" t="s">
        <v>351</v>
      </c>
      <c r="AD77" s="42" t="s">
        <v>352</v>
      </c>
      <c r="AE77" s="42" t="s">
        <v>352</v>
      </c>
      <c r="AF77" s="147" t="s">
        <v>351</v>
      </c>
      <c r="AG77" s="148" t="s">
        <v>351</v>
      </c>
      <c r="AH77" s="149" t="s">
        <v>351</v>
      </c>
      <c r="AI77" s="149" t="s">
        <v>351</v>
      </c>
      <c r="AJ77" s="150">
        <v>11.51</v>
      </c>
      <c r="AK77" s="152">
        <v>498.18</v>
      </c>
      <c r="AL77" s="159" t="s">
        <v>351</v>
      </c>
      <c r="AM77" s="123" t="s">
        <v>351</v>
      </c>
      <c r="AN77" s="122">
        <v>1.3013045477866472</v>
      </c>
      <c r="AO77" s="162">
        <v>0</v>
      </c>
      <c r="AP77" s="59" t="s">
        <v>351</v>
      </c>
      <c r="AQ77" s="160">
        <v>779.51</v>
      </c>
      <c r="AR77" s="161">
        <v>553.25</v>
      </c>
      <c r="AS77" s="200">
        <v>1.6795236578621548E-2</v>
      </c>
      <c r="AT77" s="42" t="s">
        <v>352</v>
      </c>
      <c r="AU77" s="42" t="s">
        <v>352</v>
      </c>
      <c r="AV77" s="164">
        <v>572.68675721561965</v>
      </c>
      <c r="AW77" s="164">
        <v>17.74686790963796</v>
      </c>
      <c r="AX77" s="164">
        <v>14.88</v>
      </c>
      <c r="AY77" s="42" t="s">
        <v>352</v>
      </c>
      <c r="AZ77" s="165">
        <v>0</v>
      </c>
      <c r="BA77" s="42" t="s">
        <v>352</v>
      </c>
      <c r="BB77" s="42" t="s">
        <v>352</v>
      </c>
      <c r="BC77" s="42" t="s">
        <v>352</v>
      </c>
      <c r="BD77" s="42" t="s">
        <v>352</v>
      </c>
      <c r="BE77" s="200">
        <v>0.22</v>
      </c>
      <c r="BF77" s="200">
        <v>35.020000000000003</v>
      </c>
      <c r="BG77" s="168">
        <v>2.78</v>
      </c>
      <c r="BH77" s="171">
        <v>18.12</v>
      </c>
      <c r="BI77" s="42" t="s">
        <v>352</v>
      </c>
      <c r="BJ77" s="42" t="s">
        <v>352</v>
      </c>
      <c r="BK77" s="42" t="s">
        <v>352</v>
      </c>
      <c r="BL77" s="162">
        <v>64.285949163131761</v>
      </c>
      <c r="BM77" s="162">
        <v>153.5628555456907</v>
      </c>
      <c r="BN77" s="162">
        <v>77.274670349544564</v>
      </c>
      <c r="BO77" s="42" t="s">
        <v>352</v>
      </c>
      <c r="BP77" s="42" t="s">
        <v>352</v>
      </c>
      <c r="BQ77" s="42" t="s">
        <v>352</v>
      </c>
      <c r="BR77" s="182" t="s">
        <v>358</v>
      </c>
      <c r="BS77" s="126">
        <v>16.47</v>
      </c>
      <c r="BT77" s="186" t="s">
        <v>355</v>
      </c>
      <c r="BU77" s="131">
        <v>55.16</v>
      </c>
      <c r="BV77" s="42" t="s">
        <v>352</v>
      </c>
      <c r="BW77" s="42" t="s">
        <v>352</v>
      </c>
      <c r="BX77" s="42" t="s">
        <v>352</v>
      </c>
      <c r="BY77" s="42" t="s">
        <v>352</v>
      </c>
      <c r="BZ77" s="190" t="s">
        <v>359</v>
      </c>
      <c r="CA77" s="190" t="s">
        <v>359</v>
      </c>
      <c r="CB77" s="198" t="s">
        <v>351</v>
      </c>
      <c r="CC77" s="39" t="s">
        <v>351</v>
      </c>
      <c r="CD77" s="42" t="s">
        <v>352</v>
      </c>
    </row>
    <row r="78" spans="1:82">
      <c r="A78" s="3" t="s">
        <v>452</v>
      </c>
      <c r="B78" s="3" t="s">
        <v>452</v>
      </c>
      <c r="C78" s="27" t="s">
        <v>349</v>
      </c>
      <c r="D78" s="3" t="s">
        <v>453</v>
      </c>
      <c r="E78" s="29">
        <v>12101</v>
      </c>
      <c r="F78" s="6" t="s">
        <v>453</v>
      </c>
      <c r="G78" s="4">
        <v>12101</v>
      </c>
      <c r="H78" s="10">
        <v>308.74630100000002</v>
      </c>
      <c r="I78" s="42" t="s">
        <v>352</v>
      </c>
      <c r="J78" s="41">
        <v>830.76303299999995</v>
      </c>
      <c r="K78" s="42" t="s">
        <v>352</v>
      </c>
      <c r="L78" s="119">
        <v>75.72</v>
      </c>
      <c r="M78" s="120">
        <v>99.21</v>
      </c>
      <c r="N78" s="42" t="s">
        <v>352</v>
      </c>
      <c r="O78" s="60">
        <v>1130.8900000000001</v>
      </c>
      <c r="P78" s="42" t="s">
        <v>352</v>
      </c>
      <c r="Q78" s="60">
        <v>806.12</v>
      </c>
      <c r="R78" s="122">
        <v>0.78</v>
      </c>
      <c r="S78" s="62">
        <v>486.72</v>
      </c>
      <c r="T78" s="42" t="s">
        <v>352</v>
      </c>
      <c r="U78" s="42" t="s">
        <v>352</v>
      </c>
      <c r="V78" s="42" t="s">
        <v>352</v>
      </c>
      <c r="W78" s="42" t="s">
        <v>352</v>
      </c>
      <c r="X78" s="42" t="s">
        <v>352</v>
      </c>
      <c r="Y78" s="42" t="s">
        <v>352</v>
      </c>
      <c r="Z78" s="122">
        <v>24.13</v>
      </c>
      <c r="AA78" s="133" t="s">
        <v>351</v>
      </c>
      <c r="AB78" s="124" t="s">
        <v>351</v>
      </c>
      <c r="AC78" s="145" t="s">
        <v>351</v>
      </c>
      <c r="AD78" s="42" t="s">
        <v>352</v>
      </c>
      <c r="AE78" s="42" t="s">
        <v>352</v>
      </c>
      <c r="AF78" s="147" t="s">
        <v>351</v>
      </c>
      <c r="AG78" s="148" t="s">
        <v>351</v>
      </c>
      <c r="AH78" s="149" t="s">
        <v>351</v>
      </c>
      <c r="AI78" s="149" t="s">
        <v>351</v>
      </c>
      <c r="AJ78" s="150">
        <v>4.28</v>
      </c>
      <c r="AK78" s="152">
        <v>518.08000000000004</v>
      </c>
      <c r="AL78" s="159" t="s">
        <v>351</v>
      </c>
      <c r="AM78" s="123" t="s">
        <v>351</v>
      </c>
      <c r="AN78" s="122">
        <v>1.3192062747882722</v>
      </c>
      <c r="AO78" s="162">
        <v>0</v>
      </c>
      <c r="AP78" s="59">
        <v>2.5</v>
      </c>
      <c r="AQ78" s="160">
        <v>749.9</v>
      </c>
      <c r="AR78" s="161">
        <v>962.97</v>
      </c>
      <c r="AS78" s="200">
        <v>4.6598825048886818E-3</v>
      </c>
      <c r="AT78" s="42" t="s">
        <v>352</v>
      </c>
      <c r="AU78" s="42" t="s">
        <v>352</v>
      </c>
      <c r="AV78" s="164">
        <v>612.27220593857521</v>
      </c>
      <c r="AW78" s="164">
        <v>20.571318471155767</v>
      </c>
      <c r="AX78" s="164">
        <v>8.1300000000000008</v>
      </c>
      <c r="AY78" s="42" t="s">
        <v>352</v>
      </c>
      <c r="AZ78" s="165">
        <v>0.27</v>
      </c>
      <c r="BA78" s="42" t="s">
        <v>352</v>
      </c>
      <c r="BB78" s="42" t="s">
        <v>352</v>
      </c>
      <c r="BC78" s="42" t="s">
        <v>352</v>
      </c>
      <c r="BD78" s="42" t="s">
        <v>352</v>
      </c>
      <c r="BE78" s="200">
        <v>7.0000000000000007E-2</v>
      </c>
      <c r="BF78" s="200">
        <v>21.03</v>
      </c>
      <c r="BG78" s="168">
        <v>2.0699999999999998</v>
      </c>
      <c r="BH78" s="171">
        <v>10.26</v>
      </c>
      <c r="BI78" s="42" t="s">
        <v>352</v>
      </c>
      <c r="BJ78" s="42" t="s">
        <v>352</v>
      </c>
      <c r="BK78" s="42" t="s">
        <v>352</v>
      </c>
      <c r="BL78" s="162">
        <v>52.735991779179628</v>
      </c>
      <c r="BM78" s="162">
        <v>89.201609910655662</v>
      </c>
      <c r="BN78" s="162">
        <v>57.303114206605201</v>
      </c>
      <c r="BO78" s="42" t="s">
        <v>352</v>
      </c>
      <c r="BP78" s="42" t="s">
        <v>352</v>
      </c>
      <c r="BQ78" s="42" t="s">
        <v>352</v>
      </c>
      <c r="BR78" s="122">
        <v>0.82</v>
      </c>
      <c r="BS78" s="126">
        <v>11.25</v>
      </c>
      <c r="BT78" s="186" t="s">
        <v>353</v>
      </c>
      <c r="BU78" s="131">
        <v>29.33</v>
      </c>
      <c r="BV78" s="42" t="s">
        <v>352</v>
      </c>
      <c r="BW78" s="42" t="s">
        <v>352</v>
      </c>
      <c r="BX78" s="42" t="s">
        <v>352</v>
      </c>
      <c r="BY78" s="42" t="s">
        <v>352</v>
      </c>
      <c r="BZ78" s="191">
        <v>0</v>
      </c>
      <c r="CA78" s="191">
        <v>0</v>
      </c>
      <c r="CB78" s="198" t="s">
        <v>355</v>
      </c>
      <c r="CC78" s="39">
        <v>1212.9474709559559</v>
      </c>
      <c r="CD78" s="42" t="s">
        <v>352</v>
      </c>
    </row>
    <row r="79" spans="1:82">
      <c r="A79" s="3" t="s">
        <v>454</v>
      </c>
      <c r="B79" s="3" t="s">
        <v>455</v>
      </c>
      <c r="C79" s="27" t="s">
        <v>456</v>
      </c>
      <c r="D79" s="3" t="s">
        <v>456</v>
      </c>
      <c r="E79" s="29">
        <v>13001</v>
      </c>
      <c r="F79" s="3" t="s">
        <v>455</v>
      </c>
      <c r="G79" s="4">
        <v>13101</v>
      </c>
      <c r="H79" s="10">
        <v>358.50996500000002</v>
      </c>
      <c r="I79" s="42" t="s">
        <v>352</v>
      </c>
      <c r="J79" s="41">
        <v>790.22939299999996</v>
      </c>
      <c r="K79" s="42" t="s">
        <v>352</v>
      </c>
      <c r="L79" s="119">
        <v>68.069999999999993</v>
      </c>
      <c r="M79" s="120">
        <v>100</v>
      </c>
      <c r="N79" s="42" t="s">
        <v>352</v>
      </c>
      <c r="O79" s="60">
        <v>1182.95</v>
      </c>
      <c r="P79" s="42" t="s">
        <v>352</v>
      </c>
      <c r="Q79" s="60">
        <v>383.25</v>
      </c>
      <c r="R79" s="122">
        <v>1.24</v>
      </c>
      <c r="S79" s="62">
        <v>335.76</v>
      </c>
      <c r="T79" s="42" t="s">
        <v>352</v>
      </c>
      <c r="U79" s="42" t="s">
        <v>352</v>
      </c>
      <c r="V79" s="42" t="s">
        <v>352</v>
      </c>
      <c r="W79" s="42" t="s">
        <v>352</v>
      </c>
      <c r="X79" s="42" t="s">
        <v>352</v>
      </c>
      <c r="Y79" s="42" t="s">
        <v>352</v>
      </c>
      <c r="Z79" s="122">
        <v>30.56</v>
      </c>
      <c r="AA79" s="136">
        <v>0.8</v>
      </c>
      <c r="AB79" s="125">
        <v>42.8</v>
      </c>
      <c r="AC79" s="146">
        <v>78</v>
      </c>
      <c r="AD79" s="42" t="s">
        <v>352</v>
      </c>
      <c r="AE79" s="42" t="s">
        <v>352</v>
      </c>
      <c r="AF79" s="134">
        <v>37.369999999999997</v>
      </c>
      <c r="AG79" s="134">
        <v>44.73</v>
      </c>
      <c r="AH79" s="134">
        <v>66.55</v>
      </c>
      <c r="AI79" s="134">
        <v>31.4</v>
      </c>
      <c r="AJ79" s="150">
        <v>2.67</v>
      </c>
      <c r="AK79" s="152">
        <v>196.78</v>
      </c>
      <c r="AL79" s="123">
        <v>24.93</v>
      </c>
      <c r="AM79" s="123">
        <v>41.08</v>
      </c>
      <c r="AN79" s="122">
        <v>1.1487717750558861</v>
      </c>
      <c r="AO79" s="122">
        <v>1.628573497420613</v>
      </c>
      <c r="AP79" s="59">
        <v>0</v>
      </c>
      <c r="AQ79" s="160">
        <v>1075.5999999999999</v>
      </c>
      <c r="AR79" s="161">
        <v>1552.5</v>
      </c>
      <c r="AS79" s="200">
        <v>1.8317271216018782E-2</v>
      </c>
      <c r="AT79" s="42" t="s">
        <v>352</v>
      </c>
      <c r="AU79" s="42" t="s">
        <v>352</v>
      </c>
      <c r="AV79" s="164">
        <v>636.04023430093901</v>
      </c>
      <c r="AW79" s="164">
        <v>26.185096479732479</v>
      </c>
      <c r="AX79" s="164">
        <v>5.58</v>
      </c>
      <c r="AY79" s="42" t="s">
        <v>352</v>
      </c>
      <c r="AZ79" s="165">
        <v>3.49</v>
      </c>
      <c r="BA79" s="42" t="s">
        <v>352</v>
      </c>
      <c r="BB79" s="42" t="s">
        <v>352</v>
      </c>
      <c r="BC79" s="42" t="s">
        <v>352</v>
      </c>
      <c r="BD79" s="42" t="s">
        <v>352</v>
      </c>
      <c r="BE79" s="200">
        <v>0</v>
      </c>
      <c r="BF79" s="200">
        <v>0</v>
      </c>
      <c r="BG79" s="168">
        <v>4.08</v>
      </c>
      <c r="BH79" s="171">
        <v>9.6300000000000008</v>
      </c>
      <c r="BI79" s="42" t="s">
        <v>352</v>
      </c>
      <c r="BJ79" s="42" t="s">
        <v>352</v>
      </c>
      <c r="BK79" s="42" t="s">
        <v>352</v>
      </c>
      <c r="BL79" s="162">
        <v>274.25960997292736</v>
      </c>
      <c r="BM79" s="162">
        <v>332.14334131682403</v>
      </c>
      <c r="BN79" s="162">
        <v>44.018749563509836</v>
      </c>
      <c r="BO79" s="42" t="s">
        <v>352</v>
      </c>
      <c r="BP79" s="42" t="s">
        <v>352</v>
      </c>
      <c r="BQ79" s="42" t="s">
        <v>352</v>
      </c>
      <c r="BR79" s="182" t="s">
        <v>358</v>
      </c>
      <c r="BS79" s="126">
        <v>22.63</v>
      </c>
      <c r="BT79" s="186" t="s">
        <v>353</v>
      </c>
      <c r="BU79" s="131">
        <v>2.73</v>
      </c>
      <c r="BV79" s="42" t="s">
        <v>352</v>
      </c>
      <c r="BW79" s="42" t="s">
        <v>352</v>
      </c>
      <c r="BX79" s="42" t="s">
        <v>352</v>
      </c>
      <c r="BY79" s="42" t="s">
        <v>352</v>
      </c>
      <c r="BZ79" s="191">
        <v>0</v>
      </c>
      <c r="CA79" s="191">
        <v>38</v>
      </c>
      <c r="CB79" s="198" t="s">
        <v>351</v>
      </c>
      <c r="CC79" s="39" t="s">
        <v>351</v>
      </c>
      <c r="CD79" s="42" t="s">
        <v>352</v>
      </c>
    </row>
    <row r="80" spans="1:82">
      <c r="A80" s="3" t="s">
        <v>454</v>
      </c>
      <c r="B80" s="3" t="s">
        <v>455</v>
      </c>
      <c r="C80" s="27" t="s">
        <v>456</v>
      </c>
      <c r="D80" s="3" t="s">
        <v>456</v>
      </c>
      <c r="E80" s="29">
        <v>13001</v>
      </c>
      <c r="F80" s="3" t="s">
        <v>457</v>
      </c>
      <c r="G80" s="4">
        <v>13102</v>
      </c>
      <c r="H80" s="10">
        <v>242.33925199999999</v>
      </c>
      <c r="I80" s="42" t="s">
        <v>352</v>
      </c>
      <c r="J80" s="41">
        <v>717.81217400000003</v>
      </c>
      <c r="K80" s="42" t="s">
        <v>352</v>
      </c>
      <c r="L80" s="119">
        <v>86.39</v>
      </c>
      <c r="M80" s="120">
        <v>99.98</v>
      </c>
      <c r="N80" s="42" t="s">
        <v>352</v>
      </c>
      <c r="O80" s="60">
        <v>1249.3399999999999</v>
      </c>
      <c r="P80" s="42" t="s">
        <v>352</v>
      </c>
      <c r="Q80" s="60">
        <v>731.55</v>
      </c>
      <c r="R80" s="122">
        <v>0.72</v>
      </c>
      <c r="S80" s="62">
        <v>354.01</v>
      </c>
      <c r="T80" s="42" t="s">
        <v>352</v>
      </c>
      <c r="U80" s="42" t="s">
        <v>352</v>
      </c>
      <c r="V80" s="42" t="s">
        <v>352</v>
      </c>
      <c r="W80" s="42" t="s">
        <v>352</v>
      </c>
      <c r="X80" s="42" t="s">
        <v>352</v>
      </c>
      <c r="Y80" s="42" t="s">
        <v>352</v>
      </c>
      <c r="Z80" s="122">
        <v>25.96</v>
      </c>
      <c r="AA80" s="135">
        <v>1.1538461538461537</v>
      </c>
      <c r="AB80" s="143">
        <v>31</v>
      </c>
      <c r="AC80" s="144">
        <v>68.599999999999994</v>
      </c>
      <c r="AD80" s="42" t="s">
        <v>352</v>
      </c>
      <c r="AE80" s="42" t="s">
        <v>352</v>
      </c>
      <c r="AF80" s="134">
        <v>28.37</v>
      </c>
      <c r="AG80" s="134">
        <v>46.27</v>
      </c>
      <c r="AH80" s="134">
        <v>60.18</v>
      </c>
      <c r="AI80" s="134">
        <v>29.7</v>
      </c>
      <c r="AJ80" s="150">
        <v>11.36</v>
      </c>
      <c r="AK80" s="152">
        <v>452.19</v>
      </c>
      <c r="AL80" s="123">
        <v>14.6</v>
      </c>
      <c r="AM80" s="123">
        <v>38.01</v>
      </c>
      <c r="AN80" s="122">
        <v>1.2651809260084717</v>
      </c>
      <c r="AO80" s="162">
        <v>0</v>
      </c>
      <c r="AP80" s="59" t="s">
        <v>351</v>
      </c>
      <c r="AQ80" s="160">
        <v>701.08</v>
      </c>
      <c r="AR80" s="161">
        <v>969.55</v>
      </c>
      <c r="AS80" s="200">
        <v>2.5297871468412156E-2</v>
      </c>
      <c r="AT80" s="42" t="s">
        <v>352</v>
      </c>
      <c r="AU80" s="42" t="s">
        <v>352</v>
      </c>
      <c r="AV80" s="164">
        <v>567.97849721185867</v>
      </c>
      <c r="AW80" s="164">
        <v>16.085711688783856</v>
      </c>
      <c r="AX80" s="164">
        <v>6.82</v>
      </c>
      <c r="AY80" s="42" t="s">
        <v>352</v>
      </c>
      <c r="AZ80" s="165">
        <v>2.1</v>
      </c>
      <c r="BA80" s="42" t="s">
        <v>352</v>
      </c>
      <c r="BB80" s="42" t="s">
        <v>352</v>
      </c>
      <c r="BC80" s="42" t="s">
        <v>352</v>
      </c>
      <c r="BD80" s="42" t="s">
        <v>352</v>
      </c>
      <c r="BE80" s="200">
        <v>0</v>
      </c>
      <c r="BF80" s="200">
        <v>0</v>
      </c>
      <c r="BG80" s="168">
        <v>6.48</v>
      </c>
      <c r="BH80" s="171">
        <v>27.42</v>
      </c>
      <c r="BI80" s="42" t="s">
        <v>352</v>
      </c>
      <c r="BJ80" s="42" t="s">
        <v>352</v>
      </c>
      <c r="BK80" s="42" t="s">
        <v>352</v>
      </c>
      <c r="BL80" s="162">
        <v>194.85093619341939</v>
      </c>
      <c r="BM80" s="162">
        <v>235.18451190692599</v>
      </c>
      <c r="BN80" s="162">
        <v>76.917833121250681</v>
      </c>
      <c r="BO80" s="42" t="s">
        <v>352</v>
      </c>
      <c r="BP80" s="42" t="s">
        <v>352</v>
      </c>
      <c r="BQ80" s="42" t="s">
        <v>352</v>
      </c>
      <c r="BR80" s="182" t="s">
        <v>358</v>
      </c>
      <c r="BS80" s="126">
        <v>54.21</v>
      </c>
      <c r="BT80" s="186" t="s">
        <v>353</v>
      </c>
      <c r="BU80" s="131">
        <v>18.82</v>
      </c>
      <c r="BV80" s="42" t="s">
        <v>352</v>
      </c>
      <c r="BW80" s="42" t="s">
        <v>352</v>
      </c>
      <c r="BX80" s="42" t="s">
        <v>352</v>
      </c>
      <c r="BY80" s="42" t="s">
        <v>352</v>
      </c>
      <c r="BZ80" s="190" t="s">
        <v>359</v>
      </c>
      <c r="CA80" s="190" t="s">
        <v>359</v>
      </c>
      <c r="CB80" s="198" t="s">
        <v>353</v>
      </c>
      <c r="CC80" s="39">
        <v>0</v>
      </c>
      <c r="CD80" s="42" t="s">
        <v>352</v>
      </c>
    </row>
    <row r="81" spans="1:82">
      <c r="A81" s="3" t="s">
        <v>454</v>
      </c>
      <c r="B81" s="3" t="s">
        <v>455</v>
      </c>
      <c r="C81" s="27" t="s">
        <v>456</v>
      </c>
      <c r="D81" s="3" t="s">
        <v>456</v>
      </c>
      <c r="E81" s="29">
        <v>13001</v>
      </c>
      <c r="F81" s="3" t="s">
        <v>458</v>
      </c>
      <c r="G81" s="4">
        <v>13103</v>
      </c>
      <c r="H81" s="10">
        <v>202.63568599999999</v>
      </c>
      <c r="I81" s="42" t="s">
        <v>352</v>
      </c>
      <c r="J81" s="41">
        <v>647.91717500000004</v>
      </c>
      <c r="K81" s="42" t="s">
        <v>352</v>
      </c>
      <c r="L81" s="119">
        <v>93.83</v>
      </c>
      <c r="M81" s="120">
        <v>100</v>
      </c>
      <c r="N81" s="42" t="s">
        <v>352</v>
      </c>
      <c r="O81" s="60">
        <v>752.26</v>
      </c>
      <c r="P81" s="42" t="s">
        <v>352</v>
      </c>
      <c r="Q81" s="60">
        <v>361.6</v>
      </c>
      <c r="R81" s="122">
        <v>0.72</v>
      </c>
      <c r="S81" s="62">
        <v>277.67</v>
      </c>
      <c r="T81" s="42" t="s">
        <v>352</v>
      </c>
      <c r="U81" s="42" t="s">
        <v>352</v>
      </c>
      <c r="V81" s="42" t="s">
        <v>352</v>
      </c>
      <c r="W81" s="42" t="s">
        <v>352</v>
      </c>
      <c r="X81" s="42" t="s">
        <v>352</v>
      </c>
      <c r="Y81" s="42" t="s">
        <v>352</v>
      </c>
      <c r="Z81" s="122">
        <v>36.590000000000003</v>
      </c>
      <c r="AA81" s="135">
        <v>1.5454545454545454</v>
      </c>
      <c r="AB81" s="125">
        <v>27.9</v>
      </c>
      <c r="AC81" s="144">
        <v>83.8</v>
      </c>
      <c r="AD81" s="42" t="s">
        <v>352</v>
      </c>
      <c r="AE81" s="42" t="s">
        <v>352</v>
      </c>
      <c r="AF81" s="134">
        <v>20.329999999999998</v>
      </c>
      <c r="AG81" s="134">
        <v>32.380000000000003</v>
      </c>
      <c r="AH81" s="134">
        <v>55.51</v>
      </c>
      <c r="AI81" s="134">
        <v>24.67</v>
      </c>
      <c r="AJ81" s="150">
        <v>0</v>
      </c>
      <c r="AK81" s="152">
        <v>86.28</v>
      </c>
      <c r="AL81" s="123">
        <v>6.67</v>
      </c>
      <c r="AM81" s="123">
        <v>13.12</v>
      </c>
      <c r="AN81" s="122">
        <v>1.2626199509297595</v>
      </c>
      <c r="AO81" s="122">
        <v>0.27863767141534013</v>
      </c>
      <c r="AP81" s="59">
        <v>2.97</v>
      </c>
      <c r="AQ81" s="160">
        <v>638.14</v>
      </c>
      <c r="AR81" s="161">
        <v>75.760000000000005</v>
      </c>
      <c r="AS81" s="122" t="s">
        <v>351</v>
      </c>
      <c r="AT81" s="42" t="s">
        <v>352</v>
      </c>
      <c r="AU81" s="42" t="s">
        <v>352</v>
      </c>
      <c r="AV81" s="164">
        <v>290.94549382228189</v>
      </c>
      <c r="AW81" s="164">
        <v>7.8103562891613976</v>
      </c>
      <c r="AX81" s="164">
        <v>7.35</v>
      </c>
      <c r="AY81" s="42" t="s">
        <v>352</v>
      </c>
      <c r="AZ81" s="59">
        <v>2.13</v>
      </c>
      <c r="BA81" s="42" t="s">
        <v>352</v>
      </c>
      <c r="BB81" s="42" t="s">
        <v>352</v>
      </c>
      <c r="BC81" s="42" t="s">
        <v>352</v>
      </c>
      <c r="BD81" s="42" t="s">
        <v>352</v>
      </c>
      <c r="BE81" s="200">
        <v>0.08</v>
      </c>
      <c r="BF81" s="200">
        <v>25.29</v>
      </c>
      <c r="BG81" s="168">
        <v>7.59</v>
      </c>
      <c r="BH81" s="171">
        <v>34.64</v>
      </c>
      <c r="BI81" s="42" t="s">
        <v>352</v>
      </c>
      <c r="BJ81" s="42" t="s">
        <v>352</v>
      </c>
      <c r="BK81" s="42" t="s">
        <v>352</v>
      </c>
      <c r="BL81" s="162">
        <v>125.59935503033904</v>
      </c>
      <c r="BM81" s="162">
        <v>60.89022786099207</v>
      </c>
      <c r="BN81" s="162">
        <v>70.578916847003583</v>
      </c>
      <c r="BO81" s="42" t="s">
        <v>352</v>
      </c>
      <c r="BP81" s="42" t="s">
        <v>352</v>
      </c>
      <c r="BQ81" s="42" t="s">
        <v>352</v>
      </c>
      <c r="BR81" s="182" t="s">
        <v>358</v>
      </c>
      <c r="BS81" s="126">
        <v>20.94</v>
      </c>
      <c r="BT81" s="186" t="s">
        <v>353</v>
      </c>
      <c r="BU81" s="131">
        <v>77.91</v>
      </c>
      <c r="BV81" s="42" t="s">
        <v>352</v>
      </c>
      <c r="BW81" s="42" t="s">
        <v>352</v>
      </c>
      <c r="BX81" s="42" t="s">
        <v>352</v>
      </c>
      <c r="BY81" s="42" t="s">
        <v>352</v>
      </c>
      <c r="BZ81" s="190" t="s">
        <v>359</v>
      </c>
      <c r="CA81" s="190" t="s">
        <v>359</v>
      </c>
      <c r="CB81" s="198" t="s">
        <v>355</v>
      </c>
      <c r="CC81" s="39">
        <v>0</v>
      </c>
      <c r="CD81" s="42" t="s">
        <v>352</v>
      </c>
    </row>
    <row r="82" spans="1:82">
      <c r="A82" s="3" t="s">
        <v>454</v>
      </c>
      <c r="B82" s="3" t="s">
        <v>455</v>
      </c>
      <c r="C82" s="27" t="s">
        <v>456</v>
      </c>
      <c r="D82" s="3" t="s">
        <v>456</v>
      </c>
      <c r="E82" s="29">
        <v>13001</v>
      </c>
      <c r="F82" s="3" t="s">
        <v>459</v>
      </c>
      <c r="G82" s="4">
        <v>13104</v>
      </c>
      <c r="H82" s="10">
        <v>198.70179899999999</v>
      </c>
      <c r="I82" s="42" t="s">
        <v>352</v>
      </c>
      <c r="J82" s="41">
        <v>805.65392099999997</v>
      </c>
      <c r="K82" s="42" t="s">
        <v>352</v>
      </c>
      <c r="L82" s="119">
        <v>93.83</v>
      </c>
      <c r="M82" s="120">
        <v>100</v>
      </c>
      <c r="N82" s="42" t="s">
        <v>352</v>
      </c>
      <c r="O82" s="60">
        <v>834.21</v>
      </c>
      <c r="P82" s="42" t="s">
        <v>352</v>
      </c>
      <c r="Q82" s="60">
        <v>361.4</v>
      </c>
      <c r="R82" s="122">
        <v>0.99</v>
      </c>
      <c r="S82" s="62">
        <v>307.94</v>
      </c>
      <c r="T82" s="42" t="s">
        <v>352</v>
      </c>
      <c r="U82" s="42" t="s">
        <v>352</v>
      </c>
      <c r="V82" s="42" t="s">
        <v>352</v>
      </c>
      <c r="W82" s="42" t="s">
        <v>352</v>
      </c>
      <c r="X82" s="42" t="s">
        <v>352</v>
      </c>
      <c r="Y82" s="42" t="s">
        <v>352</v>
      </c>
      <c r="Z82" s="122">
        <v>49.2</v>
      </c>
      <c r="AA82" s="135">
        <v>1.271186440677966</v>
      </c>
      <c r="AB82" s="125">
        <v>40.799999999999997</v>
      </c>
      <c r="AC82" s="144">
        <v>78.2</v>
      </c>
      <c r="AD82" s="42" t="s">
        <v>352</v>
      </c>
      <c r="AE82" s="42" t="s">
        <v>352</v>
      </c>
      <c r="AF82" s="134">
        <v>17.77</v>
      </c>
      <c r="AG82" s="134">
        <v>22.93</v>
      </c>
      <c r="AH82" s="134">
        <v>29.72</v>
      </c>
      <c r="AI82" s="134">
        <v>19.16</v>
      </c>
      <c r="AJ82" s="150">
        <v>4.37</v>
      </c>
      <c r="AK82" s="152">
        <v>95.51</v>
      </c>
      <c r="AL82" s="123">
        <v>13.08</v>
      </c>
      <c r="AM82" s="123">
        <v>24.12</v>
      </c>
      <c r="AN82" s="122">
        <v>1.2883515602887738</v>
      </c>
      <c r="AO82" s="162">
        <v>0</v>
      </c>
      <c r="AP82" s="59" t="s">
        <v>351</v>
      </c>
      <c r="AQ82" s="160">
        <v>697.97</v>
      </c>
      <c r="AR82" s="161">
        <v>342.93</v>
      </c>
      <c r="AS82" s="200">
        <v>7.4116950062644675E-3</v>
      </c>
      <c r="AT82" s="42" t="s">
        <v>352</v>
      </c>
      <c r="AU82" s="42" t="s">
        <v>352</v>
      </c>
      <c r="AV82" s="164">
        <v>562.72382417699021</v>
      </c>
      <c r="AW82" s="164">
        <v>15.465653752497047</v>
      </c>
      <c r="AX82" s="164">
        <v>12.52</v>
      </c>
      <c r="AY82" s="42" t="s">
        <v>352</v>
      </c>
      <c r="AZ82" s="165">
        <v>1.75</v>
      </c>
      <c r="BA82" s="42" t="s">
        <v>352</v>
      </c>
      <c r="BB82" s="42" t="s">
        <v>352</v>
      </c>
      <c r="BC82" s="42" t="s">
        <v>352</v>
      </c>
      <c r="BD82" s="42" t="s">
        <v>352</v>
      </c>
      <c r="BE82" s="200">
        <v>0.05</v>
      </c>
      <c r="BF82" s="200">
        <v>60.78</v>
      </c>
      <c r="BG82" s="168">
        <v>7.43</v>
      </c>
      <c r="BH82" s="171">
        <v>29.37</v>
      </c>
      <c r="BI82" s="42" t="s">
        <v>352</v>
      </c>
      <c r="BJ82" s="42" t="s">
        <v>352</v>
      </c>
      <c r="BK82" s="42" t="s">
        <v>352</v>
      </c>
      <c r="BL82" s="162">
        <v>174.90266983566877</v>
      </c>
      <c r="BM82" s="162">
        <v>99.590265525437076</v>
      </c>
      <c r="BN82" s="162">
        <v>63.866085358918653</v>
      </c>
      <c r="BO82" s="42" t="s">
        <v>352</v>
      </c>
      <c r="BP82" s="42" t="s">
        <v>352</v>
      </c>
      <c r="BQ82" s="42" t="s">
        <v>352</v>
      </c>
      <c r="BR82" s="182" t="s">
        <v>358</v>
      </c>
      <c r="BS82" s="126">
        <v>22.61</v>
      </c>
      <c r="BT82" s="186" t="s">
        <v>353</v>
      </c>
      <c r="BU82" s="131">
        <v>43.59</v>
      </c>
      <c r="BV82" s="42" t="s">
        <v>352</v>
      </c>
      <c r="BW82" s="42" t="s">
        <v>352</v>
      </c>
      <c r="BX82" s="42" t="s">
        <v>352</v>
      </c>
      <c r="BY82" s="42" t="s">
        <v>352</v>
      </c>
      <c r="BZ82" s="190" t="s">
        <v>359</v>
      </c>
      <c r="CA82" s="190" t="s">
        <v>359</v>
      </c>
      <c r="CB82" s="198" t="s">
        <v>355</v>
      </c>
      <c r="CC82" s="39">
        <v>4850.8441186334403</v>
      </c>
      <c r="CD82" s="42" t="s">
        <v>352</v>
      </c>
    </row>
    <row r="83" spans="1:82">
      <c r="A83" s="3" t="s">
        <v>454</v>
      </c>
      <c r="B83" s="3" t="s">
        <v>455</v>
      </c>
      <c r="C83" s="27" t="s">
        <v>456</v>
      </c>
      <c r="D83" s="3" t="s">
        <v>456</v>
      </c>
      <c r="E83" s="29">
        <v>13001</v>
      </c>
      <c r="F83" s="3" t="s">
        <v>460</v>
      </c>
      <c r="G83" s="4">
        <v>13105</v>
      </c>
      <c r="H83" s="10">
        <v>257.46180399999997</v>
      </c>
      <c r="I83" s="42" t="s">
        <v>352</v>
      </c>
      <c r="J83" s="41">
        <v>1363.622267</v>
      </c>
      <c r="K83" s="42" t="s">
        <v>352</v>
      </c>
      <c r="L83" s="119">
        <v>79.42</v>
      </c>
      <c r="M83" s="120">
        <v>98.5</v>
      </c>
      <c r="N83" s="42" t="s">
        <v>352</v>
      </c>
      <c r="O83" s="60">
        <v>703.74</v>
      </c>
      <c r="P83" s="42" t="s">
        <v>352</v>
      </c>
      <c r="Q83" s="60">
        <v>374.87</v>
      </c>
      <c r="R83" s="122">
        <v>1.04</v>
      </c>
      <c r="S83" s="62">
        <v>286.5</v>
      </c>
      <c r="T83" s="42" t="s">
        <v>352</v>
      </c>
      <c r="U83" s="42" t="s">
        <v>352</v>
      </c>
      <c r="V83" s="42" t="s">
        <v>352</v>
      </c>
      <c r="W83" s="42" t="s">
        <v>352</v>
      </c>
      <c r="X83" s="42" t="s">
        <v>352</v>
      </c>
      <c r="Y83" s="42" t="s">
        <v>352</v>
      </c>
      <c r="Z83" s="122">
        <v>37.049999999999997</v>
      </c>
      <c r="AA83" s="135">
        <v>2</v>
      </c>
      <c r="AB83" s="125">
        <v>21.4</v>
      </c>
      <c r="AC83" s="144">
        <v>78.099999999999994</v>
      </c>
      <c r="AD83" s="42" t="s">
        <v>352</v>
      </c>
      <c r="AE83" s="42" t="s">
        <v>352</v>
      </c>
      <c r="AF83" s="134">
        <v>19.670000000000002</v>
      </c>
      <c r="AG83" s="134">
        <v>38.1</v>
      </c>
      <c r="AH83" s="134">
        <v>60.74</v>
      </c>
      <c r="AI83" s="134">
        <v>25.16</v>
      </c>
      <c r="AJ83" s="150">
        <v>2.33</v>
      </c>
      <c r="AK83" s="152">
        <v>213.43</v>
      </c>
      <c r="AL83" s="123">
        <v>6.18</v>
      </c>
      <c r="AM83" s="123">
        <v>10.84</v>
      </c>
      <c r="AN83" s="122">
        <v>1.2802218084185621</v>
      </c>
      <c r="AO83" s="122">
        <v>0.17782510869419507</v>
      </c>
      <c r="AP83" s="59">
        <v>2.74</v>
      </c>
      <c r="AQ83" s="160">
        <v>629.77</v>
      </c>
      <c r="AR83" s="161">
        <v>156.79</v>
      </c>
      <c r="AS83" s="122" t="s">
        <v>351</v>
      </c>
      <c r="AT83" s="42" t="s">
        <v>352</v>
      </c>
      <c r="AU83" s="42" t="s">
        <v>352</v>
      </c>
      <c r="AV83" s="164">
        <v>568.49758686250345</v>
      </c>
      <c r="AW83" s="164">
        <v>15.86709196615487</v>
      </c>
      <c r="AX83" s="164">
        <v>20.68</v>
      </c>
      <c r="AY83" s="42" t="s">
        <v>352</v>
      </c>
      <c r="AZ83" s="165">
        <v>2.0499999999999998</v>
      </c>
      <c r="BA83" s="42" t="s">
        <v>352</v>
      </c>
      <c r="BB83" s="42" t="s">
        <v>352</v>
      </c>
      <c r="BC83" s="42" t="s">
        <v>352</v>
      </c>
      <c r="BD83" s="42" t="s">
        <v>352</v>
      </c>
      <c r="BE83" s="200">
        <v>0</v>
      </c>
      <c r="BF83" s="200">
        <v>0</v>
      </c>
      <c r="BG83" s="168">
        <v>9.58</v>
      </c>
      <c r="BH83" s="171">
        <v>22.65</v>
      </c>
      <c r="BI83" s="42" t="s">
        <v>352</v>
      </c>
      <c r="BJ83" s="42" t="s">
        <v>352</v>
      </c>
      <c r="BK83" s="42" t="s">
        <v>352</v>
      </c>
      <c r="BL83" s="162">
        <v>136.80337285042015</v>
      </c>
      <c r="BM83" s="162">
        <v>114.93582603929161</v>
      </c>
      <c r="BN83" s="162">
        <v>58.25514470484643</v>
      </c>
      <c r="BO83" s="42" t="s">
        <v>352</v>
      </c>
      <c r="BP83" s="42" t="s">
        <v>352</v>
      </c>
      <c r="BQ83" s="42" t="s">
        <v>352</v>
      </c>
      <c r="BR83" s="182" t="s">
        <v>358</v>
      </c>
      <c r="BS83" s="126">
        <v>63.52</v>
      </c>
      <c r="BT83" s="186" t="s">
        <v>355</v>
      </c>
      <c r="BU83" s="131">
        <v>68.42</v>
      </c>
      <c r="BV83" s="42" t="s">
        <v>352</v>
      </c>
      <c r="BW83" s="42" t="s">
        <v>352</v>
      </c>
      <c r="BX83" s="42" t="s">
        <v>352</v>
      </c>
      <c r="BY83" s="42" t="s">
        <v>352</v>
      </c>
      <c r="BZ83" s="190" t="s">
        <v>359</v>
      </c>
      <c r="CA83" s="190" t="s">
        <v>359</v>
      </c>
      <c r="CB83" s="198" t="s">
        <v>355</v>
      </c>
      <c r="CC83" s="39">
        <v>27.990459918244532</v>
      </c>
      <c r="CD83" s="42" t="s">
        <v>352</v>
      </c>
    </row>
    <row r="84" spans="1:82">
      <c r="A84" s="3" t="s">
        <v>454</v>
      </c>
      <c r="B84" s="3" t="s">
        <v>455</v>
      </c>
      <c r="C84" s="27" t="s">
        <v>456</v>
      </c>
      <c r="D84" s="3" t="s">
        <v>456</v>
      </c>
      <c r="E84" s="29">
        <v>13001</v>
      </c>
      <c r="F84" s="3" t="s">
        <v>461</v>
      </c>
      <c r="G84" s="4">
        <v>13106</v>
      </c>
      <c r="H84" s="10">
        <v>285.85216100000002</v>
      </c>
      <c r="I84" s="42" t="s">
        <v>352</v>
      </c>
      <c r="J84" s="41">
        <v>855.60167899999999</v>
      </c>
      <c r="K84" s="42" t="s">
        <v>352</v>
      </c>
      <c r="L84" s="119">
        <v>74.599999999999994</v>
      </c>
      <c r="M84" s="120">
        <v>100</v>
      </c>
      <c r="N84" s="42" t="s">
        <v>352</v>
      </c>
      <c r="O84" s="60">
        <v>1036.55</v>
      </c>
      <c r="P84" s="42" t="s">
        <v>352</v>
      </c>
      <c r="Q84" s="60">
        <v>444.16</v>
      </c>
      <c r="R84" s="122">
        <v>0.98</v>
      </c>
      <c r="S84" s="62">
        <v>326.61</v>
      </c>
      <c r="T84" s="42" t="s">
        <v>352</v>
      </c>
      <c r="U84" s="42" t="s">
        <v>352</v>
      </c>
      <c r="V84" s="42" t="s">
        <v>352</v>
      </c>
      <c r="W84" s="42" t="s">
        <v>352</v>
      </c>
      <c r="X84" s="42" t="s">
        <v>352</v>
      </c>
      <c r="Y84" s="42" t="s">
        <v>352</v>
      </c>
      <c r="Z84" s="122">
        <v>44</v>
      </c>
      <c r="AA84" s="135">
        <v>1.25</v>
      </c>
      <c r="AB84" s="125">
        <v>30.6</v>
      </c>
      <c r="AC84" s="144">
        <v>71.8</v>
      </c>
      <c r="AD84" s="42" t="s">
        <v>352</v>
      </c>
      <c r="AE84" s="42" t="s">
        <v>352</v>
      </c>
      <c r="AF84" s="134">
        <v>28.02</v>
      </c>
      <c r="AG84" s="134">
        <v>37.79</v>
      </c>
      <c r="AH84" s="134">
        <v>69.430000000000007</v>
      </c>
      <c r="AI84" s="134">
        <v>15.89</v>
      </c>
      <c r="AJ84" s="150">
        <v>6.97</v>
      </c>
      <c r="AK84" s="152">
        <v>166.82</v>
      </c>
      <c r="AL84" s="123">
        <v>13.04</v>
      </c>
      <c r="AM84" s="123">
        <v>32.14</v>
      </c>
      <c r="AN84" s="122">
        <v>1.0535305131905142</v>
      </c>
      <c r="AO84" s="162">
        <v>0</v>
      </c>
      <c r="AP84" s="59">
        <v>1.39</v>
      </c>
      <c r="AQ84" s="160">
        <v>729.23</v>
      </c>
      <c r="AR84" s="161">
        <v>532.52</v>
      </c>
      <c r="AS84" s="200">
        <v>2.3197336496182082E-3</v>
      </c>
      <c r="AT84" s="42" t="s">
        <v>352</v>
      </c>
      <c r="AU84" s="42" t="s">
        <v>352</v>
      </c>
      <c r="AV84" s="164">
        <v>562.81017369727044</v>
      </c>
      <c r="AW84" s="164">
        <v>17.519551993820603</v>
      </c>
      <c r="AX84" s="164">
        <v>9.75</v>
      </c>
      <c r="AY84" s="42" t="s">
        <v>352</v>
      </c>
      <c r="AZ84" s="165">
        <v>3.13</v>
      </c>
      <c r="BA84" s="42" t="s">
        <v>352</v>
      </c>
      <c r="BB84" s="42" t="s">
        <v>352</v>
      </c>
      <c r="BC84" s="42" t="s">
        <v>352</v>
      </c>
      <c r="BD84" s="42" t="s">
        <v>352</v>
      </c>
      <c r="BE84" s="200">
        <v>0.1</v>
      </c>
      <c r="BF84" s="200">
        <v>75.180000000000007</v>
      </c>
      <c r="BG84" s="168">
        <v>5.81</v>
      </c>
      <c r="BH84" s="171">
        <v>23.45</v>
      </c>
      <c r="BI84" s="42" t="s">
        <v>352</v>
      </c>
      <c r="BJ84" s="42" t="s">
        <v>352</v>
      </c>
      <c r="BK84" s="42" t="s">
        <v>352</v>
      </c>
      <c r="BL84" s="162">
        <v>238.64696984326218</v>
      </c>
      <c r="BM84" s="162">
        <v>209.03736603263494</v>
      </c>
      <c r="BN84" s="162">
        <v>54.123351892976302</v>
      </c>
      <c r="BO84" s="42" t="s">
        <v>352</v>
      </c>
      <c r="BP84" s="42" t="s">
        <v>352</v>
      </c>
      <c r="BQ84" s="42" t="s">
        <v>352</v>
      </c>
      <c r="BR84" s="182" t="s">
        <v>358</v>
      </c>
      <c r="BS84" s="126">
        <v>6.82</v>
      </c>
      <c r="BT84" s="186" t="s">
        <v>353</v>
      </c>
      <c r="BU84" s="131">
        <v>16.12</v>
      </c>
      <c r="BV84" s="42" t="s">
        <v>352</v>
      </c>
      <c r="BW84" s="42" t="s">
        <v>352</v>
      </c>
      <c r="BX84" s="42" t="s">
        <v>352</v>
      </c>
      <c r="BY84" s="42" t="s">
        <v>352</v>
      </c>
      <c r="BZ84" s="191">
        <v>0</v>
      </c>
      <c r="CA84" s="191">
        <v>0</v>
      </c>
      <c r="CB84" s="198" t="s">
        <v>355</v>
      </c>
      <c r="CC84" s="39">
        <v>594.40126913627932</v>
      </c>
      <c r="CD84" s="42" t="s">
        <v>352</v>
      </c>
    </row>
    <row r="85" spans="1:82">
      <c r="A85" s="3" t="s">
        <v>454</v>
      </c>
      <c r="B85" s="3" t="s">
        <v>455</v>
      </c>
      <c r="C85" s="27" t="s">
        <v>456</v>
      </c>
      <c r="D85" s="3" t="s">
        <v>456</v>
      </c>
      <c r="E85" s="29">
        <v>13001</v>
      </c>
      <c r="F85" s="3" t="s">
        <v>462</v>
      </c>
      <c r="G85" s="4">
        <v>13107</v>
      </c>
      <c r="H85" s="10">
        <v>264.78082899999998</v>
      </c>
      <c r="I85" s="42" t="s">
        <v>352</v>
      </c>
      <c r="J85" s="41">
        <v>2058.453739</v>
      </c>
      <c r="K85" s="42" t="s">
        <v>352</v>
      </c>
      <c r="L85" s="119">
        <v>85.04</v>
      </c>
      <c r="M85" s="120">
        <v>78.63</v>
      </c>
      <c r="N85" s="42" t="s">
        <v>352</v>
      </c>
      <c r="O85" s="60">
        <v>1301.97</v>
      </c>
      <c r="P85" s="42" t="s">
        <v>352</v>
      </c>
      <c r="Q85" s="60">
        <v>1321.99</v>
      </c>
      <c r="R85" s="122">
        <v>0.36</v>
      </c>
      <c r="S85" s="62">
        <v>647.13</v>
      </c>
      <c r="T85" s="42" t="s">
        <v>352</v>
      </c>
      <c r="U85" s="42" t="s">
        <v>352</v>
      </c>
      <c r="V85" s="42" t="s">
        <v>352</v>
      </c>
      <c r="W85" s="42" t="s">
        <v>352</v>
      </c>
      <c r="X85" s="42" t="s">
        <v>352</v>
      </c>
      <c r="Y85" s="42" t="s">
        <v>352</v>
      </c>
      <c r="Z85" s="122">
        <v>17.2</v>
      </c>
      <c r="AA85" s="135">
        <v>1.1666666666666667</v>
      </c>
      <c r="AB85" s="125">
        <v>22.2</v>
      </c>
      <c r="AC85" s="144">
        <v>63.5</v>
      </c>
      <c r="AD85" s="42" t="s">
        <v>352</v>
      </c>
      <c r="AE85" s="42" t="s">
        <v>352</v>
      </c>
      <c r="AF85" s="134">
        <v>30.11</v>
      </c>
      <c r="AG85" s="134">
        <v>39.479999999999997</v>
      </c>
      <c r="AH85" s="134">
        <v>77.849999999999994</v>
      </c>
      <c r="AI85" s="134">
        <v>34.840000000000003</v>
      </c>
      <c r="AJ85" s="150">
        <v>4.5599999999999996</v>
      </c>
      <c r="AK85" s="152">
        <v>121.32</v>
      </c>
      <c r="AL85" s="123">
        <v>8.15</v>
      </c>
      <c r="AM85" s="123">
        <v>11.84</v>
      </c>
      <c r="AN85" s="122">
        <v>1.3221628416379376</v>
      </c>
      <c r="AO85" s="162">
        <v>0</v>
      </c>
      <c r="AP85" s="59">
        <v>0</v>
      </c>
      <c r="AQ85" s="160">
        <v>836.87</v>
      </c>
      <c r="AR85" s="161">
        <v>1113.8499999999999</v>
      </c>
      <c r="AS85" s="200">
        <v>1.3697668849401013E-2</v>
      </c>
      <c r="AT85" s="42" t="s">
        <v>352</v>
      </c>
      <c r="AU85" s="42" t="s">
        <v>352</v>
      </c>
      <c r="AV85" s="164">
        <v>635.9461114513166</v>
      </c>
      <c r="AW85" s="164">
        <v>17.050989692602389</v>
      </c>
      <c r="AX85" s="164">
        <v>8.19</v>
      </c>
      <c r="AY85" s="42" t="s">
        <v>352</v>
      </c>
      <c r="AZ85" s="165">
        <v>1.53</v>
      </c>
      <c r="BA85" s="42" t="s">
        <v>352</v>
      </c>
      <c r="BB85" s="42" t="s">
        <v>352</v>
      </c>
      <c r="BC85" s="42" t="s">
        <v>352</v>
      </c>
      <c r="BD85" s="42" t="s">
        <v>352</v>
      </c>
      <c r="BE85" s="200">
        <v>0.09</v>
      </c>
      <c r="BF85" s="200">
        <v>55.17</v>
      </c>
      <c r="BG85" s="168">
        <v>5.64</v>
      </c>
      <c r="BH85" s="171">
        <v>28.84</v>
      </c>
      <c r="BI85" s="42" t="s">
        <v>352</v>
      </c>
      <c r="BJ85" s="42" t="s">
        <v>352</v>
      </c>
      <c r="BK85" s="42" t="s">
        <v>352</v>
      </c>
      <c r="BL85" s="162">
        <v>126.69889628751254</v>
      </c>
      <c r="BM85" s="162">
        <v>187.26625923561068</v>
      </c>
      <c r="BN85" s="162">
        <v>56.736294809814829</v>
      </c>
      <c r="BO85" s="42" t="s">
        <v>352</v>
      </c>
      <c r="BP85" s="42" t="s">
        <v>352</v>
      </c>
      <c r="BQ85" s="42" t="s">
        <v>352</v>
      </c>
      <c r="BR85" s="182" t="s">
        <v>358</v>
      </c>
      <c r="BS85" s="126">
        <v>53.68</v>
      </c>
      <c r="BT85" s="186" t="s">
        <v>353</v>
      </c>
      <c r="BU85" s="131">
        <v>7.95</v>
      </c>
      <c r="BV85" s="42" t="s">
        <v>352</v>
      </c>
      <c r="BW85" s="42" t="s">
        <v>352</v>
      </c>
      <c r="BX85" s="42" t="s">
        <v>352</v>
      </c>
      <c r="BY85" s="42" t="s">
        <v>352</v>
      </c>
      <c r="BZ85" s="190" t="s">
        <v>359</v>
      </c>
      <c r="CA85" s="190" t="s">
        <v>359</v>
      </c>
      <c r="CB85" s="198" t="s">
        <v>355</v>
      </c>
      <c r="CC85" s="39">
        <v>0</v>
      </c>
      <c r="CD85" s="42" t="s">
        <v>352</v>
      </c>
    </row>
    <row r="86" spans="1:82">
      <c r="A86" s="3" t="s">
        <v>454</v>
      </c>
      <c r="B86" s="3" t="s">
        <v>455</v>
      </c>
      <c r="C86" s="27" t="s">
        <v>456</v>
      </c>
      <c r="D86" s="3" t="s">
        <v>456</v>
      </c>
      <c r="E86" s="29">
        <v>13001</v>
      </c>
      <c r="F86" s="3" t="s">
        <v>463</v>
      </c>
      <c r="G86" s="4">
        <v>13108</v>
      </c>
      <c r="H86" s="10">
        <v>334.78080499999999</v>
      </c>
      <c r="I86" s="42" t="s">
        <v>352</v>
      </c>
      <c r="J86" s="41">
        <v>1176.4350469999999</v>
      </c>
      <c r="K86" s="42" t="s">
        <v>352</v>
      </c>
      <c r="L86" s="119">
        <v>67.72</v>
      </c>
      <c r="M86" s="120">
        <v>100</v>
      </c>
      <c r="N86" s="42" t="s">
        <v>352</v>
      </c>
      <c r="O86" s="60">
        <v>889.84</v>
      </c>
      <c r="P86" s="42" t="s">
        <v>352</v>
      </c>
      <c r="Q86" s="60">
        <v>357.95</v>
      </c>
      <c r="R86" s="122">
        <v>1</v>
      </c>
      <c r="S86" s="62">
        <v>353.92</v>
      </c>
      <c r="T86" s="42" t="s">
        <v>352</v>
      </c>
      <c r="U86" s="42" t="s">
        <v>352</v>
      </c>
      <c r="V86" s="42" t="s">
        <v>352</v>
      </c>
      <c r="W86" s="42" t="s">
        <v>352</v>
      </c>
      <c r="X86" s="42" t="s">
        <v>352</v>
      </c>
      <c r="Y86" s="42" t="s">
        <v>352</v>
      </c>
      <c r="Z86" s="122">
        <v>27.92</v>
      </c>
      <c r="AA86" s="135">
        <v>0.8</v>
      </c>
      <c r="AB86" s="143">
        <v>34</v>
      </c>
      <c r="AC86" s="144">
        <v>76.7</v>
      </c>
      <c r="AD86" s="42" t="s">
        <v>352</v>
      </c>
      <c r="AE86" s="42" t="s">
        <v>352</v>
      </c>
      <c r="AF86" s="134">
        <v>31.14</v>
      </c>
      <c r="AG86" s="134">
        <v>38.68</v>
      </c>
      <c r="AH86" s="134">
        <v>64.52</v>
      </c>
      <c r="AI86" s="134">
        <v>33.65</v>
      </c>
      <c r="AJ86" s="150">
        <v>6.17</v>
      </c>
      <c r="AK86" s="152">
        <v>182.74</v>
      </c>
      <c r="AL86" s="123">
        <v>16.46</v>
      </c>
      <c r="AM86" s="123">
        <v>28.95</v>
      </c>
      <c r="AN86" s="122">
        <v>1.0541074290069663</v>
      </c>
      <c r="AO86" s="122">
        <v>0.68856784643476632</v>
      </c>
      <c r="AP86" s="59" t="s">
        <v>351</v>
      </c>
      <c r="AQ86" s="160">
        <v>740</v>
      </c>
      <c r="AR86" s="161">
        <v>681.06</v>
      </c>
      <c r="AS86" s="200">
        <v>1.2322444551265824E-3</v>
      </c>
      <c r="AT86" s="42" t="s">
        <v>352</v>
      </c>
      <c r="AU86" s="42" t="s">
        <v>352</v>
      </c>
      <c r="AV86" s="164">
        <v>642.11081529110356</v>
      </c>
      <c r="AW86" s="164">
        <v>19.712239091378738</v>
      </c>
      <c r="AX86" s="164">
        <v>14.22</v>
      </c>
      <c r="AY86" s="42" t="s">
        <v>352</v>
      </c>
      <c r="AZ86" s="165">
        <v>2.46</v>
      </c>
      <c r="BA86" s="42" t="s">
        <v>352</v>
      </c>
      <c r="BB86" s="42" t="s">
        <v>352</v>
      </c>
      <c r="BC86" s="42" t="s">
        <v>352</v>
      </c>
      <c r="BD86" s="42" t="s">
        <v>352</v>
      </c>
      <c r="BE86" s="200">
        <v>0</v>
      </c>
      <c r="BF86" s="200">
        <v>0</v>
      </c>
      <c r="BG86" s="168">
        <v>8.5</v>
      </c>
      <c r="BH86" s="171">
        <v>20.91</v>
      </c>
      <c r="BI86" s="42" t="s">
        <v>352</v>
      </c>
      <c r="BJ86" s="42" t="s">
        <v>352</v>
      </c>
      <c r="BK86" s="42" t="s">
        <v>352</v>
      </c>
      <c r="BL86" s="162">
        <v>150.20317523960799</v>
      </c>
      <c r="BM86" s="162">
        <v>142.72385901874455</v>
      </c>
      <c r="BN86" s="162">
        <v>56.441850244041603</v>
      </c>
      <c r="BO86" s="42" t="s">
        <v>352</v>
      </c>
      <c r="BP86" s="42" t="s">
        <v>352</v>
      </c>
      <c r="BQ86" s="42" t="s">
        <v>352</v>
      </c>
      <c r="BR86" s="182" t="s">
        <v>358</v>
      </c>
      <c r="BS86" s="126">
        <v>29.91</v>
      </c>
      <c r="BT86" s="186" t="s">
        <v>353</v>
      </c>
      <c r="BU86" s="131">
        <v>21.44</v>
      </c>
      <c r="BV86" s="42" t="s">
        <v>352</v>
      </c>
      <c r="BW86" s="42" t="s">
        <v>352</v>
      </c>
      <c r="BX86" s="42" t="s">
        <v>352</v>
      </c>
      <c r="BY86" s="42" t="s">
        <v>352</v>
      </c>
      <c r="BZ86" s="191">
        <v>0</v>
      </c>
      <c r="CA86" s="191">
        <v>33</v>
      </c>
      <c r="CB86" s="198" t="s">
        <v>351</v>
      </c>
      <c r="CC86" s="39" t="s">
        <v>351</v>
      </c>
      <c r="CD86" s="42" t="s">
        <v>352</v>
      </c>
    </row>
    <row r="87" spans="1:82">
      <c r="A87" s="3" t="s">
        <v>454</v>
      </c>
      <c r="B87" s="3" t="s">
        <v>455</v>
      </c>
      <c r="C87" s="27" t="s">
        <v>456</v>
      </c>
      <c r="D87" s="3" t="s">
        <v>456</v>
      </c>
      <c r="E87" s="29">
        <v>13001</v>
      </c>
      <c r="F87" s="3" t="s">
        <v>464</v>
      </c>
      <c r="G87" s="4">
        <v>13109</v>
      </c>
      <c r="H87" s="10">
        <v>373.32590599999997</v>
      </c>
      <c r="I87" s="42" t="s">
        <v>352</v>
      </c>
      <c r="J87" s="41">
        <v>1475.678506</v>
      </c>
      <c r="K87" s="42" t="s">
        <v>352</v>
      </c>
      <c r="L87" s="119">
        <v>53.78</v>
      </c>
      <c r="M87" s="120">
        <v>98.58</v>
      </c>
      <c r="N87" s="42" t="s">
        <v>352</v>
      </c>
      <c r="O87" s="60">
        <v>1029.19</v>
      </c>
      <c r="P87" s="42" t="s">
        <v>352</v>
      </c>
      <c r="Q87" s="60">
        <v>403.29</v>
      </c>
      <c r="R87" s="122">
        <v>1.35</v>
      </c>
      <c r="S87" s="62">
        <v>326.95999999999998</v>
      </c>
      <c r="T87" s="42" t="s">
        <v>352</v>
      </c>
      <c r="U87" s="42" t="s">
        <v>352</v>
      </c>
      <c r="V87" s="42" t="s">
        <v>352</v>
      </c>
      <c r="W87" s="42" t="s">
        <v>352</v>
      </c>
      <c r="X87" s="42" t="s">
        <v>352</v>
      </c>
      <c r="Y87" s="42" t="s">
        <v>352</v>
      </c>
      <c r="Z87" s="122">
        <v>33.799999999999997</v>
      </c>
      <c r="AA87" s="135">
        <v>1.3333333333333333</v>
      </c>
      <c r="AB87" s="125">
        <v>24.5</v>
      </c>
      <c r="AC87" s="144">
        <v>73.400000000000006</v>
      </c>
      <c r="AD87" s="42" t="s">
        <v>352</v>
      </c>
      <c r="AE87" s="42" t="s">
        <v>352</v>
      </c>
      <c r="AF87" s="134">
        <v>20.36</v>
      </c>
      <c r="AG87" s="134">
        <v>32.74</v>
      </c>
      <c r="AH87" s="134">
        <v>56.14</v>
      </c>
      <c r="AI87" s="134">
        <v>17.91</v>
      </c>
      <c r="AJ87" s="150">
        <v>4.05</v>
      </c>
      <c r="AK87" s="152">
        <v>292.54000000000002</v>
      </c>
      <c r="AL87" s="123">
        <v>13.77</v>
      </c>
      <c r="AM87" s="123">
        <v>45.65</v>
      </c>
      <c r="AN87" s="122">
        <v>1.2970920743738967</v>
      </c>
      <c r="AO87" s="122">
        <v>1.0092282712950104E-2</v>
      </c>
      <c r="AP87" s="59">
        <v>1.62</v>
      </c>
      <c r="AQ87" s="160">
        <v>831.64</v>
      </c>
      <c r="AR87" s="161">
        <v>375.97</v>
      </c>
      <c r="AS87" s="200">
        <v>8.1375171497024435E-3</v>
      </c>
      <c r="AT87" s="42" t="s">
        <v>352</v>
      </c>
      <c r="AU87" s="42" t="s">
        <v>352</v>
      </c>
      <c r="AV87" s="164">
        <v>657.40711808267974</v>
      </c>
      <c r="AW87" s="164">
        <v>21.296689948375342</v>
      </c>
      <c r="AX87" s="164">
        <v>6.83</v>
      </c>
      <c r="AY87" s="42" t="s">
        <v>352</v>
      </c>
      <c r="AZ87" s="165">
        <v>2.2200000000000002</v>
      </c>
      <c r="BA87" s="42" t="s">
        <v>352</v>
      </c>
      <c r="BB87" s="42" t="s">
        <v>352</v>
      </c>
      <c r="BC87" s="42" t="s">
        <v>352</v>
      </c>
      <c r="BD87" s="42" t="s">
        <v>352</v>
      </c>
      <c r="BE87" s="200">
        <v>0</v>
      </c>
      <c r="BF87" s="200">
        <v>0</v>
      </c>
      <c r="BG87" s="168">
        <v>6.6</v>
      </c>
      <c r="BH87" s="171">
        <v>17.82</v>
      </c>
      <c r="BI87" s="42" t="s">
        <v>352</v>
      </c>
      <c r="BJ87" s="42" t="s">
        <v>352</v>
      </c>
      <c r="BK87" s="42" t="s">
        <v>352</v>
      </c>
      <c r="BL87" s="162">
        <v>200.52636906569492</v>
      </c>
      <c r="BM87" s="162">
        <v>229.47666767891488</v>
      </c>
      <c r="BN87" s="162">
        <v>50.207510881668192</v>
      </c>
      <c r="BO87" s="42" t="s">
        <v>352</v>
      </c>
      <c r="BP87" s="42" t="s">
        <v>352</v>
      </c>
      <c r="BQ87" s="42" t="s">
        <v>352</v>
      </c>
      <c r="BR87" s="182" t="s">
        <v>358</v>
      </c>
      <c r="BS87" s="126">
        <v>86.49</v>
      </c>
      <c r="BT87" s="186" t="s">
        <v>355</v>
      </c>
      <c r="BU87" s="131">
        <v>19.010000000000002</v>
      </c>
      <c r="BV87" s="42" t="s">
        <v>352</v>
      </c>
      <c r="BW87" s="42" t="s">
        <v>352</v>
      </c>
      <c r="BX87" s="42" t="s">
        <v>352</v>
      </c>
      <c r="BY87" s="42" t="s">
        <v>352</v>
      </c>
      <c r="BZ87" s="190" t="s">
        <v>359</v>
      </c>
      <c r="CA87" s="190" t="s">
        <v>359</v>
      </c>
      <c r="CB87" s="198" t="s">
        <v>353</v>
      </c>
      <c r="CC87" s="39">
        <v>8.0979856260755145</v>
      </c>
      <c r="CD87" s="42" t="s">
        <v>352</v>
      </c>
    </row>
    <row r="88" spans="1:82">
      <c r="A88" s="3" t="s">
        <v>454</v>
      </c>
      <c r="B88" s="3" t="s">
        <v>455</v>
      </c>
      <c r="C88" s="27" t="s">
        <v>456</v>
      </c>
      <c r="D88" s="3" t="s">
        <v>456</v>
      </c>
      <c r="E88" s="29">
        <v>13001</v>
      </c>
      <c r="F88" s="3" t="s">
        <v>465</v>
      </c>
      <c r="G88" s="4">
        <v>13110</v>
      </c>
      <c r="H88" s="10">
        <v>211.12623500000001</v>
      </c>
      <c r="I88" s="42" t="s">
        <v>352</v>
      </c>
      <c r="J88" s="41">
        <v>1661.6334420000001</v>
      </c>
      <c r="K88" s="42" t="s">
        <v>352</v>
      </c>
      <c r="L88" s="119">
        <v>90.66</v>
      </c>
      <c r="M88" s="120">
        <v>93.13</v>
      </c>
      <c r="N88" s="42" t="s">
        <v>352</v>
      </c>
      <c r="O88" s="60">
        <v>1173.28</v>
      </c>
      <c r="P88" s="42" t="s">
        <v>352</v>
      </c>
      <c r="Q88" s="60">
        <v>560.20000000000005</v>
      </c>
      <c r="R88" s="122">
        <v>0.88</v>
      </c>
      <c r="S88" s="62">
        <v>422.46</v>
      </c>
      <c r="T88" s="42" t="s">
        <v>352</v>
      </c>
      <c r="U88" s="42" t="s">
        <v>352</v>
      </c>
      <c r="V88" s="42" t="s">
        <v>352</v>
      </c>
      <c r="W88" s="42" t="s">
        <v>352</v>
      </c>
      <c r="X88" s="42" t="s">
        <v>352</v>
      </c>
      <c r="Y88" s="42" t="s">
        <v>352</v>
      </c>
      <c r="Z88" s="122">
        <v>32.18</v>
      </c>
      <c r="AA88" s="135">
        <v>1.5</v>
      </c>
      <c r="AB88" s="143">
        <v>32</v>
      </c>
      <c r="AC88" s="144">
        <v>62.5</v>
      </c>
      <c r="AD88" s="42" t="s">
        <v>352</v>
      </c>
      <c r="AE88" s="42" t="s">
        <v>352</v>
      </c>
      <c r="AF88" s="134">
        <v>27.26</v>
      </c>
      <c r="AG88" s="134">
        <v>40.630000000000003</v>
      </c>
      <c r="AH88" s="134">
        <v>62.34</v>
      </c>
      <c r="AI88" s="134">
        <v>15.72</v>
      </c>
      <c r="AJ88" s="150">
        <v>1.01</v>
      </c>
      <c r="AK88" s="152">
        <v>120.47</v>
      </c>
      <c r="AL88" s="123">
        <v>12.02</v>
      </c>
      <c r="AM88" s="123">
        <v>27.67</v>
      </c>
      <c r="AN88" s="122">
        <v>1.2270219246923866</v>
      </c>
      <c r="AO88" s="122">
        <v>0.51493403683379912</v>
      </c>
      <c r="AP88" s="59" t="s">
        <v>351</v>
      </c>
      <c r="AQ88" s="160">
        <v>804.81</v>
      </c>
      <c r="AR88" s="161">
        <v>272.77</v>
      </c>
      <c r="AS88" s="200">
        <v>6.4289987339686862E-3</v>
      </c>
      <c r="AT88" s="42" t="s">
        <v>352</v>
      </c>
      <c r="AU88" s="42" t="s">
        <v>352</v>
      </c>
      <c r="AV88" s="164">
        <v>750.20490306664817</v>
      </c>
      <c r="AW88" s="164">
        <v>23.299250720170573</v>
      </c>
      <c r="AX88" s="164">
        <v>3.32</v>
      </c>
      <c r="AY88" s="42" t="s">
        <v>352</v>
      </c>
      <c r="AZ88" s="165">
        <v>2.0299999999999998</v>
      </c>
      <c r="BA88" s="42" t="s">
        <v>352</v>
      </c>
      <c r="BB88" s="42" t="s">
        <v>352</v>
      </c>
      <c r="BC88" s="42" t="s">
        <v>352</v>
      </c>
      <c r="BD88" s="42" t="s">
        <v>352</v>
      </c>
      <c r="BE88" s="200">
        <v>0.05</v>
      </c>
      <c r="BF88" s="200">
        <v>54.97</v>
      </c>
      <c r="BG88" s="168">
        <v>4.5</v>
      </c>
      <c r="BH88" s="171">
        <v>18.989999999999998</v>
      </c>
      <c r="BI88" s="42" t="s">
        <v>352</v>
      </c>
      <c r="BJ88" s="42" t="s">
        <v>352</v>
      </c>
      <c r="BK88" s="42" t="s">
        <v>352</v>
      </c>
      <c r="BL88" s="162">
        <v>131.70993570760697</v>
      </c>
      <c r="BM88" s="162">
        <v>155.0981523812884</v>
      </c>
      <c r="BN88" s="162">
        <v>53.782817221590754</v>
      </c>
      <c r="BO88" s="42" t="s">
        <v>352</v>
      </c>
      <c r="BP88" s="42" t="s">
        <v>352</v>
      </c>
      <c r="BQ88" s="42" t="s">
        <v>352</v>
      </c>
      <c r="BR88" s="182" t="s">
        <v>358</v>
      </c>
      <c r="BS88" s="126">
        <v>59.71</v>
      </c>
      <c r="BT88" s="186" t="s">
        <v>353</v>
      </c>
      <c r="BU88" s="131">
        <v>34.229999999999997</v>
      </c>
      <c r="BV88" s="42" t="s">
        <v>352</v>
      </c>
      <c r="BW88" s="42" t="s">
        <v>352</v>
      </c>
      <c r="BX88" s="42" t="s">
        <v>352</v>
      </c>
      <c r="BY88" s="42" t="s">
        <v>352</v>
      </c>
      <c r="BZ88" s="190" t="s">
        <v>359</v>
      </c>
      <c r="CA88" s="190" t="s">
        <v>359</v>
      </c>
      <c r="CB88" s="198" t="s">
        <v>351</v>
      </c>
      <c r="CC88" s="39" t="s">
        <v>351</v>
      </c>
      <c r="CD88" s="42" t="s">
        <v>352</v>
      </c>
    </row>
    <row r="89" spans="1:82">
      <c r="A89" s="3" t="s">
        <v>454</v>
      </c>
      <c r="B89" s="3" t="s">
        <v>455</v>
      </c>
      <c r="C89" s="27" t="s">
        <v>456</v>
      </c>
      <c r="D89" s="3" t="s">
        <v>456</v>
      </c>
      <c r="E89" s="29">
        <v>13001</v>
      </c>
      <c r="F89" s="3" t="s">
        <v>466</v>
      </c>
      <c r="G89" s="4">
        <v>13111</v>
      </c>
      <c r="H89" s="10">
        <v>222.80355800000001</v>
      </c>
      <c r="I89" s="42" t="s">
        <v>352</v>
      </c>
      <c r="J89" s="41">
        <v>1147.5241659999999</v>
      </c>
      <c r="K89" s="42" t="s">
        <v>352</v>
      </c>
      <c r="L89" s="119">
        <v>86.45</v>
      </c>
      <c r="M89" s="120">
        <v>100</v>
      </c>
      <c r="N89" s="42" t="s">
        <v>352</v>
      </c>
      <c r="O89" s="60">
        <v>673.35</v>
      </c>
      <c r="P89" s="42" t="s">
        <v>352</v>
      </c>
      <c r="Q89" s="60">
        <v>400.21</v>
      </c>
      <c r="R89" s="122">
        <v>0.94</v>
      </c>
      <c r="S89" s="62">
        <v>288.68</v>
      </c>
      <c r="T89" s="42" t="s">
        <v>352</v>
      </c>
      <c r="U89" s="42" t="s">
        <v>352</v>
      </c>
      <c r="V89" s="42" t="s">
        <v>352</v>
      </c>
      <c r="W89" s="42" t="s">
        <v>352</v>
      </c>
      <c r="X89" s="42" t="s">
        <v>352</v>
      </c>
      <c r="Y89" s="42" t="s">
        <v>352</v>
      </c>
      <c r="Z89" s="122">
        <v>52.25</v>
      </c>
      <c r="AA89" s="135">
        <v>1.8</v>
      </c>
      <c r="AB89" s="125">
        <v>21.3</v>
      </c>
      <c r="AC89" s="144">
        <v>68.599999999999994</v>
      </c>
      <c r="AD89" s="42" t="s">
        <v>352</v>
      </c>
      <c r="AE89" s="42" t="s">
        <v>352</v>
      </c>
      <c r="AF89" s="134">
        <v>18.55</v>
      </c>
      <c r="AG89" s="134">
        <v>32.83</v>
      </c>
      <c r="AH89" s="134">
        <v>61.02</v>
      </c>
      <c r="AI89" s="134">
        <v>11.69</v>
      </c>
      <c r="AJ89" s="150">
        <v>3.27</v>
      </c>
      <c r="AK89" s="152">
        <v>182.93</v>
      </c>
      <c r="AL89" s="123">
        <v>9.52</v>
      </c>
      <c r="AM89" s="123">
        <v>32.46</v>
      </c>
      <c r="AN89" s="122">
        <v>1.3872024854286911</v>
      </c>
      <c r="AO89" s="122">
        <v>0.28412317029746803</v>
      </c>
      <c r="AP89" s="59" t="s">
        <v>351</v>
      </c>
      <c r="AQ89" s="160">
        <v>676.96</v>
      </c>
      <c r="AR89" s="161">
        <v>247.1</v>
      </c>
      <c r="AS89" s="200">
        <v>5.7064273306311527E-3</v>
      </c>
      <c r="AT89" s="42" t="s">
        <v>352</v>
      </c>
      <c r="AU89" s="42" t="s">
        <v>352</v>
      </c>
      <c r="AV89" s="164">
        <v>420.28405681136229</v>
      </c>
      <c r="AW89" s="164">
        <v>12.01022424747252</v>
      </c>
      <c r="AX89" s="164">
        <v>6.08</v>
      </c>
      <c r="AY89" s="42" t="s">
        <v>352</v>
      </c>
      <c r="AZ89" s="165">
        <v>2.2000000000000002</v>
      </c>
      <c r="BA89" s="42" t="s">
        <v>352</v>
      </c>
      <c r="BB89" s="42" t="s">
        <v>352</v>
      </c>
      <c r="BC89" s="42" t="s">
        <v>352</v>
      </c>
      <c r="BD89" s="42" t="s">
        <v>352</v>
      </c>
      <c r="BE89" s="200">
        <v>0</v>
      </c>
      <c r="BF89" s="200">
        <v>0</v>
      </c>
      <c r="BG89" s="168">
        <v>4.75</v>
      </c>
      <c r="BH89" s="171">
        <v>21.91</v>
      </c>
      <c r="BI89" s="42" t="s">
        <v>352</v>
      </c>
      <c r="BJ89" s="42" t="s">
        <v>352</v>
      </c>
      <c r="BK89" s="42" t="s">
        <v>352</v>
      </c>
      <c r="BL89" s="162">
        <v>191.33715517663776</v>
      </c>
      <c r="BM89" s="162">
        <v>100.28255508190831</v>
      </c>
      <c r="BN89" s="162">
        <v>66.228951279664201</v>
      </c>
      <c r="BO89" s="42" t="s">
        <v>352</v>
      </c>
      <c r="BP89" s="42" t="s">
        <v>352</v>
      </c>
      <c r="BQ89" s="42" t="s">
        <v>352</v>
      </c>
      <c r="BR89" s="182" t="s">
        <v>358</v>
      </c>
      <c r="BS89" s="126">
        <v>53.27</v>
      </c>
      <c r="BT89" s="186" t="s">
        <v>353</v>
      </c>
      <c r="BU89" s="131">
        <v>69.319999999999993</v>
      </c>
      <c r="BV89" s="42" t="s">
        <v>352</v>
      </c>
      <c r="BW89" s="42" t="s">
        <v>352</v>
      </c>
      <c r="BX89" s="42" t="s">
        <v>352</v>
      </c>
      <c r="BY89" s="42" t="s">
        <v>352</v>
      </c>
      <c r="BZ89" s="190" t="s">
        <v>359</v>
      </c>
      <c r="CA89" s="190" t="s">
        <v>359</v>
      </c>
      <c r="CB89" s="198" t="s">
        <v>351</v>
      </c>
      <c r="CC89" s="39" t="s">
        <v>351</v>
      </c>
      <c r="CD89" s="42" t="s">
        <v>352</v>
      </c>
    </row>
    <row r="90" spans="1:82">
      <c r="A90" s="3" t="s">
        <v>454</v>
      </c>
      <c r="B90" s="3" t="s">
        <v>455</v>
      </c>
      <c r="C90" s="27" t="s">
        <v>456</v>
      </c>
      <c r="D90" s="3" t="s">
        <v>456</v>
      </c>
      <c r="E90" s="29">
        <v>13001</v>
      </c>
      <c r="F90" s="3" t="s">
        <v>467</v>
      </c>
      <c r="G90" s="4">
        <v>13112</v>
      </c>
      <c r="H90" s="10">
        <v>188.873098</v>
      </c>
      <c r="I90" s="42" t="s">
        <v>352</v>
      </c>
      <c r="J90" s="41">
        <v>1485.1685230000001</v>
      </c>
      <c r="K90" s="42" t="s">
        <v>352</v>
      </c>
      <c r="L90" s="119">
        <v>95.4</v>
      </c>
      <c r="M90" s="120">
        <v>99.48</v>
      </c>
      <c r="N90" s="42" t="s">
        <v>352</v>
      </c>
      <c r="O90" s="60">
        <v>860.65</v>
      </c>
      <c r="P90" s="42" t="s">
        <v>352</v>
      </c>
      <c r="Q90" s="60">
        <v>437.89</v>
      </c>
      <c r="R90" s="122">
        <v>0.79</v>
      </c>
      <c r="S90" s="62">
        <v>300.33999999999997</v>
      </c>
      <c r="T90" s="42" t="s">
        <v>352</v>
      </c>
      <c r="U90" s="42" t="s">
        <v>352</v>
      </c>
      <c r="V90" s="42" t="s">
        <v>352</v>
      </c>
      <c r="W90" s="42" t="s">
        <v>352</v>
      </c>
      <c r="X90" s="42" t="s">
        <v>352</v>
      </c>
      <c r="Y90" s="42" t="s">
        <v>352</v>
      </c>
      <c r="Z90" s="122">
        <v>16.489999999999998</v>
      </c>
      <c r="AA90" s="135">
        <v>1.3125</v>
      </c>
      <c r="AB90" s="125">
        <v>38.4</v>
      </c>
      <c r="AC90" s="146">
        <v>77</v>
      </c>
      <c r="AD90" s="42" t="s">
        <v>352</v>
      </c>
      <c r="AE90" s="42" t="s">
        <v>352</v>
      </c>
      <c r="AF90" s="134">
        <v>37.58</v>
      </c>
      <c r="AG90" s="134">
        <v>47.26</v>
      </c>
      <c r="AH90" s="134">
        <v>78.290000000000006</v>
      </c>
      <c r="AI90" s="134">
        <v>28.61</v>
      </c>
      <c r="AJ90" s="150">
        <v>10.07</v>
      </c>
      <c r="AK90" s="152">
        <v>113.91</v>
      </c>
      <c r="AL90" s="123">
        <v>7.72</v>
      </c>
      <c r="AM90" s="123">
        <v>12.52</v>
      </c>
      <c r="AN90" s="122">
        <v>1.3145468147571409</v>
      </c>
      <c r="AO90" s="162">
        <v>0</v>
      </c>
      <c r="AP90" s="59" t="s">
        <v>351</v>
      </c>
      <c r="AQ90" s="160">
        <v>571.14</v>
      </c>
      <c r="AR90" s="161">
        <v>260.07</v>
      </c>
      <c r="AS90" s="200">
        <v>7.3134307770372697E-3</v>
      </c>
      <c r="AT90" s="42" t="s">
        <v>352</v>
      </c>
      <c r="AU90" s="42" t="s">
        <v>352</v>
      </c>
      <c r="AV90" s="164">
        <v>277.44265417890307</v>
      </c>
      <c r="AW90" s="164">
        <v>7.4077606120329751</v>
      </c>
      <c r="AX90" s="164">
        <v>7.09</v>
      </c>
      <c r="AY90" s="42" t="s">
        <v>352</v>
      </c>
      <c r="AZ90" s="166" t="s">
        <v>351</v>
      </c>
      <c r="BA90" s="42" t="s">
        <v>352</v>
      </c>
      <c r="BB90" s="42" t="s">
        <v>352</v>
      </c>
      <c r="BC90" s="42" t="s">
        <v>352</v>
      </c>
      <c r="BD90" s="42" t="s">
        <v>352</v>
      </c>
      <c r="BE90" s="200">
        <v>0</v>
      </c>
      <c r="BF90" s="200">
        <v>0</v>
      </c>
      <c r="BG90" s="168">
        <v>14.14</v>
      </c>
      <c r="BH90" s="171">
        <v>32.74</v>
      </c>
      <c r="BI90" s="42" t="s">
        <v>352</v>
      </c>
      <c r="BJ90" s="42" t="s">
        <v>352</v>
      </c>
      <c r="BK90" s="42" t="s">
        <v>352</v>
      </c>
      <c r="BL90" s="162">
        <v>143.41873821179561</v>
      </c>
      <c r="BM90" s="162">
        <v>85.139974993112503</v>
      </c>
      <c r="BN90" s="162">
        <v>80.689596710958526</v>
      </c>
      <c r="BO90" s="42" t="s">
        <v>352</v>
      </c>
      <c r="BP90" s="42" t="s">
        <v>352</v>
      </c>
      <c r="BQ90" s="42" t="s">
        <v>352</v>
      </c>
      <c r="BR90" s="182" t="s">
        <v>358</v>
      </c>
      <c r="BS90" s="126">
        <v>83.1</v>
      </c>
      <c r="BT90" s="186" t="s">
        <v>353</v>
      </c>
      <c r="BU90" s="131">
        <v>79.33</v>
      </c>
      <c r="BV90" s="42" t="s">
        <v>352</v>
      </c>
      <c r="BW90" s="42" t="s">
        <v>352</v>
      </c>
      <c r="BX90" s="42" t="s">
        <v>352</v>
      </c>
      <c r="BY90" s="42" t="s">
        <v>352</v>
      </c>
      <c r="BZ90" s="190" t="s">
        <v>359</v>
      </c>
      <c r="CA90" s="190" t="s">
        <v>359</v>
      </c>
      <c r="CB90" s="198" t="s">
        <v>351</v>
      </c>
      <c r="CC90" s="39" t="s">
        <v>351</v>
      </c>
      <c r="CD90" s="42" t="s">
        <v>352</v>
      </c>
    </row>
    <row r="91" spans="1:82">
      <c r="A91" s="3" t="s">
        <v>454</v>
      </c>
      <c r="B91" s="3" t="s">
        <v>455</v>
      </c>
      <c r="C91" s="27" t="s">
        <v>456</v>
      </c>
      <c r="D91" s="3" t="s">
        <v>456</v>
      </c>
      <c r="E91" s="29">
        <v>13001</v>
      </c>
      <c r="F91" s="3" t="s">
        <v>468</v>
      </c>
      <c r="G91" s="4">
        <v>13113</v>
      </c>
      <c r="H91" s="10">
        <v>443.90898199999998</v>
      </c>
      <c r="I91" s="42" t="s">
        <v>352</v>
      </c>
      <c r="J91" s="41">
        <v>921.75154999999995</v>
      </c>
      <c r="K91" s="42" t="s">
        <v>352</v>
      </c>
      <c r="L91" s="119">
        <v>52.49</v>
      </c>
      <c r="M91" s="120">
        <v>100</v>
      </c>
      <c r="N91" s="42" t="s">
        <v>352</v>
      </c>
      <c r="O91" s="60">
        <v>1241.74</v>
      </c>
      <c r="P91" s="42" t="s">
        <v>352</v>
      </c>
      <c r="Q91" s="60">
        <v>784.58</v>
      </c>
      <c r="R91" s="122">
        <v>0.55000000000000004</v>
      </c>
      <c r="S91" s="62">
        <v>605.79999999999995</v>
      </c>
      <c r="T91" s="42" t="s">
        <v>352</v>
      </c>
      <c r="U91" s="42" t="s">
        <v>352</v>
      </c>
      <c r="V91" s="42" t="s">
        <v>352</v>
      </c>
      <c r="W91" s="42" t="s">
        <v>352</v>
      </c>
      <c r="X91" s="42" t="s">
        <v>352</v>
      </c>
      <c r="Y91" s="42" t="s">
        <v>352</v>
      </c>
      <c r="Z91" s="122">
        <v>26.88</v>
      </c>
      <c r="AA91" s="135">
        <v>1.25</v>
      </c>
      <c r="AB91" s="125">
        <v>23.1</v>
      </c>
      <c r="AC91" s="144">
        <v>45.9</v>
      </c>
      <c r="AD91" s="42" t="s">
        <v>352</v>
      </c>
      <c r="AE91" s="42" t="s">
        <v>352</v>
      </c>
      <c r="AF91" s="134">
        <v>25.87</v>
      </c>
      <c r="AG91" s="134">
        <v>41.09</v>
      </c>
      <c r="AH91" s="134">
        <v>62.72</v>
      </c>
      <c r="AI91" s="134">
        <v>17.77</v>
      </c>
      <c r="AJ91" s="150">
        <v>4.04</v>
      </c>
      <c r="AK91" s="152">
        <v>266.58</v>
      </c>
      <c r="AL91" s="123">
        <v>17.489999999999998</v>
      </c>
      <c r="AM91" s="123">
        <v>21.05</v>
      </c>
      <c r="AN91" s="122">
        <v>1.2386403923197595</v>
      </c>
      <c r="AO91" s="122">
        <v>1.7736766979872167</v>
      </c>
      <c r="AP91" s="59" t="s">
        <v>351</v>
      </c>
      <c r="AQ91" s="160">
        <v>1129.79</v>
      </c>
      <c r="AR91" s="161">
        <v>670.81</v>
      </c>
      <c r="AS91" s="200">
        <v>7.276126100190948E-2</v>
      </c>
      <c r="AT91" s="42" t="s">
        <v>352</v>
      </c>
      <c r="AU91" s="42" t="s">
        <v>352</v>
      </c>
      <c r="AV91" s="164">
        <v>760.95405773510947</v>
      </c>
      <c r="AW91" s="164">
        <v>23.130673613845889</v>
      </c>
      <c r="AX91" s="164">
        <v>6.73</v>
      </c>
      <c r="AY91" s="42" t="s">
        <v>352</v>
      </c>
      <c r="AZ91" s="165">
        <v>1.7</v>
      </c>
      <c r="BA91" s="42" t="s">
        <v>352</v>
      </c>
      <c r="BB91" s="42" t="s">
        <v>352</v>
      </c>
      <c r="BC91" s="42" t="s">
        <v>352</v>
      </c>
      <c r="BD91" s="42" t="s">
        <v>352</v>
      </c>
      <c r="BE91" s="200">
        <v>0</v>
      </c>
      <c r="BF91" s="200">
        <v>0</v>
      </c>
      <c r="BG91" s="168">
        <v>0.99</v>
      </c>
      <c r="BH91" s="171">
        <v>6.94</v>
      </c>
      <c r="BI91" s="42" t="s">
        <v>352</v>
      </c>
      <c r="BJ91" s="42" t="s">
        <v>352</v>
      </c>
      <c r="BK91" s="42" t="s">
        <v>352</v>
      </c>
      <c r="BL91" s="162">
        <v>80.882130199024573</v>
      </c>
      <c r="BM91" s="162">
        <v>252.23915260569709</v>
      </c>
      <c r="BN91" s="162">
        <v>40.28960043621823</v>
      </c>
      <c r="BO91" s="42" t="s">
        <v>352</v>
      </c>
      <c r="BP91" s="42" t="s">
        <v>352</v>
      </c>
      <c r="BQ91" s="42" t="s">
        <v>352</v>
      </c>
      <c r="BR91" s="182" t="s">
        <v>358</v>
      </c>
      <c r="BS91" s="126">
        <v>75.23</v>
      </c>
      <c r="BT91" s="186" t="s">
        <v>353</v>
      </c>
      <c r="BU91" s="131">
        <v>5.98</v>
      </c>
      <c r="BV91" s="42" t="s">
        <v>352</v>
      </c>
      <c r="BW91" s="42" t="s">
        <v>352</v>
      </c>
      <c r="BX91" s="42" t="s">
        <v>352</v>
      </c>
      <c r="BY91" s="42" t="s">
        <v>352</v>
      </c>
      <c r="BZ91" s="190" t="s">
        <v>359</v>
      </c>
      <c r="CA91" s="190" t="s">
        <v>359</v>
      </c>
      <c r="CB91" s="198" t="s">
        <v>351</v>
      </c>
      <c r="CC91" s="39" t="s">
        <v>351</v>
      </c>
      <c r="CD91" s="42" t="s">
        <v>352</v>
      </c>
    </row>
    <row r="92" spans="1:82">
      <c r="A92" s="3" t="s">
        <v>454</v>
      </c>
      <c r="B92" s="3" t="s">
        <v>455</v>
      </c>
      <c r="C92" s="27" t="s">
        <v>456</v>
      </c>
      <c r="D92" s="3" t="s">
        <v>456</v>
      </c>
      <c r="E92" s="29">
        <v>13001</v>
      </c>
      <c r="F92" s="3" t="s">
        <v>469</v>
      </c>
      <c r="G92" s="4">
        <v>13114</v>
      </c>
      <c r="H92" s="10">
        <v>332.79758600000002</v>
      </c>
      <c r="I92" s="42" t="s">
        <v>352</v>
      </c>
      <c r="J92" s="41">
        <v>872.39204099999995</v>
      </c>
      <c r="K92" s="42" t="s">
        <v>352</v>
      </c>
      <c r="L92" s="119">
        <v>73.209999999999994</v>
      </c>
      <c r="M92" s="120">
        <v>100</v>
      </c>
      <c r="N92" s="42" t="s">
        <v>352</v>
      </c>
      <c r="O92" s="60">
        <v>2102.8000000000002</v>
      </c>
      <c r="P92" s="42" t="s">
        <v>352</v>
      </c>
      <c r="Q92" s="60">
        <v>1396.3</v>
      </c>
      <c r="R92" s="122">
        <v>0.23</v>
      </c>
      <c r="S92" s="62">
        <v>817.46</v>
      </c>
      <c r="T92" s="42" t="s">
        <v>352</v>
      </c>
      <c r="U92" s="42" t="s">
        <v>352</v>
      </c>
      <c r="V92" s="42" t="s">
        <v>352</v>
      </c>
      <c r="W92" s="42" t="s">
        <v>352</v>
      </c>
      <c r="X92" s="42" t="s">
        <v>352</v>
      </c>
      <c r="Y92" s="42" t="s">
        <v>352</v>
      </c>
      <c r="Z92" s="122">
        <v>29.85</v>
      </c>
      <c r="AA92" s="135">
        <v>1</v>
      </c>
      <c r="AB92" s="125">
        <v>23.6</v>
      </c>
      <c r="AC92" s="144">
        <v>48.6</v>
      </c>
      <c r="AD92" s="42" t="s">
        <v>352</v>
      </c>
      <c r="AE92" s="42" t="s">
        <v>352</v>
      </c>
      <c r="AF92" s="134">
        <v>25.46</v>
      </c>
      <c r="AG92" s="134">
        <v>38.69</v>
      </c>
      <c r="AH92" s="134">
        <v>66.84</v>
      </c>
      <c r="AI92" s="134">
        <v>16.649999999999999</v>
      </c>
      <c r="AJ92" s="150">
        <v>1.86</v>
      </c>
      <c r="AK92" s="152">
        <v>118.15</v>
      </c>
      <c r="AL92" s="123">
        <v>22.3</v>
      </c>
      <c r="AM92" s="123">
        <v>21.12</v>
      </c>
      <c r="AN92" s="122">
        <v>0.99387087046841871</v>
      </c>
      <c r="AO92" s="162">
        <v>0</v>
      </c>
      <c r="AP92" s="59" t="s">
        <v>351</v>
      </c>
      <c r="AQ92" s="160">
        <v>1258.99</v>
      </c>
      <c r="AR92" s="161">
        <v>1380.48</v>
      </c>
      <c r="AS92" s="200">
        <v>0.17659237006115228</v>
      </c>
      <c r="AT92" s="42" t="s">
        <v>352</v>
      </c>
      <c r="AU92" s="42" t="s">
        <v>352</v>
      </c>
      <c r="AV92" s="164">
        <v>807.73839529944541</v>
      </c>
      <c r="AW92" s="164">
        <v>30.231759709751355</v>
      </c>
      <c r="AX92" s="164">
        <v>3.26</v>
      </c>
      <c r="AY92" s="42" t="s">
        <v>352</v>
      </c>
      <c r="AZ92" s="165">
        <v>3.02</v>
      </c>
      <c r="BA92" s="42" t="s">
        <v>352</v>
      </c>
      <c r="BB92" s="42" t="s">
        <v>352</v>
      </c>
      <c r="BC92" s="42" t="s">
        <v>352</v>
      </c>
      <c r="BD92" s="42" t="s">
        <v>352</v>
      </c>
      <c r="BE92" s="200">
        <v>0</v>
      </c>
      <c r="BF92" s="200">
        <v>0</v>
      </c>
      <c r="BG92" s="168">
        <v>0.19</v>
      </c>
      <c r="BH92" s="171">
        <v>4.2300000000000004</v>
      </c>
      <c r="BI92" s="42" t="s">
        <v>352</v>
      </c>
      <c r="BJ92" s="42" t="s">
        <v>352</v>
      </c>
      <c r="BK92" s="42" t="s">
        <v>352</v>
      </c>
      <c r="BL92" s="162">
        <v>52.704997386401246</v>
      </c>
      <c r="BM92" s="162">
        <v>226.16135028718654</v>
      </c>
      <c r="BN92" s="162">
        <v>23.754365019223094</v>
      </c>
      <c r="BO92" s="42" t="s">
        <v>352</v>
      </c>
      <c r="BP92" s="42" t="s">
        <v>352</v>
      </c>
      <c r="BQ92" s="42" t="s">
        <v>352</v>
      </c>
      <c r="BR92" s="182" t="s">
        <v>358</v>
      </c>
      <c r="BS92" s="126">
        <v>75.37</v>
      </c>
      <c r="BT92" s="186" t="s">
        <v>353</v>
      </c>
      <c r="BU92" s="131">
        <v>1.34</v>
      </c>
      <c r="BV92" s="42" t="s">
        <v>352</v>
      </c>
      <c r="BW92" s="42" t="s">
        <v>352</v>
      </c>
      <c r="BX92" s="42" t="s">
        <v>352</v>
      </c>
      <c r="BY92" s="42" t="s">
        <v>352</v>
      </c>
      <c r="BZ92" s="191">
        <v>0</v>
      </c>
      <c r="CA92" s="191">
        <v>0</v>
      </c>
      <c r="CB92" s="198" t="s">
        <v>353</v>
      </c>
      <c r="CC92" s="39">
        <v>6152.7041839231197</v>
      </c>
      <c r="CD92" s="42" t="s">
        <v>352</v>
      </c>
    </row>
    <row r="93" spans="1:82">
      <c r="A93" s="3" t="s">
        <v>454</v>
      </c>
      <c r="B93" s="3" t="s">
        <v>455</v>
      </c>
      <c r="C93" s="27" t="s">
        <v>456</v>
      </c>
      <c r="D93" s="3" t="s">
        <v>456</v>
      </c>
      <c r="E93" s="29">
        <v>13001</v>
      </c>
      <c r="F93" s="3" t="s">
        <v>470</v>
      </c>
      <c r="G93" s="4">
        <v>13115</v>
      </c>
      <c r="H93" s="10">
        <v>475.44513599999999</v>
      </c>
      <c r="I93" s="42" t="s">
        <v>352</v>
      </c>
      <c r="J93" s="41">
        <v>1380.291592</v>
      </c>
      <c r="K93" s="42" t="s">
        <v>352</v>
      </c>
      <c r="L93" s="119">
        <v>63.17</v>
      </c>
      <c r="M93" s="120">
        <v>91.1</v>
      </c>
      <c r="N93" s="42" t="s">
        <v>352</v>
      </c>
      <c r="O93" s="60">
        <v>2881.19</v>
      </c>
      <c r="P93" s="42" t="s">
        <v>352</v>
      </c>
      <c r="Q93" s="60">
        <v>3195.43</v>
      </c>
      <c r="R93" s="122">
        <v>0.15</v>
      </c>
      <c r="S93" s="62">
        <v>1800.44</v>
      </c>
      <c r="T93" s="42" t="s">
        <v>352</v>
      </c>
      <c r="U93" s="42" t="s">
        <v>352</v>
      </c>
      <c r="V93" s="42" t="s">
        <v>352</v>
      </c>
      <c r="W93" s="42" t="s">
        <v>352</v>
      </c>
      <c r="X93" s="42" t="s">
        <v>352</v>
      </c>
      <c r="Y93" s="42" t="s">
        <v>352</v>
      </c>
      <c r="Z93" s="122">
        <v>13.12</v>
      </c>
      <c r="AA93" s="135">
        <v>1</v>
      </c>
      <c r="AB93" s="125">
        <v>11.6</v>
      </c>
      <c r="AC93" s="144">
        <v>41.1</v>
      </c>
      <c r="AD93" s="42" t="s">
        <v>352</v>
      </c>
      <c r="AE93" s="42" t="s">
        <v>352</v>
      </c>
      <c r="AF93" s="134">
        <v>20.27</v>
      </c>
      <c r="AG93" s="134">
        <v>28.82</v>
      </c>
      <c r="AH93" s="134">
        <v>69.180000000000007</v>
      </c>
      <c r="AI93" s="134">
        <v>19.329999999999998</v>
      </c>
      <c r="AJ93" s="150">
        <v>3.35</v>
      </c>
      <c r="AK93" s="152">
        <v>84.7</v>
      </c>
      <c r="AL93" s="123">
        <v>12.41</v>
      </c>
      <c r="AM93" s="123">
        <v>10.71</v>
      </c>
      <c r="AN93" s="122">
        <v>1.3151489111404189</v>
      </c>
      <c r="AO93" s="122">
        <v>0.44322253437001602</v>
      </c>
      <c r="AP93" s="59" t="s">
        <v>351</v>
      </c>
      <c r="AQ93" s="160">
        <v>1295.76</v>
      </c>
      <c r="AR93" s="161">
        <v>870.27</v>
      </c>
      <c r="AS93" s="200">
        <v>7.3036630763747293E-2</v>
      </c>
      <c r="AT93" s="42" t="s">
        <v>352</v>
      </c>
      <c r="AU93" s="42" t="s">
        <v>352</v>
      </c>
      <c r="AV93" s="164">
        <v>682.52100290935243</v>
      </c>
      <c r="AW93" s="164">
        <v>17.510063737001005</v>
      </c>
      <c r="AX93" s="164">
        <v>5.41</v>
      </c>
      <c r="AY93" s="42" t="s">
        <v>352</v>
      </c>
      <c r="AZ93" s="165">
        <v>1.33</v>
      </c>
      <c r="BA93" s="42" t="s">
        <v>352</v>
      </c>
      <c r="BB93" s="42" t="s">
        <v>352</v>
      </c>
      <c r="BC93" s="42" t="s">
        <v>352</v>
      </c>
      <c r="BD93" s="42" t="s">
        <v>352</v>
      </c>
      <c r="BE93" s="200">
        <v>0.11</v>
      </c>
      <c r="BF93" s="200">
        <v>96.39</v>
      </c>
      <c r="BG93" s="168">
        <v>2.84</v>
      </c>
      <c r="BH93" s="171">
        <v>17.18</v>
      </c>
      <c r="BI93" s="42" t="s">
        <v>352</v>
      </c>
      <c r="BJ93" s="42" t="s">
        <v>352</v>
      </c>
      <c r="BK93" s="42" t="s">
        <v>352</v>
      </c>
      <c r="BL93" s="162">
        <v>39.164709828916472</v>
      </c>
      <c r="BM93" s="162">
        <v>131.41563233814156</v>
      </c>
      <c r="BN93" s="162">
        <v>26.668903052666892</v>
      </c>
      <c r="BO93" s="42" t="s">
        <v>352</v>
      </c>
      <c r="BP93" s="42" t="s">
        <v>352</v>
      </c>
      <c r="BQ93" s="42" t="s">
        <v>352</v>
      </c>
      <c r="BR93" s="182" t="s">
        <v>358</v>
      </c>
      <c r="BS93" s="126">
        <v>76.930000000000007</v>
      </c>
      <c r="BT93" s="186" t="s">
        <v>353</v>
      </c>
      <c r="BU93" s="131">
        <v>1.96</v>
      </c>
      <c r="BV93" s="42" t="s">
        <v>352</v>
      </c>
      <c r="BW93" s="42" t="s">
        <v>352</v>
      </c>
      <c r="BX93" s="42" t="s">
        <v>352</v>
      </c>
      <c r="BY93" s="42" t="s">
        <v>352</v>
      </c>
      <c r="BZ93" s="190" t="s">
        <v>359</v>
      </c>
      <c r="CA93" s="190" t="s">
        <v>359</v>
      </c>
      <c r="CB93" s="198" t="s">
        <v>355</v>
      </c>
      <c r="CC93" s="39">
        <v>519.53406574974838</v>
      </c>
      <c r="CD93" s="42" t="s">
        <v>352</v>
      </c>
    </row>
    <row r="94" spans="1:82">
      <c r="A94" s="3" t="s">
        <v>454</v>
      </c>
      <c r="B94" s="3" t="s">
        <v>455</v>
      </c>
      <c r="C94" s="27" t="s">
        <v>456</v>
      </c>
      <c r="D94" s="3" t="s">
        <v>456</v>
      </c>
      <c r="E94" s="29">
        <v>13001</v>
      </c>
      <c r="F94" s="3" t="s">
        <v>471</v>
      </c>
      <c r="G94" s="4">
        <v>13116</v>
      </c>
      <c r="H94" s="10">
        <v>201.76290299999999</v>
      </c>
      <c r="I94" s="42" t="s">
        <v>352</v>
      </c>
      <c r="J94" s="41">
        <v>822.94915600000002</v>
      </c>
      <c r="K94" s="42" t="s">
        <v>352</v>
      </c>
      <c r="L94" s="119">
        <v>94.65</v>
      </c>
      <c r="M94" s="120">
        <v>100</v>
      </c>
      <c r="N94" s="42" t="s">
        <v>352</v>
      </c>
      <c r="O94" s="60">
        <v>809.37</v>
      </c>
      <c r="P94" s="42" t="s">
        <v>352</v>
      </c>
      <c r="Q94" s="60">
        <v>331.7</v>
      </c>
      <c r="R94" s="122">
        <v>0.67</v>
      </c>
      <c r="S94" s="62">
        <v>271.47000000000003</v>
      </c>
      <c r="T94" s="42" t="s">
        <v>352</v>
      </c>
      <c r="U94" s="42" t="s">
        <v>352</v>
      </c>
      <c r="V94" s="42" t="s">
        <v>352</v>
      </c>
      <c r="W94" s="42" t="s">
        <v>352</v>
      </c>
      <c r="X94" s="42" t="s">
        <v>352</v>
      </c>
      <c r="Y94" s="42" t="s">
        <v>352</v>
      </c>
      <c r="Z94" s="122">
        <v>28.85</v>
      </c>
      <c r="AA94" s="135">
        <v>1.4545454545454546</v>
      </c>
      <c r="AB94" s="125">
        <v>19.899999999999999</v>
      </c>
      <c r="AC94" s="144">
        <v>79.599999999999994</v>
      </c>
      <c r="AD94" s="42" t="s">
        <v>352</v>
      </c>
      <c r="AE94" s="42" t="s">
        <v>352</v>
      </c>
      <c r="AF94" s="134">
        <v>18.010000000000002</v>
      </c>
      <c r="AG94" s="134">
        <v>34.69</v>
      </c>
      <c r="AH94" s="134">
        <v>69.180000000000007</v>
      </c>
      <c r="AI94" s="134">
        <v>14.47</v>
      </c>
      <c r="AJ94" s="150">
        <v>7.72</v>
      </c>
      <c r="AK94" s="152">
        <v>43.42</v>
      </c>
      <c r="AL94" s="123">
        <v>19.170000000000002</v>
      </c>
      <c r="AM94" s="123">
        <v>48.81</v>
      </c>
      <c r="AN94" s="122">
        <v>1.3539535542118435</v>
      </c>
      <c r="AO94" s="162">
        <v>0</v>
      </c>
      <c r="AP94" s="59" t="s">
        <v>351</v>
      </c>
      <c r="AQ94" s="160">
        <v>628.05999999999995</v>
      </c>
      <c r="AR94" s="161">
        <v>248.52</v>
      </c>
      <c r="AS94" s="122" t="s">
        <v>351</v>
      </c>
      <c r="AT94" s="42" t="s">
        <v>352</v>
      </c>
      <c r="AU94" s="42" t="s">
        <v>352</v>
      </c>
      <c r="AV94" s="164">
        <v>412.38964536884629</v>
      </c>
      <c r="AW94" s="164">
        <v>10.636511872485359</v>
      </c>
      <c r="AX94" s="164">
        <v>8.85</v>
      </c>
      <c r="AY94" s="42" t="s">
        <v>352</v>
      </c>
      <c r="AZ94" s="165">
        <v>1.2</v>
      </c>
      <c r="BA94" s="42" t="s">
        <v>352</v>
      </c>
      <c r="BB94" s="42" t="s">
        <v>352</v>
      </c>
      <c r="BC94" s="42" t="s">
        <v>352</v>
      </c>
      <c r="BD94" s="42" t="s">
        <v>352</v>
      </c>
      <c r="BE94" s="200">
        <v>0.06</v>
      </c>
      <c r="BF94" s="200">
        <v>43.75</v>
      </c>
      <c r="BG94" s="168">
        <v>6.69</v>
      </c>
      <c r="BH94" s="171">
        <v>37.5</v>
      </c>
      <c r="BI94" s="42" t="s">
        <v>352</v>
      </c>
      <c r="BJ94" s="42" t="s">
        <v>352</v>
      </c>
      <c r="BK94" s="42" t="s">
        <v>352</v>
      </c>
      <c r="BL94" s="162">
        <v>194.80331522630567</v>
      </c>
      <c r="BM94" s="162">
        <v>91.853767258763241</v>
      </c>
      <c r="BN94" s="162">
        <v>58.855880281350402</v>
      </c>
      <c r="BO94" s="42" t="s">
        <v>352</v>
      </c>
      <c r="BP94" s="42" t="s">
        <v>352</v>
      </c>
      <c r="BQ94" s="42" t="s">
        <v>352</v>
      </c>
      <c r="BR94" s="182" t="s">
        <v>358</v>
      </c>
      <c r="BS94" s="126">
        <v>61.05</v>
      </c>
      <c r="BT94" s="186" t="s">
        <v>355</v>
      </c>
      <c r="BU94" s="131">
        <v>65.89</v>
      </c>
      <c r="BV94" s="42" t="s">
        <v>352</v>
      </c>
      <c r="BW94" s="42" t="s">
        <v>352</v>
      </c>
      <c r="BX94" s="42" t="s">
        <v>352</v>
      </c>
      <c r="BY94" s="42" t="s">
        <v>352</v>
      </c>
      <c r="BZ94" s="191">
        <v>0</v>
      </c>
      <c r="CA94" s="191">
        <v>0</v>
      </c>
      <c r="CB94" s="198" t="s">
        <v>351</v>
      </c>
      <c r="CC94" s="39" t="s">
        <v>351</v>
      </c>
      <c r="CD94" s="42" t="s">
        <v>352</v>
      </c>
    </row>
    <row r="95" spans="1:82">
      <c r="A95" s="3" t="s">
        <v>454</v>
      </c>
      <c r="B95" s="3" t="s">
        <v>455</v>
      </c>
      <c r="C95" s="27" t="s">
        <v>456</v>
      </c>
      <c r="D95" s="3" t="s">
        <v>456</v>
      </c>
      <c r="E95" s="29">
        <v>13001</v>
      </c>
      <c r="F95" s="3" t="s">
        <v>472</v>
      </c>
      <c r="G95" s="4">
        <v>13117</v>
      </c>
      <c r="H95" s="10">
        <v>193.095977</v>
      </c>
      <c r="I95" s="42" t="s">
        <v>352</v>
      </c>
      <c r="J95" s="41">
        <v>598.88002600000004</v>
      </c>
      <c r="K95" s="42" t="s">
        <v>352</v>
      </c>
      <c r="L95" s="119">
        <v>96.01</v>
      </c>
      <c r="M95" s="120">
        <v>100</v>
      </c>
      <c r="N95" s="42" t="s">
        <v>352</v>
      </c>
      <c r="O95" s="60">
        <v>760.15</v>
      </c>
      <c r="P95" s="42" t="s">
        <v>352</v>
      </c>
      <c r="Q95" s="60">
        <v>345.23</v>
      </c>
      <c r="R95" s="122">
        <v>0.78</v>
      </c>
      <c r="S95" s="62">
        <v>273.37</v>
      </c>
      <c r="T95" s="42" t="s">
        <v>352</v>
      </c>
      <c r="U95" s="42" t="s">
        <v>352</v>
      </c>
      <c r="V95" s="42" t="s">
        <v>352</v>
      </c>
      <c r="W95" s="42" t="s">
        <v>352</v>
      </c>
      <c r="X95" s="42" t="s">
        <v>352</v>
      </c>
      <c r="Y95" s="42" t="s">
        <v>352</v>
      </c>
      <c r="Z95" s="122">
        <v>40.299999999999997</v>
      </c>
      <c r="AA95" s="135">
        <v>1.25</v>
      </c>
      <c r="AB95" s="125">
        <v>30.6</v>
      </c>
      <c r="AC95" s="144">
        <v>75.400000000000006</v>
      </c>
      <c r="AD95" s="42" t="s">
        <v>352</v>
      </c>
      <c r="AE95" s="42" t="s">
        <v>352</v>
      </c>
      <c r="AF95" s="134">
        <v>21.98</v>
      </c>
      <c r="AG95" s="134">
        <v>28.22</v>
      </c>
      <c r="AH95" s="134">
        <v>52.3</v>
      </c>
      <c r="AI95" s="134">
        <v>15.35</v>
      </c>
      <c r="AJ95" s="150">
        <v>0</v>
      </c>
      <c r="AK95" s="152">
        <v>254.1</v>
      </c>
      <c r="AL95" s="123">
        <v>8.39</v>
      </c>
      <c r="AM95" s="123">
        <v>17.989999999999998</v>
      </c>
      <c r="AN95" s="122">
        <v>1.1258302164856784</v>
      </c>
      <c r="AO95" s="122">
        <v>0.77344143814863875</v>
      </c>
      <c r="AP95" s="59">
        <v>1.75</v>
      </c>
      <c r="AQ95" s="160">
        <v>625.46</v>
      </c>
      <c r="AR95" s="161">
        <v>152.08000000000001</v>
      </c>
      <c r="AS95" s="122" t="s">
        <v>351</v>
      </c>
      <c r="AT95" s="42" t="s">
        <v>352</v>
      </c>
      <c r="AU95" s="42" t="s">
        <v>352</v>
      </c>
      <c r="AV95" s="164">
        <v>420.07005134831843</v>
      </c>
      <c r="AW95" s="164">
        <v>11.980293082212373</v>
      </c>
      <c r="AX95" s="164">
        <v>10.73</v>
      </c>
      <c r="AY95" s="42" t="s">
        <v>352</v>
      </c>
      <c r="AZ95" s="165">
        <v>2.06</v>
      </c>
      <c r="BA95" s="42" t="s">
        <v>352</v>
      </c>
      <c r="BB95" s="42" t="s">
        <v>352</v>
      </c>
      <c r="BC95" s="42" t="s">
        <v>352</v>
      </c>
      <c r="BD95" s="42" t="s">
        <v>352</v>
      </c>
      <c r="BE95" s="200">
        <v>0</v>
      </c>
      <c r="BF95" s="200">
        <v>0</v>
      </c>
      <c r="BG95" s="168">
        <v>5.78</v>
      </c>
      <c r="BH95" s="171">
        <v>24.48</v>
      </c>
      <c r="BI95" s="42" t="s">
        <v>352</v>
      </c>
      <c r="BJ95" s="42" t="s">
        <v>352</v>
      </c>
      <c r="BK95" s="42" t="s">
        <v>352</v>
      </c>
      <c r="BL95" s="162">
        <v>159.73077557195643</v>
      </c>
      <c r="BM95" s="162">
        <v>101.54105769510528</v>
      </c>
      <c r="BN95" s="162">
        <v>62.359980991358832</v>
      </c>
      <c r="BO95" s="42" t="s">
        <v>352</v>
      </c>
      <c r="BP95" s="42" t="s">
        <v>352</v>
      </c>
      <c r="BQ95" s="42" t="s">
        <v>352</v>
      </c>
      <c r="BR95" s="182" t="s">
        <v>358</v>
      </c>
      <c r="BS95" s="126">
        <v>75.260000000000005</v>
      </c>
      <c r="BT95" s="186" t="s">
        <v>353</v>
      </c>
      <c r="BU95" s="131">
        <v>66.930000000000007</v>
      </c>
      <c r="BV95" s="42" t="s">
        <v>352</v>
      </c>
      <c r="BW95" s="42" t="s">
        <v>352</v>
      </c>
      <c r="BX95" s="42" t="s">
        <v>352</v>
      </c>
      <c r="BY95" s="42" t="s">
        <v>352</v>
      </c>
      <c r="BZ95" s="190" t="s">
        <v>359</v>
      </c>
      <c r="CA95" s="190" t="s">
        <v>359</v>
      </c>
      <c r="CB95" s="198" t="s">
        <v>353</v>
      </c>
      <c r="CC95" s="39">
        <v>0</v>
      </c>
      <c r="CD95" s="42" t="s">
        <v>352</v>
      </c>
    </row>
    <row r="96" spans="1:82">
      <c r="A96" s="3" t="s">
        <v>454</v>
      </c>
      <c r="B96" s="3" t="s">
        <v>455</v>
      </c>
      <c r="C96" s="27" t="s">
        <v>456</v>
      </c>
      <c r="D96" s="3" t="s">
        <v>456</v>
      </c>
      <c r="E96" s="29">
        <v>13001</v>
      </c>
      <c r="F96" s="3" t="s">
        <v>473</v>
      </c>
      <c r="G96" s="4">
        <v>13118</v>
      </c>
      <c r="H96" s="10">
        <v>236.27655100000001</v>
      </c>
      <c r="I96" s="42" t="s">
        <v>352</v>
      </c>
      <c r="J96" s="41">
        <v>846.66210799999999</v>
      </c>
      <c r="K96" s="42" t="s">
        <v>352</v>
      </c>
      <c r="L96" s="119">
        <v>86.52</v>
      </c>
      <c r="M96" s="120">
        <v>100</v>
      </c>
      <c r="N96" s="42" t="s">
        <v>352</v>
      </c>
      <c r="O96" s="60">
        <v>1118.28</v>
      </c>
      <c r="P96" s="42" t="s">
        <v>352</v>
      </c>
      <c r="Q96" s="60">
        <v>530.23</v>
      </c>
      <c r="R96" s="122">
        <v>0.69</v>
      </c>
      <c r="S96" s="62">
        <v>380.59</v>
      </c>
      <c r="T96" s="42" t="s">
        <v>352</v>
      </c>
      <c r="U96" s="42" t="s">
        <v>352</v>
      </c>
      <c r="V96" s="42" t="s">
        <v>352</v>
      </c>
      <c r="W96" s="42" t="s">
        <v>352</v>
      </c>
      <c r="X96" s="42" t="s">
        <v>352</v>
      </c>
      <c r="Y96" s="42" t="s">
        <v>352</v>
      </c>
      <c r="Z96" s="122">
        <v>41.11</v>
      </c>
      <c r="AA96" s="135">
        <v>1.3333333333333333</v>
      </c>
      <c r="AB96" s="125">
        <v>29.4</v>
      </c>
      <c r="AC96" s="144">
        <v>62.9</v>
      </c>
      <c r="AD96" s="42" t="s">
        <v>352</v>
      </c>
      <c r="AE96" s="42" t="s">
        <v>352</v>
      </c>
      <c r="AF96" s="134">
        <v>26.04</v>
      </c>
      <c r="AG96" s="134">
        <v>42.82</v>
      </c>
      <c r="AH96" s="134">
        <v>60.76</v>
      </c>
      <c r="AI96" s="134">
        <v>19.190000000000001</v>
      </c>
      <c r="AJ96" s="150">
        <v>2.2999999999999998</v>
      </c>
      <c r="AK96" s="152">
        <v>151</v>
      </c>
      <c r="AL96" s="123">
        <v>16.920000000000002</v>
      </c>
      <c r="AM96" s="123">
        <v>43.49</v>
      </c>
      <c r="AN96" s="122">
        <v>1.1682794715002198</v>
      </c>
      <c r="AO96" s="162">
        <v>0</v>
      </c>
      <c r="AP96" s="59" t="s">
        <v>351</v>
      </c>
      <c r="AQ96" s="160">
        <v>794.14</v>
      </c>
      <c r="AR96" s="161">
        <v>659.64</v>
      </c>
      <c r="AS96" s="200">
        <v>4.5260272399787589E-2</v>
      </c>
      <c r="AT96" s="42" t="s">
        <v>352</v>
      </c>
      <c r="AU96" s="42" t="s">
        <v>352</v>
      </c>
      <c r="AV96" s="164">
        <v>608.64367401258653</v>
      </c>
      <c r="AW96" s="164">
        <v>20.681858247679489</v>
      </c>
      <c r="AX96" s="164">
        <v>3.2</v>
      </c>
      <c r="AY96" s="42" t="s">
        <v>352</v>
      </c>
      <c r="AZ96" s="165">
        <v>2.86</v>
      </c>
      <c r="BA96" s="42" t="s">
        <v>352</v>
      </c>
      <c r="BB96" s="42" t="s">
        <v>352</v>
      </c>
      <c r="BC96" s="42" t="s">
        <v>352</v>
      </c>
      <c r="BD96" s="42" t="s">
        <v>352</v>
      </c>
      <c r="BE96" s="200">
        <v>0</v>
      </c>
      <c r="BF96" s="200">
        <v>0</v>
      </c>
      <c r="BG96" s="168">
        <v>7.45</v>
      </c>
      <c r="BH96" s="171">
        <v>13.47</v>
      </c>
      <c r="BI96" s="42" t="s">
        <v>352</v>
      </c>
      <c r="BJ96" s="42" t="s">
        <v>352</v>
      </c>
      <c r="BK96" s="42" t="s">
        <v>352</v>
      </c>
      <c r="BL96" s="162">
        <v>122.32978454321781</v>
      </c>
      <c r="BM96" s="162">
        <v>151.76251465887924</v>
      </c>
      <c r="BN96" s="162">
        <v>49.667732070178666</v>
      </c>
      <c r="BO96" s="42" t="s">
        <v>352</v>
      </c>
      <c r="BP96" s="42" t="s">
        <v>352</v>
      </c>
      <c r="BQ96" s="42" t="s">
        <v>352</v>
      </c>
      <c r="BR96" s="182" t="s">
        <v>358</v>
      </c>
      <c r="BS96" s="126">
        <v>32.26</v>
      </c>
      <c r="BT96" s="186" t="s">
        <v>353</v>
      </c>
      <c r="BU96" s="131">
        <v>15.67</v>
      </c>
      <c r="BV96" s="42" t="s">
        <v>352</v>
      </c>
      <c r="BW96" s="42" t="s">
        <v>352</v>
      </c>
      <c r="BX96" s="42" t="s">
        <v>352</v>
      </c>
      <c r="BY96" s="42" t="s">
        <v>352</v>
      </c>
      <c r="BZ96" s="190" t="s">
        <v>359</v>
      </c>
      <c r="CA96" s="190" t="s">
        <v>359</v>
      </c>
      <c r="CB96" s="198" t="s">
        <v>351</v>
      </c>
      <c r="CC96" s="39" t="s">
        <v>351</v>
      </c>
      <c r="CD96" s="42" t="s">
        <v>352</v>
      </c>
    </row>
    <row r="97" spans="1:82">
      <c r="A97" s="3" t="s">
        <v>454</v>
      </c>
      <c r="B97" s="3" t="s">
        <v>455</v>
      </c>
      <c r="C97" s="27" t="s">
        <v>456</v>
      </c>
      <c r="D97" s="3" t="s">
        <v>456</v>
      </c>
      <c r="E97" s="29">
        <v>13001</v>
      </c>
      <c r="F97" s="3" t="s">
        <v>474</v>
      </c>
      <c r="G97" s="4">
        <v>13119</v>
      </c>
      <c r="H97" s="10">
        <v>170.98151100000001</v>
      </c>
      <c r="I97" s="42" t="s">
        <v>352</v>
      </c>
      <c r="J97" s="41">
        <v>824.14758500000005</v>
      </c>
      <c r="K97" s="42" t="s">
        <v>352</v>
      </c>
      <c r="L97" s="119">
        <v>97.09</v>
      </c>
      <c r="M97" s="120">
        <v>99.58</v>
      </c>
      <c r="N97" s="42" t="s">
        <v>352</v>
      </c>
      <c r="O97" s="60">
        <v>1255.21</v>
      </c>
      <c r="P97" s="42" t="s">
        <v>352</v>
      </c>
      <c r="Q97" s="60">
        <v>533.51</v>
      </c>
      <c r="R97" s="122">
        <v>0.86</v>
      </c>
      <c r="S97" s="62">
        <v>378.64</v>
      </c>
      <c r="T97" s="42" t="s">
        <v>352</v>
      </c>
      <c r="U97" s="42" t="s">
        <v>352</v>
      </c>
      <c r="V97" s="42" t="s">
        <v>352</v>
      </c>
      <c r="W97" s="42" t="s">
        <v>352</v>
      </c>
      <c r="X97" s="42" t="s">
        <v>352</v>
      </c>
      <c r="Y97" s="42" t="s">
        <v>352</v>
      </c>
      <c r="Z97" s="122">
        <v>49.08</v>
      </c>
      <c r="AA97" s="135">
        <v>1.5</v>
      </c>
      <c r="AB97" s="125">
        <v>31.8</v>
      </c>
      <c r="AC97" s="146">
        <v>71</v>
      </c>
      <c r="AD97" s="42" t="s">
        <v>352</v>
      </c>
      <c r="AE97" s="42" t="s">
        <v>352</v>
      </c>
      <c r="AF97" s="134">
        <v>29.88</v>
      </c>
      <c r="AG97" s="134">
        <v>43.46</v>
      </c>
      <c r="AH97" s="134">
        <v>63.33</v>
      </c>
      <c r="AI97" s="134">
        <v>26.23</v>
      </c>
      <c r="AJ97" s="150">
        <v>4.41</v>
      </c>
      <c r="AK97" s="152">
        <v>200.3</v>
      </c>
      <c r="AL97" s="123">
        <v>10.61</v>
      </c>
      <c r="AM97" s="123">
        <v>18.239999999999998</v>
      </c>
      <c r="AN97" s="122">
        <v>1.3164375729213746</v>
      </c>
      <c r="AO97" s="122">
        <v>0.73711106637344603</v>
      </c>
      <c r="AP97" s="59">
        <v>0.78</v>
      </c>
      <c r="AQ97" s="160">
        <v>679.5</v>
      </c>
      <c r="AR97" s="161">
        <v>426.87</v>
      </c>
      <c r="AS97" s="200">
        <v>6.9984976409262472E-3</v>
      </c>
      <c r="AT97" s="42" t="s">
        <v>352</v>
      </c>
      <c r="AU97" s="42" t="s">
        <v>352</v>
      </c>
      <c r="AV97" s="164">
        <v>771.55872132139177</v>
      </c>
      <c r="AW97" s="164">
        <v>22.059103807547327</v>
      </c>
      <c r="AX97" s="164">
        <v>6.62</v>
      </c>
      <c r="AY97" s="42" t="s">
        <v>352</v>
      </c>
      <c r="AZ97" s="165">
        <v>1.93</v>
      </c>
      <c r="BA97" s="42" t="s">
        <v>352</v>
      </c>
      <c r="BB97" s="42" t="s">
        <v>352</v>
      </c>
      <c r="BC97" s="42" t="s">
        <v>352</v>
      </c>
      <c r="BD97" s="42" t="s">
        <v>352</v>
      </c>
      <c r="BE97" s="200">
        <v>0.15</v>
      </c>
      <c r="BF97" s="200">
        <v>35.22</v>
      </c>
      <c r="BG97" s="168">
        <v>2.57</v>
      </c>
      <c r="BH97" s="171">
        <v>13.22</v>
      </c>
      <c r="BI97" s="42" t="s">
        <v>352</v>
      </c>
      <c r="BJ97" s="42" t="s">
        <v>352</v>
      </c>
      <c r="BK97" s="42" t="s">
        <v>352</v>
      </c>
      <c r="BL97" s="162">
        <v>98.718111614642893</v>
      </c>
      <c r="BM97" s="162">
        <v>107.89462538647241</v>
      </c>
      <c r="BN97" s="162">
        <v>46.74727881072382</v>
      </c>
      <c r="BO97" s="42" t="s">
        <v>352</v>
      </c>
      <c r="BP97" s="42" t="s">
        <v>352</v>
      </c>
      <c r="BQ97" s="42" t="s">
        <v>352</v>
      </c>
      <c r="BR97" s="182" t="s">
        <v>358</v>
      </c>
      <c r="BS97" s="126">
        <v>43.56</v>
      </c>
      <c r="BT97" s="186" t="s">
        <v>353</v>
      </c>
      <c r="BU97" s="131">
        <v>40.33</v>
      </c>
      <c r="BV97" s="42" t="s">
        <v>352</v>
      </c>
      <c r="BW97" s="42" t="s">
        <v>352</v>
      </c>
      <c r="BX97" s="42" t="s">
        <v>352</v>
      </c>
      <c r="BY97" s="42" t="s">
        <v>352</v>
      </c>
      <c r="BZ97" s="190" t="s">
        <v>359</v>
      </c>
      <c r="CA97" s="190" t="s">
        <v>359</v>
      </c>
      <c r="CB97" s="198" t="s">
        <v>351</v>
      </c>
      <c r="CC97" s="39" t="s">
        <v>351</v>
      </c>
      <c r="CD97" s="42" t="s">
        <v>352</v>
      </c>
    </row>
    <row r="98" spans="1:82">
      <c r="A98" s="3" t="s">
        <v>454</v>
      </c>
      <c r="B98" s="3" t="s">
        <v>455</v>
      </c>
      <c r="C98" s="27" t="s">
        <v>456</v>
      </c>
      <c r="D98" s="3" t="s">
        <v>456</v>
      </c>
      <c r="E98" s="29">
        <v>13001</v>
      </c>
      <c r="F98" s="3" t="s">
        <v>475</v>
      </c>
      <c r="G98" s="4">
        <v>13120</v>
      </c>
      <c r="H98" s="10">
        <v>354.49070999999998</v>
      </c>
      <c r="I98" s="42" t="s">
        <v>352</v>
      </c>
      <c r="J98" s="41">
        <v>1049.098933</v>
      </c>
      <c r="K98" s="42" t="s">
        <v>352</v>
      </c>
      <c r="L98" s="119">
        <v>62.24</v>
      </c>
      <c r="M98" s="120">
        <v>100</v>
      </c>
      <c r="N98" s="42" t="s">
        <v>352</v>
      </c>
      <c r="O98" s="60">
        <v>1086.28</v>
      </c>
      <c r="P98" s="42" t="s">
        <v>352</v>
      </c>
      <c r="Q98" s="60">
        <v>537.91</v>
      </c>
      <c r="R98" s="122">
        <v>0.69</v>
      </c>
      <c r="S98" s="62">
        <v>452.69</v>
      </c>
      <c r="T98" s="42" t="s">
        <v>352</v>
      </c>
      <c r="U98" s="42" t="s">
        <v>352</v>
      </c>
      <c r="V98" s="42" t="s">
        <v>352</v>
      </c>
      <c r="W98" s="42" t="s">
        <v>352</v>
      </c>
      <c r="X98" s="42" t="s">
        <v>352</v>
      </c>
      <c r="Y98" s="42" t="s">
        <v>352</v>
      </c>
      <c r="Z98" s="122">
        <v>51.3</v>
      </c>
      <c r="AA98" s="135">
        <v>1.0833333333333333</v>
      </c>
      <c r="AB98" s="125">
        <v>26.7</v>
      </c>
      <c r="AC98" s="144">
        <v>56.5</v>
      </c>
      <c r="AD98" s="42" t="s">
        <v>352</v>
      </c>
      <c r="AE98" s="42" t="s">
        <v>352</v>
      </c>
      <c r="AF98" s="134">
        <v>25.5</v>
      </c>
      <c r="AG98" s="134">
        <v>39.159999999999997</v>
      </c>
      <c r="AH98" s="134">
        <v>62.38</v>
      </c>
      <c r="AI98" s="134">
        <v>16.149999999999999</v>
      </c>
      <c r="AJ98" s="150">
        <v>0.42</v>
      </c>
      <c r="AK98" s="152">
        <v>174.87</v>
      </c>
      <c r="AL98" s="123">
        <v>19.16</v>
      </c>
      <c r="AM98" s="123">
        <v>22.43</v>
      </c>
      <c r="AN98" s="122">
        <v>0.95272998774563977</v>
      </c>
      <c r="AO98" s="162">
        <v>0</v>
      </c>
      <c r="AP98" s="59" t="s">
        <v>351</v>
      </c>
      <c r="AQ98" s="160">
        <v>1010.37</v>
      </c>
      <c r="AR98" s="161">
        <v>710.89</v>
      </c>
      <c r="AS98" s="200">
        <v>1.9641076997578118E-2</v>
      </c>
      <c r="AT98" s="42" t="s">
        <v>352</v>
      </c>
      <c r="AU98" s="42" t="s">
        <v>352</v>
      </c>
      <c r="AV98" s="164">
        <v>701.4446724481063</v>
      </c>
      <c r="AW98" s="164">
        <v>28.254684261462991</v>
      </c>
      <c r="AX98" s="164">
        <v>4.45</v>
      </c>
      <c r="AY98" s="42" t="s">
        <v>352</v>
      </c>
      <c r="AZ98" s="165">
        <v>3.38</v>
      </c>
      <c r="BA98" s="42" t="s">
        <v>352</v>
      </c>
      <c r="BB98" s="42" t="s">
        <v>352</v>
      </c>
      <c r="BC98" s="42" t="s">
        <v>352</v>
      </c>
      <c r="BD98" s="42" t="s">
        <v>352</v>
      </c>
      <c r="BE98" s="200">
        <v>0</v>
      </c>
      <c r="BF98" s="200">
        <v>0</v>
      </c>
      <c r="BG98" s="168">
        <v>0.9</v>
      </c>
      <c r="BH98" s="171">
        <v>5.76</v>
      </c>
      <c r="BI98" s="42" t="s">
        <v>352</v>
      </c>
      <c r="BJ98" s="42" t="s">
        <v>352</v>
      </c>
      <c r="BK98" s="42" t="s">
        <v>352</v>
      </c>
      <c r="BL98" s="162">
        <v>104.46391114544782</v>
      </c>
      <c r="BM98" s="162">
        <v>226.58076950235304</v>
      </c>
      <c r="BN98" s="162">
        <v>36.676593853451465</v>
      </c>
      <c r="BO98" s="42" t="s">
        <v>352</v>
      </c>
      <c r="BP98" s="42" t="s">
        <v>352</v>
      </c>
      <c r="BQ98" s="42" t="s">
        <v>352</v>
      </c>
      <c r="BR98" s="182" t="s">
        <v>358</v>
      </c>
      <c r="BS98" s="126">
        <v>0.36</v>
      </c>
      <c r="BT98" s="186" t="s">
        <v>353</v>
      </c>
      <c r="BU98" s="131">
        <v>6.59</v>
      </c>
      <c r="BV98" s="42" t="s">
        <v>352</v>
      </c>
      <c r="BW98" s="42" t="s">
        <v>352</v>
      </c>
      <c r="BX98" s="42" t="s">
        <v>352</v>
      </c>
      <c r="BY98" s="42" t="s">
        <v>352</v>
      </c>
      <c r="BZ98" s="191">
        <v>0</v>
      </c>
      <c r="CA98" s="191">
        <v>16.666666666666664</v>
      </c>
      <c r="CB98" s="198" t="s">
        <v>355</v>
      </c>
      <c r="CC98" s="39">
        <v>1557.61298924624</v>
      </c>
      <c r="CD98" s="42" t="s">
        <v>352</v>
      </c>
    </row>
    <row r="99" spans="1:82">
      <c r="A99" s="3" t="s">
        <v>454</v>
      </c>
      <c r="B99" s="3" t="s">
        <v>455</v>
      </c>
      <c r="C99" s="27" t="s">
        <v>456</v>
      </c>
      <c r="D99" s="3" t="s">
        <v>456</v>
      </c>
      <c r="E99" s="29">
        <v>13001</v>
      </c>
      <c r="F99" s="3" t="s">
        <v>476</v>
      </c>
      <c r="G99" s="4">
        <v>13121</v>
      </c>
      <c r="H99" s="10">
        <v>260.61721199999999</v>
      </c>
      <c r="I99" s="42" t="s">
        <v>352</v>
      </c>
      <c r="J99" s="41">
        <v>732.18425200000001</v>
      </c>
      <c r="K99" s="42" t="s">
        <v>352</v>
      </c>
      <c r="L99" s="119">
        <v>85.08</v>
      </c>
      <c r="M99" s="120">
        <v>100</v>
      </c>
      <c r="N99" s="42" t="s">
        <v>352</v>
      </c>
      <c r="O99" s="60">
        <v>695.27</v>
      </c>
      <c r="P99" s="42" t="s">
        <v>352</v>
      </c>
      <c r="Q99" s="60">
        <v>362.77</v>
      </c>
      <c r="R99" s="122">
        <v>0.97</v>
      </c>
      <c r="S99" s="62">
        <v>275.95</v>
      </c>
      <c r="T99" s="42" t="s">
        <v>352</v>
      </c>
      <c r="U99" s="42" t="s">
        <v>352</v>
      </c>
      <c r="V99" s="42" t="s">
        <v>352</v>
      </c>
      <c r="W99" s="42" t="s">
        <v>352</v>
      </c>
      <c r="X99" s="42" t="s">
        <v>352</v>
      </c>
      <c r="Y99" s="42" t="s">
        <v>352</v>
      </c>
      <c r="Z99" s="122">
        <v>49.15</v>
      </c>
      <c r="AA99" s="135">
        <v>1.4166666666666667</v>
      </c>
      <c r="AB99" s="125">
        <v>20.399999999999999</v>
      </c>
      <c r="AC99" s="144">
        <v>69.7</v>
      </c>
      <c r="AD99" s="42" t="s">
        <v>352</v>
      </c>
      <c r="AE99" s="42" t="s">
        <v>352</v>
      </c>
      <c r="AF99" s="134">
        <v>22.35</v>
      </c>
      <c r="AG99" s="134">
        <v>37.520000000000003</v>
      </c>
      <c r="AH99" s="134">
        <v>64.2</v>
      </c>
      <c r="AI99" s="134">
        <v>26.06</v>
      </c>
      <c r="AJ99" s="150">
        <v>8.4</v>
      </c>
      <c r="AK99" s="152">
        <v>84.88</v>
      </c>
      <c r="AL99" s="123">
        <v>15.2</v>
      </c>
      <c r="AM99" s="123">
        <v>37.729999999999997</v>
      </c>
      <c r="AN99" s="122">
        <v>1.110789532025763</v>
      </c>
      <c r="AO99" s="162">
        <v>0</v>
      </c>
      <c r="AP99" s="59" t="s">
        <v>351</v>
      </c>
      <c r="AQ99" s="160">
        <v>700.93</v>
      </c>
      <c r="AR99" s="161">
        <v>188.44</v>
      </c>
      <c r="AS99" s="200">
        <v>1.5738061590357073E-2</v>
      </c>
      <c r="AT99" s="42" t="s">
        <v>352</v>
      </c>
      <c r="AU99" s="42" t="s">
        <v>352</v>
      </c>
      <c r="AV99" s="164">
        <v>671.14341215084744</v>
      </c>
      <c r="AW99" s="164">
        <v>18.69222517606455</v>
      </c>
      <c r="AX99" s="164">
        <v>7.76</v>
      </c>
      <c r="AY99" s="42" t="s">
        <v>352</v>
      </c>
      <c r="AZ99" s="165">
        <v>1.37</v>
      </c>
      <c r="BA99" s="42" t="s">
        <v>352</v>
      </c>
      <c r="BB99" s="42" t="s">
        <v>352</v>
      </c>
      <c r="BC99" s="42" t="s">
        <v>352</v>
      </c>
      <c r="BD99" s="42" t="s">
        <v>352</v>
      </c>
      <c r="BE99" s="200">
        <v>0.03</v>
      </c>
      <c r="BF99" s="200">
        <v>44</v>
      </c>
      <c r="BG99" s="168">
        <v>6.21</v>
      </c>
      <c r="BH99" s="171">
        <v>26.76</v>
      </c>
      <c r="BI99" s="42" t="s">
        <v>352</v>
      </c>
      <c r="BJ99" s="42" t="s">
        <v>352</v>
      </c>
      <c r="BK99" s="42" t="s">
        <v>352</v>
      </c>
      <c r="BL99" s="162">
        <v>138.79949629215056</v>
      </c>
      <c r="BM99" s="162">
        <v>107.45767454876172</v>
      </c>
      <c r="BN99" s="162">
        <v>56.620493447134002</v>
      </c>
      <c r="BO99" s="42" t="s">
        <v>352</v>
      </c>
      <c r="BP99" s="42" t="s">
        <v>352</v>
      </c>
      <c r="BQ99" s="42" t="s">
        <v>352</v>
      </c>
      <c r="BR99" s="182" t="s">
        <v>358</v>
      </c>
      <c r="BS99" s="126">
        <v>58.44</v>
      </c>
      <c r="BT99" s="186" t="s">
        <v>355</v>
      </c>
      <c r="BU99" s="131">
        <v>58.09</v>
      </c>
      <c r="BV99" s="42" t="s">
        <v>352</v>
      </c>
      <c r="BW99" s="42" t="s">
        <v>352</v>
      </c>
      <c r="BX99" s="42" t="s">
        <v>352</v>
      </c>
      <c r="BY99" s="42" t="s">
        <v>352</v>
      </c>
      <c r="BZ99" s="190" t="s">
        <v>359</v>
      </c>
      <c r="CA99" s="190" t="s">
        <v>359</v>
      </c>
      <c r="CB99" s="198" t="s">
        <v>355</v>
      </c>
      <c r="CC99" s="39">
        <v>0</v>
      </c>
      <c r="CD99" s="42" t="s">
        <v>352</v>
      </c>
    </row>
    <row r="100" spans="1:82">
      <c r="A100" s="3" t="s">
        <v>454</v>
      </c>
      <c r="B100" s="3" t="s">
        <v>455</v>
      </c>
      <c r="C100" s="27" t="s">
        <v>456</v>
      </c>
      <c r="D100" s="3" t="s">
        <v>456</v>
      </c>
      <c r="E100" s="29">
        <v>13001</v>
      </c>
      <c r="F100" s="3" t="s">
        <v>477</v>
      </c>
      <c r="G100" s="4">
        <v>13122</v>
      </c>
      <c r="H100" s="10">
        <v>221.037995</v>
      </c>
      <c r="I100" s="42" t="s">
        <v>352</v>
      </c>
      <c r="J100" s="41">
        <v>1020.02286</v>
      </c>
      <c r="K100" s="42" t="s">
        <v>352</v>
      </c>
      <c r="L100" s="119">
        <v>89.83</v>
      </c>
      <c r="M100" s="120">
        <v>99.21</v>
      </c>
      <c r="N100" s="42" t="s">
        <v>352</v>
      </c>
      <c r="O100" s="60">
        <v>1033.3800000000001</v>
      </c>
      <c r="P100" s="42" t="s">
        <v>352</v>
      </c>
      <c r="Q100" s="60">
        <v>728.97</v>
      </c>
      <c r="R100" s="122">
        <v>0.55000000000000004</v>
      </c>
      <c r="S100" s="62">
        <v>507.47</v>
      </c>
      <c r="T100" s="42" t="s">
        <v>352</v>
      </c>
      <c r="U100" s="42" t="s">
        <v>352</v>
      </c>
      <c r="V100" s="42" t="s">
        <v>352</v>
      </c>
      <c r="W100" s="42" t="s">
        <v>352</v>
      </c>
      <c r="X100" s="42" t="s">
        <v>352</v>
      </c>
      <c r="Y100" s="42" t="s">
        <v>352</v>
      </c>
      <c r="Z100" s="122">
        <v>33.130000000000003</v>
      </c>
      <c r="AA100" s="135">
        <v>1.3333333333333333</v>
      </c>
      <c r="AB100" s="125">
        <v>24.4</v>
      </c>
      <c r="AC100" s="144">
        <v>64.599999999999994</v>
      </c>
      <c r="AD100" s="42" t="s">
        <v>352</v>
      </c>
      <c r="AE100" s="42" t="s">
        <v>352</v>
      </c>
      <c r="AF100" s="134">
        <v>26.6</v>
      </c>
      <c r="AG100" s="134">
        <v>38.42</v>
      </c>
      <c r="AH100" s="134">
        <v>54.99</v>
      </c>
      <c r="AI100" s="134">
        <v>35.89</v>
      </c>
      <c r="AJ100" s="150">
        <v>2.29</v>
      </c>
      <c r="AK100" s="152">
        <v>138.79</v>
      </c>
      <c r="AL100" s="123">
        <v>9.0299999999999994</v>
      </c>
      <c r="AM100" s="123">
        <v>24.09</v>
      </c>
      <c r="AN100" s="122">
        <v>1.285822658449759</v>
      </c>
      <c r="AO100" s="122">
        <v>0.35095975994400752</v>
      </c>
      <c r="AP100" s="59">
        <v>3.05</v>
      </c>
      <c r="AQ100" s="160">
        <v>769.09</v>
      </c>
      <c r="AR100" s="161">
        <v>228.92</v>
      </c>
      <c r="AS100" s="200">
        <v>7.9501060306241822E-3</v>
      </c>
      <c r="AT100" s="42" t="s">
        <v>352</v>
      </c>
      <c r="AU100" s="42" t="s">
        <v>352</v>
      </c>
      <c r="AV100" s="164">
        <v>543.26530612244892</v>
      </c>
      <c r="AW100" s="164">
        <v>14.717388320344075</v>
      </c>
      <c r="AX100" s="164">
        <v>4.34</v>
      </c>
      <c r="AY100" s="42" t="s">
        <v>352</v>
      </c>
      <c r="AZ100" s="165">
        <v>1.39</v>
      </c>
      <c r="BA100" s="42" t="s">
        <v>352</v>
      </c>
      <c r="BB100" s="42" t="s">
        <v>352</v>
      </c>
      <c r="BC100" s="42" t="s">
        <v>352</v>
      </c>
      <c r="BD100" s="42" t="s">
        <v>352</v>
      </c>
      <c r="BE100" s="200">
        <v>0.09</v>
      </c>
      <c r="BF100" s="200">
        <v>131.37</v>
      </c>
      <c r="BG100" s="168">
        <v>4.37</v>
      </c>
      <c r="BH100" s="171">
        <v>26.28</v>
      </c>
      <c r="BI100" s="42" t="s">
        <v>352</v>
      </c>
      <c r="BJ100" s="42" t="s">
        <v>352</v>
      </c>
      <c r="BK100" s="42" t="s">
        <v>352</v>
      </c>
      <c r="BL100" s="162">
        <v>100.46974850153278</v>
      </c>
      <c r="BM100" s="162">
        <v>119.26731435020666</v>
      </c>
      <c r="BN100" s="162">
        <v>54.715024326261691</v>
      </c>
      <c r="BO100" s="42" t="s">
        <v>352</v>
      </c>
      <c r="BP100" s="42" t="s">
        <v>352</v>
      </c>
      <c r="BQ100" s="42" t="s">
        <v>352</v>
      </c>
      <c r="BR100" s="182" t="s">
        <v>358</v>
      </c>
      <c r="BS100" s="126">
        <v>56.88</v>
      </c>
      <c r="BT100" s="186" t="s">
        <v>353</v>
      </c>
      <c r="BU100" s="131">
        <v>26.89</v>
      </c>
      <c r="BV100" s="42" t="s">
        <v>352</v>
      </c>
      <c r="BW100" s="42" t="s">
        <v>352</v>
      </c>
      <c r="BX100" s="42" t="s">
        <v>352</v>
      </c>
      <c r="BY100" s="42" t="s">
        <v>352</v>
      </c>
      <c r="BZ100" s="190" t="s">
        <v>359</v>
      </c>
      <c r="CA100" s="190" t="s">
        <v>359</v>
      </c>
      <c r="CB100" s="198" t="s">
        <v>353</v>
      </c>
      <c r="CC100" s="39">
        <v>0</v>
      </c>
      <c r="CD100" s="42" t="s">
        <v>352</v>
      </c>
    </row>
    <row r="101" spans="1:82">
      <c r="A101" s="3" t="s">
        <v>454</v>
      </c>
      <c r="B101" s="3" t="s">
        <v>455</v>
      </c>
      <c r="C101" s="27" t="s">
        <v>456</v>
      </c>
      <c r="D101" s="3" t="s">
        <v>456</v>
      </c>
      <c r="E101" s="29">
        <v>13001</v>
      </c>
      <c r="F101" s="3" t="s">
        <v>478</v>
      </c>
      <c r="G101" s="4">
        <v>13123</v>
      </c>
      <c r="H101" s="10">
        <v>346.54261000000002</v>
      </c>
      <c r="I101" s="42" t="s">
        <v>352</v>
      </c>
      <c r="J101" s="41">
        <v>798.51780900000006</v>
      </c>
      <c r="K101" s="42" t="s">
        <v>352</v>
      </c>
      <c r="L101" s="119">
        <v>63.68</v>
      </c>
      <c r="M101" s="120">
        <v>99.98</v>
      </c>
      <c r="N101" s="42" t="s">
        <v>352</v>
      </c>
      <c r="O101" s="60">
        <v>1089.69</v>
      </c>
      <c r="P101" s="42" t="s">
        <v>352</v>
      </c>
      <c r="Q101" s="60">
        <v>690.85</v>
      </c>
      <c r="R101" s="122">
        <v>0.71</v>
      </c>
      <c r="S101" s="62">
        <v>637.79999999999995</v>
      </c>
      <c r="T101" s="42" t="s">
        <v>352</v>
      </c>
      <c r="U101" s="42" t="s">
        <v>352</v>
      </c>
      <c r="V101" s="42" t="s">
        <v>352</v>
      </c>
      <c r="W101" s="42" t="s">
        <v>352</v>
      </c>
      <c r="X101" s="42" t="s">
        <v>352</v>
      </c>
      <c r="Y101" s="42" t="s">
        <v>352</v>
      </c>
      <c r="Z101" s="122">
        <v>53.39</v>
      </c>
      <c r="AA101" s="135">
        <v>0.75</v>
      </c>
      <c r="AB101" s="125">
        <v>30.2</v>
      </c>
      <c r="AC101" s="144">
        <v>57.8</v>
      </c>
      <c r="AD101" s="42" t="s">
        <v>352</v>
      </c>
      <c r="AE101" s="42" t="s">
        <v>352</v>
      </c>
      <c r="AF101" s="134">
        <v>28.78</v>
      </c>
      <c r="AG101" s="134">
        <v>40.65</v>
      </c>
      <c r="AH101" s="134">
        <v>62.68</v>
      </c>
      <c r="AI101" s="134">
        <v>19.329999999999998</v>
      </c>
      <c r="AJ101" s="150">
        <v>6.47</v>
      </c>
      <c r="AK101" s="152">
        <v>418.27</v>
      </c>
      <c r="AL101" s="123">
        <v>20.09</v>
      </c>
      <c r="AM101" s="123">
        <v>17.059999999999999</v>
      </c>
      <c r="AN101" s="122">
        <v>1.3866494810705665</v>
      </c>
      <c r="AO101" s="122">
        <v>5.2049367524097265</v>
      </c>
      <c r="AP101" s="59" t="s">
        <v>351</v>
      </c>
      <c r="AQ101" s="160">
        <v>1544.12</v>
      </c>
      <c r="AR101" s="161">
        <v>2103.4899999999998</v>
      </c>
      <c r="AS101" s="200">
        <v>3.0579592788192569E-2</v>
      </c>
      <c r="AT101" s="42" t="s">
        <v>352</v>
      </c>
      <c r="AU101" s="42" t="s">
        <v>352</v>
      </c>
      <c r="AV101" s="164">
        <v>837.07655522231289</v>
      </c>
      <c r="AW101" s="164">
        <v>39.214353236729984</v>
      </c>
      <c r="AX101" s="164">
        <v>3.99</v>
      </c>
      <c r="AY101" s="42" t="s">
        <v>352</v>
      </c>
      <c r="AZ101" s="165">
        <v>4.47</v>
      </c>
      <c r="BA101" s="42" t="s">
        <v>352</v>
      </c>
      <c r="BB101" s="42" t="s">
        <v>352</v>
      </c>
      <c r="BC101" s="42" t="s">
        <v>352</v>
      </c>
      <c r="BD101" s="42" t="s">
        <v>352</v>
      </c>
      <c r="BE101" s="200">
        <v>0</v>
      </c>
      <c r="BF101" s="200">
        <v>0</v>
      </c>
      <c r="BG101" s="168">
        <v>0.43</v>
      </c>
      <c r="BH101" s="171">
        <v>3.38</v>
      </c>
      <c r="BI101" s="42" t="s">
        <v>352</v>
      </c>
      <c r="BJ101" s="42" t="s">
        <v>352</v>
      </c>
      <c r="BK101" s="42" t="s">
        <v>352</v>
      </c>
      <c r="BL101" s="162">
        <v>212.69569946777517</v>
      </c>
      <c r="BM101" s="162">
        <v>599.23856882017014</v>
      </c>
      <c r="BN101" s="162">
        <v>28.42417414500861</v>
      </c>
      <c r="BO101" s="42" t="s">
        <v>352</v>
      </c>
      <c r="BP101" s="42" t="s">
        <v>352</v>
      </c>
      <c r="BQ101" s="42" t="s">
        <v>352</v>
      </c>
      <c r="BR101" s="182" t="s">
        <v>358</v>
      </c>
      <c r="BS101" s="126">
        <v>14.93</v>
      </c>
      <c r="BT101" s="186" t="s">
        <v>353</v>
      </c>
      <c r="BU101" s="131">
        <v>2.0299999999999998</v>
      </c>
      <c r="BV101" s="42" t="s">
        <v>352</v>
      </c>
      <c r="BW101" s="42" t="s">
        <v>352</v>
      </c>
      <c r="BX101" s="42" t="s">
        <v>352</v>
      </c>
      <c r="BY101" s="42" t="s">
        <v>352</v>
      </c>
      <c r="BZ101" s="191">
        <v>0</v>
      </c>
      <c r="CA101" s="191">
        <v>22</v>
      </c>
      <c r="CB101" s="198" t="s">
        <v>355</v>
      </c>
      <c r="CC101" s="39">
        <v>6522.4013765328982</v>
      </c>
      <c r="CD101" s="42" t="s">
        <v>352</v>
      </c>
    </row>
    <row r="102" spans="1:82">
      <c r="A102" s="3" t="s">
        <v>454</v>
      </c>
      <c r="B102" s="3" t="s">
        <v>455</v>
      </c>
      <c r="C102" s="27" t="s">
        <v>456</v>
      </c>
      <c r="D102" s="3" t="s">
        <v>456</v>
      </c>
      <c r="E102" s="29">
        <v>13001</v>
      </c>
      <c r="F102" s="3" t="s">
        <v>479</v>
      </c>
      <c r="G102" s="4">
        <v>13124</v>
      </c>
      <c r="H102" s="10">
        <v>178.75994</v>
      </c>
      <c r="I102" s="42" t="s">
        <v>352</v>
      </c>
      <c r="J102" s="41">
        <v>1124.644869</v>
      </c>
      <c r="K102" s="42" t="s">
        <v>352</v>
      </c>
      <c r="L102" s="119">
        <v>94.65</v>
      </c>
      <c r="M102" s="120">
        <v>96.22</v>
      </c>
      <c r="N102" s="42" t="s">
        <v>352</v>
      </c>
      <c r="O102" s="60">
        <v>636.39</v>
      </c>
      <c r="P102" s="42" t="s">
        <v>352</v>
      </c>
      <c r="Q102" s="60">
        <v>375.17</v>
      </c>
      <c r="R102" s="122">
        <v>0.7</v>
      </c>
      <c r="S102" s="62">
        <v>385.61</v>
      </c>
      <c r="T102" s="42" t="s">
        <v>352</v>
      </c>
      <c r="U102" s="42" t="s">
        <v>352</v>
      </c>
      <c r="V102" s="42" t="s">
        <v>352</v>
      </c>
      <c r="W102" s="42" t="s">
        <v>352</v>
      </c>
      <c r="X102" s="42" t="s">
        <v>352</v>
      </c>
      <c r="Y102" s="42" t="s">
        <v>352</v>
      </c>
      <c r="Z102" s="122">
        <v>19.649999999999999</v>
      </c>
      <c r="AA102" s="135">
        <v>1.3333333333333333</v>
      </c>
      <c r="AB102" s="125">
        <v>25.4</v>
      </c>
      <c r="AC102" s="144">
        <v>73.400000000000006</v>
      </c>
      <c r="AD102" s="42" t="s">
        <v>352</v>
      </c>
      <c r="AE102" s="42" t="s">
        <v>352</v>
      </c>
      <c r="AF102" s="134">
        <v>23.65</v>
      </c>
      <c r="AG102" s="134">
        <v>37.950000000000003</v>
      </c>
      <c r="AH102" s="134">
        <v>61.23</v>
      </c>
      <c r="AI102" s="134">
        <v>29.39</v>
      </c>
      <c r="AJ102" s="150">
        <v>7.25</v>
      </c>
      <c r="AK102" s="152">
        <v>224.28</v>
      </c>
      <c r="AL102" s="123">
        <v>9.24</v>
      </c>
      <c r="AM102" s="123">
        <v>19.88</v>
      </c>
      <c r="AN102" s="122">
        <v>1.3564949528474051</v>
      </c>
      <c r="AO102" s="122">
        <v>0.44226299260387758</v>
      </c>
      <c r="AP102" s="59">
        <v>2.0099999999999998</v>
      </c>
      <c r="AQ102" s="160">
        <v>690.37</v>
      </c>
      <c r="AR102" s="161">
        <v>977.74</v>
      </c>
      <c r="AS102" s="122" t="s">
        <v>351</v>
      </c>
      <c r="AT102" s="42" t="s">
        <v>352</v>
      </c>
      <c r="AU102" s="42" t="s">
        <v>352</v>
      </c>
      <c r="AV102" s="164">
        <v>673.00369217403897</v>
      </c>
      <c r="AW102" s="164">
        <v>18.716151191679383</v>
      </c>
      <c r="AX102" s="164">
        <v>9.4499999999999993</v>
      </c>
      <c r="AY102" s="42" t="s">
        <v>352</v>
      </c>
      <c r="AZ102" s="165">
        <v>0.88</v>
      </c>
      <c r="BA102" s="42" t="s">
        <v>352</v>
      </c>
      <c r="BB102" s="42" t="s">
        <v>352</v>
      </c>
      <c r="BC102" s="42" t="s">
        <v>352</v>
      </c>
      <c r="BD102" s="42" t="s">
        <v>352</v>
      </c>
      <c r="BE102" s="200">
        <v>0</v>
      </c>
      <c r="BF102" s="200">
        <v>0</v>
      </c>
      <c r="BG102" s="168">
        <v>8.25</v>
      </c>
      <c r="BH102" s="171">
        <v>22.51</v>
      </c>
      <c r="BI102" s="42" t="s">
        <v>352</v>
      </c>
      <c r="BJ102" s="42" t="s">
        <v>352</v>
      </c>
      <c r="BK102" s="42" t="s">
        <v>352</v>
      </c>
      <c r="BL102" s="162">
        <v>165.01105308298469</v>
      </c>
      <c r="BM102" s="162">
        <v>119.75179889428904</v>
      </c>
      <c r="BN102" s="162">
        <v>70.788050590504412</v>
      </c>
      <c r="BO102" s="42" t="s">
        <v>352</v>
      </c>
      <c r="BP102" s="42" t="s">
        <v>352</v>
      </c>
      <c r="BQ102" s="42" t="s">
        <v>352</v>
      </c>
      <c r="BR102" s="182" t="s">
        <v>358</v>
      </c>
      <c r="BS102" s="126">
        <v>21.05</v>
      </c>
      <c r="BT102" s="186" t="s">
        <v>355</v>
      </c>
      <c r="BU102" s="131">
        <v>30.03</v>
      </c>
      <c r="BV102" s="42" t="s">
        <v>352</v>
      </c>
      <c r="BW102" s="42" t="s">
        <v>352</v>
      </c>
      <c r="BX102" s="42" t="s">
        <v>352</v>
      </c>
      <c r="BY102" s="42" t="s">
        <v>352</v>
      </c>
      <c r="BZ102" s="190" t="s">
        <v>359</v>
      </c>
      <c r="CA102" s="190" t="s">
        <v>359</v>
      </c>
      <c r="CB102" s="198" t="s">
        <v>355</v>
      </c>
      <c r="CC102" s="39">
        <v>0</v>
      </c>
      <c r="CD102" s="42" t="s">
        <v>352</v>
      </c>
    </row>
    <row r="103" spans="1:82">
      <c r="A103" s="3" t="s">
        <v>454</v>
      </c>
      <c r="B103" s="3" t="s">
        <v>455</v>
      </c>
      <c r="C103" s="27" t="s">
        <v>456</v>
      </c>
      <c r="D103" s="3" t="s">
        <v>456</v>
      </c>
      <c r="E103" s="29">
        <v>13001</v>
      </c>
      <c r="F103" s="3" t="s">
        <v>480</v>
      </c>
      <c r="G103" s="4">
        <v>13125</v>
      </c>
      <c r="H103" s="10">
        <v>198.64929900000001</v>
      </c>
      <c r="I103" s="42" t="s">
        <v>352</v>
      </c>
      <c r="J103" s="41">
        <v>1049.8170419999999</v>
      </c>
      <c r="K103" s="42" t="s">
        <v>352</v>
      </c>
      <c r="L103" s="119">
        <v>94.12</v>
      </c>
      <c r="M103" s="120">
        <v>99.86</v>
      </c>
      <c r="N103" s="42" t="s">
        <v>352</v>
      </c>
      <c r="O103" s="60">
        <v>890.66</v>
      </c>
      <c r="P103" s="42" t="s">
        <v>352</v>
      </c>
      <c r="Q103" s="60">
        <v>617.29999999999995</v>
      </c>
      <c r="R103" s="122">
        <v>0.81</v>
      </c>
      <c r="S103" s="62">
        <v>487.44</v>
      </c>
      <c r="T103" s="42" t="s">
        <v>352</v>
      </c>
      <c r="U103" s="42" t="s">
        <v>352</v>
      </c>
      <c r="V103" s="42" t="s">
        <v>352</v>
      </c>
      <c r="W103" s="42" t="s">
        <v>352</v>
      </c>
      <c r="X103" s="42" t="s">
        <v>352</v>
      </c>
      <c r="Y103" s="42" t="s">
        <v>352</v>
      </c>
      <c r="Z103" s="122">
        <v>15.64</v>
      </c>
      <c r="AA103" s="135">
        <v>1.5</v>
      </c>
      <c r="AB103" s="125">
        <v>32.1</v>
      </c>
      <c r="AC103" s="144">
        <v>71.900000000000006</v>
      </c>
      <c r="AD103" s="42" t="s">
        <v>352</v>
      </c>
      <c r="AE103" s="42" t="s">
        <v>352</v>
      </c>
      <c r="AF103" s="134">
        <v>36.659999999999997</v>
      </c>
      <c r="AG103" s="134">
        <v>49.27</v>
      </c>
      <c r="AH103" s="134">
        <v>67.709999999999994</v>
      </c>
      <c r="AI103" s="134">
        <v>52.83</v>
      </c>
      <c r="AJ103" s="150">
        <v>9.0500000000000007</v>
      </c>
      <c r="AK103" s="152">
        <v>129.97999999999999</v>
      </c>
      <c r="AL103" s="123">
        <v>9.39</v>
      </c>
      <c r="AM103" s="123">
        <v>16.72</v>
      </c>
      <c r="AN103" s="122">
        <v>0.91346104867613875</v>
      </c>
      <c r="AO103" s="122">
        <v>0.61670125276254528</v>
      </c>
      <c r="AP103" s="59" t="s">
        <v>351</v>
      </c>
      <c r="AQ103" s="160">
        <v>621.37</v>
      </c>
      <c r="AR103" s="161">
        <v>1000.51</v>
      </c>
      <c r="AS103" s="200">
        <v>2.1815676206577593E-3</v>
      </c>
      <c r="AT103" s="42" t="s">
        <v>352</v>
      </c>
      <c r="AU103" s="42" t="s">
        <v>352</v>
      </c>
      <c r="AV103" s="164">
        <v>661.51954522227891</v>
      </c>
      <c r="AW103" s="164">
        <v>17.040294185396032</v>
      </c>
      <c r="AX103" s="164">
        <v>6.76</v>
      </c>
      <c r="AY103" s="42" t="s">
        <v>352</v>
      </c>
      <c r="AZ103" s="165">
        <v>1.59</v>
      </c>
      <c r="BA103" s="42" t="s">
        <v>352</v>
      </c>
      <c r="BB103" s="42" t="s">
        <v>352</v>
      </c>
      <c r="BC103" s="42" t="s">
        <v>352</v>
      </c>
      <c r="BD103" s="42" t="s">
        <v>352</v>
      </c>
      <c r="BE103" s="200">
        <v>0.25</v>
      </c>
      <c r="BF103" s="200">
        <v>12.73</v>
      </c>
      <c r="BG103" s="168">
        <v>5.68</v>
      </c>
      <c r="BH103" s="171">
        <v>17.920000000000002</v>
      </c>
      <c r="BI103" s="42" t="s">
        <v>352</v>
      </c>
      <c r="BJ103" s="42" t="s">
        <v>352</v>
      </c>
      <c r="BK103" s="42" t="s">
        <v>352</v>
      </c>
      <c r="BL103" s="162">
        <v>132.28470828260225</v>
      </c>
      <c r="BM103" s="162">
        <v>110.1961235973543</v>
      </c>
      <c r="BN103" s="162">
        <v>64.538155253545682</v>
      </c>
      <c r="BO103" s="42" t="s">
        <v>352</v>
      </c>
      <c r="BP103" s="42" t="s">
        <v>352</v>
      </c>
      <c r="BQ103" s="42" t="s">
        <v>352</v>
      </c>
      <c r="BR103" s="182" t="s">
        <v>358</v>
      </c>
      <c r="BS103" s="126">
        <v>18.579999999999998</v>
      </c>
      <c r="BT103" s="186" t="s">
        <v>355</v>
      </c>
      <c r="BU103" s="131">
        <v>16.47</v>
      </c>
      <c r="BV103" s="42" t="s">
        <v>352</v>
      </c>
      <c r="BW103" s="42" t="s">
        <v>352</v>
      </c>
      <c r="BX103" s="42" t="s">
        <v>352</v>
      </c>
      <c r="BY103" s="42" t="s">
        <v>352</v>
      </c>
      <c r="BZ103" s="190" t="s">
        <v>359</v>
      </c>
      <c r="CA103" s="190" t="s">
        <v>359</v>
      </c>
      <c r="CB103" s="198" t="s">
        <v>353</v>
      </c>
      <c r="CC103" s="39">
        <v>1790.8732107012406</v>
      </c>
      <c r="CD103" s="42" t="s">
        <v>352</v>
      </c>
    </row>
    <row r="104" spans="1:82">
      <c r="A104" s="3" t="s">
        <v>454</v>
      </c>
      <c r="B104" s="3" t="s">
        <v>455</v>
      </c>
      <c r="C104" s="27" t="s">
        <v>456</v>
      </c>
      <c r="D104" s="3" t="s">
        <v>456</v>
      </c>
      <c r="E104" s="29">
        <v>13001</v>
      </c>
      <c r="F104" s="3" t="s">
        <v>481</v>
      </c>
      <c r="G104" s="4">
        <v>13126</v>
      </c>
      <c r="H104" s="10">
        <v>360.49420500000002</v>
      </c>
      <c r="I104" s="42" t="s">
        <v>352</v>
      </c>
      <c r="J104" s="41">
        <v>1218.008421</v>
      </c>
      <c r="K104" s="42" t="s">
        <v>352</v>
      </c>
      <c r="L104" s="119">
        <v>59.89</v>
      </c>
      <c r="M104" s="120">
        <v>100</v>
      </c>
      <c r="N104" s="42" t="s">
        <v>352</v>
      </c>
      <c r="O104" s="60">
        <v>789.97</v>
      </c>
      <c r="P104" s="42" t="s">
        <v>352</v>
      </c>
      <c r="Q104" s="60">
        <v>415.02</v>
      </c>
      <c r="R104" s="122">
        <v>1.19</v>
      </c>
      <c r="S104" s="62">
        <v>321.56</v>
      </c>
      <c r="T104" s="42" t="s">
        <v>352</v>
      </c>
      <c r="U104" s="42" t="s">
        <v>352</v>
      </c>
      <c r="V104" s="42" t="s">
        <v>352</v>
      </c>
      <c r="W104" s="42" t="s">
        <v>352</v>
      </c>
      <c r="X104" s="42" t="s">
        <v>352</v>
      </c>
      <c r="Y104" s="42" t="s">
        <v>352</v>
      </c>
      <c r="Z104" s="122">
        <v>24.72</v>
      </c>
      <c r="AA104" s="135">
        <v>1.25</v>
      </c>
      <c r="AB104" s="125">
        <v>28.7</v>
      </c>
      <c r="AC104" s="144">
        <v>69.900000000000006</v>
      </c>
      <c r="AD104" s="42" t="s">
        <v>352</v>
      </c>
      <c r="AE104" s="42" t="s">
        <v>352</v>
      </c>
      <c r="AF104" s="134">
        <v>27.91</v>
      </c>
      <c r="AG104" s="134">
        <v>40.53</v>
      </c>
      <c r="AH104" s="134">
        <v>60.77</v>
      </c>
      <c r="AI104" s="134">
        <v>26.65</v>
      </c>
      <c r="AJ104" s="150">
        <v>4.6100000000000003</v>
      </c>
      <c r="AK104" s="152">
        <v>237.94</v>
      </c>
      <c r="AL104" s="123">
        <v>9.67</v>
      </c>
      <c r="AM104" s="123">
        <v>22.14</v>
      </c>
      <c r="AN104" s="122">
        <v>1.2745180917725367</v>
      </c>
      <c r="AO104" s="162">
        <v>0</v>
      </c>
      <c r="AP104" s="59" t="s">
        <v>351</v>
      </c>
      <c r="AQ104" s="160">
        <v>798.74</v>
      </c>
      <c r="AR104" s="161">
        <v>498.1</v>
      </c>
      <c r="AS104" s="200">
        <v>3.7880897978698536E-3</v>
      </c>
      <c r="AT104" s="42" t="s">
        <v>352</v>
      </c>
      <c r="AU104" s="42" t="s">
        <v>352</v>
      </c>
      <c r="AV104" s="164">
        <v>667.79824244612973</v>
      </c>
      <c r="AW104" s="164">
        <v>21.28964416198459</v>
      </c>
      <c r="AX104" s="164">
        <v>9.5299999999999994</v>
      </c>
      <c r="AY104" s="42" t="s">
        <v>352</v>
      </c>
      <c r="AZ104" s="165">
        <v>1.45</v>
      </c>
      <c r="BA104" s="42" t="s">
        <v>352</v>
      </c>
      <c r="BB104" s="42" t="s">
        <v>352</v>
      </c>
      <c r="BC104" s="42" t="s">
        <v>352</v>
      </c>
      <c r="BD104" s="42" t="s">
        <v>352</v>
      </c>
      <c r="BE104" s="200">
        <v>7.0000000000000007E-2</v>
      </c>
      <c r="BF104" s="200">
        <v>103.49</v>
      </c>
      <c r="BG104" s="168">
        <v>3.73</v>
      </c>
      <c r="BH104" s="171">
        <v>23.48</v>
      </c>
      <c r="BI104" s="42" t="s">
        <v>352</v>
      </c>
      <c r="BJ104" s="42" t="s">
        <v>352</v>
      </c>
      <c r="BK104" s="42" t="s">
        <v>352</v>
      </c>
      <c r="BL104" s="162">
        <v>216.83399342973811</v>
      </c>
      <c r="BM104" s="162">
        <v>163.10521629670566</v>
      </c>
      <c r="BN104" s="162">
        <v>78.367259218323042</v>
      </c>
      <c r="BO104" s="42" t="s">
        <v>352</v>
      </c>
      <c r="BP104" s="42" t="s">
        <v>352</v>
      </c>
      <c r="BQ104" s="42" t="s">
        <v>352</v>
      </c>
      <c r="BR104" s="182" t="s">
        <v>358</v>
      </c>
      <c r="BS104" s="126">
        <v>63.48</v>
      </c>
      <c r="BT104" s="186" t="s">
        <v>353</v>
      </c>
      <c r="BU104" s="131">
        <v>25.07</v>
      </c>
      <c r="BV104" s="42" t="s">
        <v>352</v>
      </c>
      <c r="BW104" s="42" t="s">
        <v>352</v>
      </c>
      <c r="BX104" s="42" t="s">
        <v>352</v>
      </c>
      <c r="BY104" s="42" t="s">
        <v>352</v>
      </c>
      <c r="BZ104" s="190" t="s">
        <v>359</v>
      </c>
      <c r="CA104" s="190" t="s">
        <v>359</v>
      </c>
      <c r="CB104" s="198" t="s">
        <v>351</v>
      </c>
      <c r="CC104" s="39" t="s">
        <v>351</v>
      </c>
      <c r="CD104" s="42" t="s">
        <v>352</v>
      </c>
    </row>
    <row r="105" spans="1:82">
      <c r="A105" s="3" t="s">
        <v>454</v>
      </c>
      <c r="B105" s="3" t="s">
        <v>455</v>
      </c>
      <c r="C105" s="27" t="s">
        <v>456</v>
      </c>
      <c r="D105" s="3" t="s">
        <v>456</v>
      </c>
      <c r="E105" s="29">
        <v>13001</v>
      </c>
      <c r="F105" s="3" t="s">
        <v>482</v>
      </c>
      <c r="G105" s="4">
        <v>13127</v>
      </c>
      <c r="H105" s="10">
        <v>263.34970800000002</v>
      </c>
      <c r="I105" s="42" t="s">
        <v>352</v>
      </c>
      <c r="J105" s="41">
        <v>1046.2618660000001</v>
      </c>
      <c r="K105" s="42" t="s">
        <v>352</v>
      </c>
      <c r="L105" s="119">
        <v>82.17</v>
      </c>
      <c r="M105" s="120">
        <v>99.62</v>
      </c>
      <c r="N105" s="42" t="s">
        <v>352</v>
      </c>
      <c r="O105" s="60">
        <v>893.64</v>
      </c>
      <c r="P105" s="42" t="s">
        <v>352</v>
      </c>
      <c r="Q105" s="60">
        <v>427.31</v>
      </c>
      <c r="R105" s="122">
        <v>1.07</v>
      </c>
      <c r="S105" s="62">
        <v>345.1</v>
      </c>
      <c r="T105" s="42" t="s">
        <v>352</v>
      </c>
      <c r="U105" s="42" t="s">
        <v>352</v>
      </c>
      <c r="V105" s="42" t="s">
        <v>352</v>
      </c>
      <c r="W105" s="42" t="s">
        <v>352</v>
      </c>
      <c r="X105" s="42" t="s">
        <v>352</v>
      </c>
      <c r="Y105" s="42" t="s">
        <v>352</v>
      </c>
      <c r="Z105" s="122">
        <v>29.18</v>
      </c>
      <c r="AA105" s="135">
        <v>1</v>
      </c>
      <c r="AB105" s="125">
        <v>29.3</v>
      </c>
      <c r="AC105" s="144">
        <v>76.8</v>
      </c>
      <c r="AD105" s="42" t="s">
        <v>352</v>
      </c>
      <c r="AE105" s="42" t="s">
        <v>352</v>
      </c>
      <c r="AF105" s="134">
        <v>27.44</v>
      </c>
      <c r="AG105" s="134">
        <v>37.86</v>
      </c>
      <c r="AH105" s="134">
        <v>66.61</v>
      </c>
      <c r="AI105" s="134">
        <v>27.04</v>
      </c>
      <c r="AJ105" s="150">
        <v>3.84</v>
      </c>
      <c r="AK105" s="152">
        <v>123.57</v>
      </c>
      <c r="AL105" s="123">
        <v>13.64</v>
      </c>
      <c r="AM105" s="123">
        <v>23.8</v>
      </c>
      <c r="AN105" s="122">
        <v>1.2127464486537594</v>
      </c>
      <c r="AO105" s="122">
        <v>0.64852021041314312</v>
      </c>
      <c r="AP105" s="59">
        <v>1.26</v>
      </c>
      <c r="AQ105" s="160">
        <v>734.76</v>
      </c>
      <c r="AR105" s="161">
        <v>446.94</v>
      </c>
      <c r="AS105" s="122" t="s">
        <v>351</v>
      </c>
      <c r="AT105" s="42" t="s">
        <v>352</v>
      </c>
      <c r="AU105" s="42" t="s">
        <v>352</v>
      </c>
      <c r="AV105" s="164">
        <v>498.98749255509233</v>
      </c>
      <c r="AW105" s="164">
        <v>13.803216027415315</v>
      </c>
      <c r="AX105" s="164">
        <v>10.42</v>
      </c>
      <c r="AY105" s="42" t="s">
        <v>352</v>
      </c>
      <c r="AZ105" s="165">
        <v>2.1</v>
      </c>
      <c r="BA105" s="42" t="s">
        <v>352</v>
      </c>
      <c r="BB105" s="42" t="s">
        <v>352</v>
      </c>
      <c r="BC105" s="42" t="s">
        <v>352</v>
      </c>
      <c r="BD105" s="42" t="s">
        <v>352</v>
      </c>
      <c r="BE105" s="200">
        <v>0</v>
      </c>
      <c r="BF105" s="200">
        <v>0</v>
      </c>
      <c r="BG105" s="168">
        <v>6.89</v>
      </c>
      <c r="BH105" s="171">
        <v>22.5</v>
      </c>
      <c r="BI105" s="42" t="s">
        <v>352</v>
      </c>
      <c r="BJ105" s="42" t="s">
        <v>352</v>
      </c>
      <c r="BK105" s="42" t="s">
        <v>352</v>
      </c>
      <c r="BL105" s="162">
        <v>265.69570756996615</v>
      </c>
      <c r="BM105" s="162">
        <v>174.97034400948991</v>
      </c>
      <c r="BN105" s="162">
        <v>61.673476560783804</v>
      </c>
      <c r="BO105" s="42" t="s">
        <v>352</v>
      </c>
      <c r="BP105" s="42" t="s">
        <v>352</v>
      </c>
      <c r="BQ105" s="42" t="s">
        <v>352</v>
      </c>
      <c r="BR105" s="182" t="s">
        <v>358</v>
      </c>
      <c r="BS105" s="126">
        <v>21.34</v>
      </c>
      <c r="BT105" s="186" t="s">
        <v>353</v>
      </c>
      <c r="BU105" s="131">
        <v>14.66</v>
      </c>
      <c r="BV105" s="42" t="s">
        <v>352</v>
      </c>
      <c r="BW105" s="42" t="s">
        <v>352</v>
      </c>
      <c r="BX105" s="42" t="s">
        <v>352</v>
      </c>
      <c r="BY105" s="42" t="s">
        <v>352</v>
      </c>
      <c r="BZ105" s="191">
        <v>0</v>
      </c>
      <c r="CA105" s="191">
        <v>0</v>
      </c>
      <c r="CB105" s="198" t="s">
        <v>355</v>
      </c>
      <c r="CC105" s="39">
        <v>0</v>
      </c>
      <c r="CD105" s="42" t="s">
        <v>352</v>
      </c>
    </row>
    <row r="106" spans="1:82">
      <c r="A106" s="3" t="s">
        <v>454</v>
      </c>
      <c r="B106" s="3" t="s">
        <v>455</v>
      </c>
      <c r="C106" s="27" t="s">
        <v>456</v>
      </c>
      <c r="D106" s="3" t="s">
        <v>456</v>
      </c>
      <c r="E106" s="29">
        <v>13001</v>
      </c>
      <c r="F106" s="3" t="s">
        <v>483</v>
      </c>
      <c r="G106" s="4">
        <v>13128</v>
      </c>
      <c r="H106" s="10">
        <v>217.94142099999999</v>
      </c>
      <c r="I106" s="42" t="s">
        <v>352</v>
      </c>
      <c r="J106" s="41">
        <v>1147.9492749999999</v>
      </c>
      <c r="K106" s="42" t="s">
        <v>352</v>
      </c>
      <c r="L106" s="119">
        <v>90.81</v>
      </c>
      <c r="M106" s="120">
        <v>99.8</v>
      </c>
      <c r="N106" s="42" t="s">
        <v>352</v>
      </c>
      <c r="O106" s="60">
        <v>1083.5999999999999</v>
      </c>
      <c r="P106" s="42" t="s">
        <v>352</v>
      </c>
      <c r="Q106" s="60">
        <v>472.38</v>
      </c>
      <c r="R106" s="122">
        <v>0.81</v>
      </c>
      <c r="S106" s="62">
        <v>343.46</v>
      </c>
      <c r="T106" s="42" t="s">
        <v>352</v>
      </c>
      <c r="U106" s="42" t="s">
        <v>352</v>
      </c>
      <c r="V106" s="42" t="s">
        <v>352</v>
      </c>
      <c r="W106" s="42" t="s">
        <v>352</v>
      </c>
      <c r="X106" s="42" t="s">
        <v>352</v>
      </c>
      <c r="Y106" s="42" t="s">
        <v>352</v>
      </c>
      <c r="Z106" s="126">
        <v>27.47</v>
      </c>
      <c r="AA106" s="135">
        <v>1.5</v>
      </c>
      <c r="AB106" s="143">
        <v>29</v>
      </c>
      <c r="AC106" s="144">
        <v>75.599999999999994</v>
      </c>
      <c r="AD106" s="42" t="s">
        <v>352</v>
      </c>
      <c r="AE106" s="42" t="s">
        <v>352</v>
      </c>
      <c r="AF106" s="134">
        <v>28.26</v>
      </c>
      <c r="AG106" s="134">
        <v>40.36</v>
      </c>
      <c r="AH106" s="134">
        <v>66.38</v>
      </c>
      <c r="AI106" s="134">
        <v>33.840000000000003</v>
      </c>
      <c r="AJ106" s="150">
        <v>5.04</v>
      </c>
      <c r="AK106" s="152">
        <v>107.11</v>
      </c>
      <c r="AL106" s="123">
        <v>11.39</v>
      </c>
      <c r="AM106" s="123">
        <v>24.48</v>
      </c>
      <c r="AN106" s="122">
        <v>1.3134949161258072</v>
      </c>
      <c r="AO106" s="122">
        <v>0.14248699565100459</v>
      </c>
      <c r="AP106" s="59" t="s">
        <v>351</v>
      </c>
      <c r="AQ106" s="160">
        <v>626.05999999999995</v>
      </c>
      <c r="AR106" s="161">
        <v>518.33000000000004</v>
      </c>
      <c r="AS106" s="122" t="s">
        <v>351</v>
      </c>
      <c r="AT106" s="42" t="s">
        <v>352</v>
      </c>
      <c r="AU106" s="42" t="s">
        <v>352</v>
      </c>
      <c r="AV106" s="164">
        <v>504.92933471216816</v>
      </c>
      <c r="AW106" s="164">
        <v>13.843507626782262</v>
      </c>
      <c r="AX106" s="164">
        <v>10.47</v>
      </c>
      <c r="AY106" s="42" t="s">
        <v>352</v>
      </c>
      <c r="AZ106" s="165">
        <v>1.6</v>
      </c>
      <c r="BA106" s="42" t="s">
        <v>352</v>
      </c>
      <c r="BB106" s="42" t="s">
        <v>352</v>
      </c>
      <c r="BC106" s="42" t="s">
        <v>352</v>
      </c>
      <c r="BD106" s="42" t="s">
        <v>352</v>
      </c>
      <c r="BE106" s="200">
        <v>0.11</v>
      </c>
      <c r="BF106" s="201" t="s">
        <v>351</v>
      </c>
      <c r="BG106" s="168">
        <v>3.73</v>
      </c>
      <c r="BH106" s="171">
        <v>24.52</v>
      </c>
      <c r="BI106" s="42" t="s">
        <v>352</v>
      </c>
      <c r="BJ106" s="42" t="s">
        <v>352</v>
      </c>
      <c r="BK106" s="42" t="s">
        <v>352</v>
      </c>
      <c r="BL106" s="162">
        <v>161.79741300553815</v>
      </c>
      <c r="BM106" s="162">
        <v>81.087722172168071</v>
      </c>
      <c r="BN106" s="162">
        <v>61.241076885273785</v>
      </c>
      <c r="BO106" s="42" t="s">
        <v>352</v>
      </c>
      <c r="BP106" s="42" t="s">
        <v>352</v>
      </c>
      <c r="BQ106" s="42" t="s">
        <v>352</v>
      </c>
      <c r="BR106" s="182" t="s">
        <v>358</v>
      </c>
      <c r="BS106" s="126">
        <v>54.21</v>
      </c>
      <c r="BT106" s="186" t="s">
        <v>353</v>
      </c>
      <c r="BU106" s="131">
        <v>26.28</v>
      </c>
      <c r="BV106" s="42" t="s">
        <v>352</v>
      </c>
      <c r="BW106" s="42" t="s">
        <v>352</v>
      </c>
      <c r="BX106" s="42" t="s">
        <v>352</v>
      </c>
      <c r="BY106" s="42" t="s">
        <v>352</v>
      </c>
      <c r="BZ106" s="190" t="s">
        <v>359</v>
      </c>
      <c r="CA106" s="190" t="s">
        <v>359</v>
      </c>
      <c r="CB106" s="198" t="s">
        <v>351</v>
      </c>
      <c r="CC106" s="39" t="s">
        <v>351</v>
      </c>
      <c r="CD106" s="42" t="s">
        <v>352</v>
      </c>
    </row>
    <row r="107" spans="1:82">
      <c r="A107" s="3" t="s">
        <v>454</v>
      </c>
      <c r="B107" s="3" t="s">
        <v>455</v>
      </c>
      <c r="C107" s="27" t="s">
        <v>456</v>
      </c>
      <c r="D107" s="3" t="s">
        <v>456</v>
      </c>
      <c r="E107" s="29">
        <v>13001</v>
      </c>
      <c r="F107" s="3" t="s">
        <v>484</v>
      </c>
      <c r="G107" s="4">
        <v>13129</v>
      </c>
      <c r="H107" s="10">
        <v>243.884309</v>
      </c>
      <c r="I107" s="42" t="s">
        <v>352</v>
      </c>
      <c r="J107" s="41">
        <v>789.34890299999995</v>
      </c>
      <c r="K107" s="42" t="s">
        <v>352</v>
      </c>
      <c r="L107" s="119">
        <v>82.91</v>
      </c>
      <c r="M107" s="120">
        <v>100</v>
      </c>
      <c r="N107" s="42" t="s">
        <v>352</v>
      </c>
      <c r="O107" s="60">
        <v>636.58000000000004</v>
      </c>
      <c r="P107" s="42" t="s">
        <v>352</v>
      </c>
      <c r="Q107" s="60">
        <v>479.35</v>
      </c>
      <c r="R107" s="122">
        <v>0.69</v>
      </c>
      <c r="S107" s="62">
        <v>344.54</v>
      </c>
      <c r="T107" s="42" t="s">
        <v>352</v>
      </c>
      <c r="U107" s="42" t="s">
        <v>352</v>
      </c>
      <c r="V107" s="42" t="s">
        <v>352</v>
      </c>
      <c r="W107" s="42" t="s">
        <v>352</v>
      </c>
      <c r="X107" s="42" t="s">
        <v>352</v>
      </c>
      <c r="Y107" s="42" t="s">
        <v>352</v>
      </c>
      <c r="Z107" s="122">
        <v>35</v>
      </c>
      <c r="AA107" s="135">
        <v>1.25</v>
      </c>
      <c r="AB107" s="125">
        <v>24.2</v>
      </c>
      <c r="AC107" s="146">
        <v>74</v>
      </c>
      <c r="AD107" s="42" t="s">
        <v>352</v>
      </c>
      <c r="AE107" s="42" t="s">
        <v>352</v>
      </c>
      <c r="AF107" s="134">
        <v>22.46</v>
      </c>
      <c r="AG107" s="134">
        <v>37.47</v>
      </c>
      <c r="AH107" s="134">
        <v>64.760000000000005</v>
      </c>
      <c r="AI107" s="134">
        <v>24.32</v>
      </c>
      <c r="AJ107" s="150">
        <v>5.88</v>
      </c>
      <c r="AK107" s="152">
        <v>266.60000000000002</v>
      </c>
      <c r="AL107" s="123">
        <v>10.68</v>
      </c>
      <c r="AM107" s="123">
        <v>22.36</v>
      </c>
      <c r="AN107" s="122">
        <v>1.4867716321666664</v>
      </c>
      <c r="AO107" s="122">
        <v>0.69118672463085074</v>
      </c>
      <c r="AP107" s="59">
        <v>0.49</v>
      </c>
      <c r="AQ107" s="160">
        <v>735.07</v>
      </c>
      <c r="AR107" s="161">
        <v>593.03</v>
      </c>
      <c r="AS107" s="200">
        <v>1.0091889497714144E-2</v>
      </c>
      <c r="AT107" s="42" t="s">
        <v>352</v>
      </c>
      <c r="AU107" s="42" t="s">
        <v>352</v>
      </c>
      <c r="AV107" s="164">
        <v>472.86082228369742</v>
      </c>
      <c r="AW107" s="164">
        <v>14.575553529947955</v>
      </c>
      <c r="AX107" s="164">
        <v>7.65</v>
      </c>
      <c r="AY107" s="42" t="s">
        <v>352</v>
      </c>
      <c r="AZ107" s="165">
        <v>2.2999999999999998</v>
      </c>
      <c r="BA107" s="42" t="s">
        <v>352</v>
      </c>
      <c r="BB107" s="42" t="s">
        <v>352</v>
      </c>
      <c r="BC107" s="42" t="s">
        <v>352</v>
      </c>
      <c r="BD107" s="42" t="s">
        <v>352</v>
      </c>
      <c r="BE107" s="200">
        <v>0</v>
      </c>
      <c r="BF107" s="200">
        <v>0</v>
      </c>
      <c r="BG107" s="168">
        <v>5.24</v>
      </c>
      <c r="BH107" s="171">
        <v>21.1</v>
      </c>
      <c r="BI107" s="42" t="s">
        <v>352</v>
      </c>
      <c r="BJ107" s="42" t="s">
        <v>352</v>
      </c>
      <c r="BK107" s="42" t="s">
        <v>352</v>
      </c>
      <c r="BL107" s="162">
        <v>139.57089789957561</v>
      </c>
      <c r="BM107" s="162">
        <v>141.43315004851658</v>
      </c>
      <c r="BN107" s="162">
        <v>58.023856430160642</v>
      </c>
      <c r="BO107" s="42" t="s">
        <v>352</v>
      </c>
      <c r="BP107" s="42" t="s">
        <v>352</v>
      </c>
      <c r="BQ107" s="42" t="s">
        <v>352</v>
      </c>
      <c r="BR107" s="182" t="s">
        <v>358</v>
      </c>
      <c r="BS107" s="126">
        <v>46.12</v>
      </c>
      <c r="BT107" s="186" t="s">
        <v>353</v>
      </c>
      <c r="BU107" s="131">
        <v>19.73</v>
      </c>
      <c r="BV107" s="42" t="s">
        <v>352</v>
      </c>
      <c r="BW107" s="42" t="s">
        <v>352</v>
      </c>
      <c r="BX107" s="42" t="s">
        <v>352</v>
      </c>
      <c r="BY107" s="42" t="s">
        <v>352</v>
      </c>
      <c r="BZ107" s="190" t="s">
        <v>359</v>
      </c>
      <c r="CA107" s="190" t="s">
        <v>359</v>
      </c>
      <c r="CB107" s="198" t="s">
        <v>355</v>
      </c>
      <c r="CC107" s="39">
        <v>0</v>
      </c>
      <c r="CD107" s="42" t="s">
        <v>352</v>
      </c>
    </row>
    <row r="108" spans="1:82">
      <c r="A108" s="3" t="s">
        <v>454</v>
      </c>
      <c r="B108" s="3" t="s">
        <v>455</v>
      </c>
      <c r="C108" s="27" t="s">
        <v>456</v>
      </c>
      <c r="D108" s="3" t="s">
        <v>456</v>
      </c>
      <c r="E108" s="29">
        <v>13001</v>
      </c>
      <c r="F108" s="3" t="s">
        <v>485</v>
      </c>
      <c r="G108" s="4">
        <v>13130</v>
      </c>
      <c r="H108" s="10">
        <v>433.29113599999999</v>
      </c>
      <c r="I108" s="42" t="s">
        <v>352</v>
      </c>
      <c r="J108" s="41">
        <v>1265.989466</v>
      </c>
      <c r="K108" s="42" t="s">
        <v>352</v>
      </c>
      <c r="L108" s="119">
        <v>48.5</v>
      </c>
      <c r="M108" s="120">
        <v>100</v>
      </c>
      <c r="N108" s="42" t="s">
        <v>352</v>
      </c>
      <c r="O108" s="60">
        <v>912.3</v>
      </c>
      <c r="P108" s="42" t="s">
        <v>352</v>
      </c>
      <c r="Q108" s="60">
        <v>396.46</v>
      </c>
      <c r="R108" s="122">
        <v>0.92</v>
      </c>
      <c r="S108" s="62">
        <v>334.14</v>
      </c>
      <c r="T108" s="42" t="s">
        <v>352</v>
      </c>
      <c r="U108" s="42" t="s">
        <v>352</v>
      </c>
      <c r="V108" s="42" t="s">
        <v>352</v>
      </c>
      <c r="W108" s="42" t="s">
        <v>352</v>
      </c>
      <c r="X108" s="42" t="s">
        <v>352</v>
      </c>
      <c r="Y108" s="42" t="s">
        <v>352</v>
      </c>
      <c r="Z108" s="122">
        <v>23.19</v>
      </c>
      <c r="AA108" s="135">
        <v>1.25</v>
      </c>
      <c r="AB108" s="125">
        <v>31.4</v>
      </c>
      <c r="AC108" s="144">
        <v>69.2</v>
      </c>
      <c r="AD108" s="42" t="s">
        <v>352</v>
      </c>
      <c r="AE108" s="42" t="s">
        <v>352</v>
      </c>
      <c r="AF108" s="134">
        <v>24.33</v>
      </c>
      <c r="AG108" s="134">
        <v>40.92</v>
      </c>
      <c r="AH108" s="134">
        <v>52.65</v>
      </c>
      <c r="AI108" s="134">
        <v>21.28</v>
      </c>
      <c r="AJ108" s="150">
        <v>4.76</v>
      </c>
      <c r="AK108" s="152">
        <v>68.209999999999994</v>
      </c>
      <c r="AL108" s="123">
        <v>12.49</v>
      </c>
      <c r="AM108" s="123">
        <v>28.14</v>
      </c>
      <c r="AN108" s="122">
        <v>1.0654441820585405</v>
      </c>
      <c r="AO108" s="122">
        <v>0.72159933611487403</v>
      </c>
      <c r="AP108" s="59">
        <v>2.78</v>
      </c>
      <c r="AQ108" s="160">
        <v>990.17</v>
      </c>
      <c r="AR108" s="161">
        <v>707.93</v>
      </c>
      <c r="AS108" s="200">
        <v>2.9553375908948376E-3</v>
      </c>
      <c r="AT108" s="42" t="s">
        <v>352</v>
      </c>
      <c r="AU108" s="42" t="s">
        <v>352</v>
      </c>
      <c r="AV108" s="164">
        <v>748.43790292186543</v>
      </c>
      <c r="AW108" s="164">
        <v>29.924338557198148</v>
      </c>
      <c r="AX108" s="164">
        <v>5.03</v>
      </c>
      <c r="AY108" s="42" t="s">
        <v>352</v>
      </c>
      <c r="AZ108" s="165">
        <v>1.24</v>
      </c>
      <c r="BA108" s="42" t="s">
        <v>352</v>
      </c>
      <c r="BB108" s="42" t="s">
        <v>352</v>
      </c>
      <c r="BC108" s="42" t="s">
        <v>352</v>
      </c>
      <c r="BD108" s="42" t="s">
        <v>352</v>
      </c>
      <c r="BE108" s="200">
        <v>0</v>
      </c>
      <c r="BF108" s="200">
        <v>0</v>
      </c>
      <c r="BG108" s="168">
        <v>4.8499999999999996</v>
      </c>
      <c r="BH108" s="171">
        <v>17.25</v>
      </c>
      <c r="BI108" s="42" t="s">
        <v>352</v>
      </c>
      <c r="BJ108" s="42" t="s">
        <v>352</v>
      </c>
      <c r="BK108" s="42" t="s">
        <v>352</v>
      </c>
      <c r="BL108" s="162">
        <v>163.37795825137999</v>
      </c>
      <c r="BM108" s="162">
        <v>254.10824186282596</v>
      </c>
      <c r="BN108" s="162">
        <v>49.489245606243259</v>
      </c>
      <c r="BO108" s="42" t="s">
        <v>352</v>
      </c>
      <c r="BP108" s="42" t="s">
        <v>352</v>
      </c>
      <c r="BQ108" s="42" t="s">
        <v>352</v>
      </c>
      <c r="BR108" s="182" t="s">
        <v>358</v>
      </c>
      <c r="BS108" s="126">
        <v>4.1399999999999997</v>
      </c>
      <c r="BT108" s="186" t="s">
        <v>353</v>
      </c>
      <c r="BU108" s="131">
        <v>9.7799999999999994</v>
      </c>
      <c r="BV108" s="42" t="s">
        <v>352</v>
      </c>
      <c r="BW108" s="42" t="s">
        <v>352</v>
      </c>
      <c r="BX108" s="42" t="s">
        <v>352</v>
      </c>
      <c r="BY108" s="42" t="s">
        <v>352</v>
      </c>
      <c r="BZ108" s="190" t="s">
        <v>359</v>
      </c>
      <c r="CA108" s="190" t="s">
        <v>359</v>
      </c>
      <c r="CB108" s="198" t="s">
        <v>355</v>
      </c>
      <c r="CC108" s="39">
        <v>0</v>
      </c>
      <c r="CD108" s="42" t="s">
        <v>352</v>
      </c>
    </row>
    <row r="109" spans="1:82">
      <c r="A109" s="3" t="s">
        <v>454</v>
      </c>
      <c r="B109" s="3" t="s">
        <v>455</v>
      </c>
      <c r="C109" s="27" t="s">
        <v>456</v>
      </c>
      <c r="D109" s="3" t="s">
        <v>456</v>
      </c>
      <c r="E109" s="29">
        <v>13001</v>
      </c>
      <c r="F109" s="3" t="s">
        <v>486</v>
      </c>
      <c r="G109" s="4">
        <v>13131</v>
      </c>
      <c r="H109" s="10">
        <v>224.195121</v>
      </c>
      <c r="I109" s="42" t="s">
        <v>352</v>
      </c>
      <c r="J109" s="41">
        <v>1013.131522</v>
      </c>
      <c r="K109" s="42" t="s">
        <v>352</v>
      </c>
      <c r="L109" s="119">
        <v>84.98</v>
      </c>
      <c r="M109" s="120">
        <v>100</v>
      </c>
      <c r="N109" s="42" t="s">
        <v>352</v>
      </c>
      <c r="O109" s="60">
        <v>674.44</v>
      </c>
      <c r="P109" s="42" t="s">
        <v>352</v>
      </c>
      <c r="Q109" s="60">
        <v>371.68</v>
      </c>
      <c r="R109" s="122">
        <v>0.9</v>
      </c>
      <c r="S109" s="62">
        <v>273.58999999999997</v>
      </c>
      <c r="T109" s="42" t="s">
        <v>352</v>
      </c>
      <c r="U109" s="42" t="s">
        <v>352</v>
      </c>
      <c r="V109" s="42" t="s">
        <v>352</v>
      </c>
      <c r="W109" s="42" t="s">
        <v>352</v>
      </c>
      <c r="X109" s="42" t="s">
        <v>352</v>
      </c>
      <c r="Y109" s="42" t="s">
        <v>352</v>
      </c>
      <c r="Z109" s="122">
        <v>27.33</v>
      </c>
      <c r="AA109" s="135">
        <v>1.5</v>
      </c>
      <c r="AB109" s="125">
        <v>25.2</v>
      </c>
      <c r="AC109" s="146">
        <v>76</v>
      </c>
      <c r="AD109" s="42" t="s">
        <v>352</v>
      </c>
      <c r="AE109" s="42" t="s">
        <v>352</v>
      </c>
      <c r="AF109" s="134">
        <v>21.52</v>
      </c>
      <c r="AG109" s="134">
        <v>34.9</v>
      </c>
      <c r="AH109" s="134">
        <v>58.92</v>
      </c>
      <c r="AI109" s="134">
        <v>17.559999999999999</v>
      </c>
      <c r="AJ109" s="150">
        <v>2.31</v>
      </c>
      <c r="AK109" s="152">
        <v>209.2</v>
      </c>
      <c r="AL109" s="123">
        <v>11</v>
      </c>
      <c r="AM109" s="123">
        <v>32.58</v>
      </c>
      <c r="AN109" s="122">
        <v>1.4037925387660262</v>
      </c>
      <c r="AO109" s="162">
        <v>0</v>
      </c>
      <c r="AP109" s="59">
        <v>2.66</v>
      </c>
      <c r="AQ109" s="160">
        <v>664.88</v>
      </c>
      <c r="AR109" s="161">
        <v>159.13</v>
      </c>
      <c r="AS109" s="122" t="s">
        <v>351</v>
      </c>
      <c r="AT109" s="42" t="s">
        <v>352</v>
      </c>
      <c r="AU109" s="42" t="s">
        <v>352</v>
      </c>
      <c r="AV109" s="164">
        <v>498.75690025704773</v>
      </c>
      <c r="AW109" s="164">
        <v>13.679915858577688</v>
      </c>
      <c r="AX109" s="164">
        <v>6.5</v>
      </c>
      <c r="AY109" s="42" t="s">
        <v>352</v>
      </c>
      <c r="AZ109" s="165">
        <v>1.63</v>
      </c>
      <c r="BA109" s="42" t="s">
        <v>352</v>
      </c>
      <c r="BB109" s="42" t="s">
        <v>352</v>
      </c>
      <c r="BC109" s="42" t="s">
        <v>352</v>
      </c>
      <c r="BD109" s="42" t="s">
        <v>352</v>
      </c>
      <c r="BE109" s="200">
        <v>0</v>
      </c>
      <c r="BF109" s="200">
        <v>0</v>
      </c>
      <c r="BG109" s="168">
        <v>4.5999999999999996</v>
      </c>
      <c r="BH109" s="171">
        <v>27.94</v>
      </c>
      <c r="BI109" s="42" t="s">
        <v>352</v>
      </c>
      <c r="BJ109" s="42" t="s">
        <v>352</v>
      </c>
      <c r="BK109" s="42" t="s">
        <v>352</v>
      </c>
      <c r="BL109" s="162">
        <v>153.71990614995204</v>
      </c>
      <c r="BM109" s="162">
        <v>96.277204378127848</v>
      </c>
      <c r="BN109" s="162">
        <v>64.14627662648374</v>
      </c>
      <c r="BO109" s="42" t="s">
        <v>352</v>
      </c>
      <c r="BP109" s="42" t="s">
        <v>352</v>
      </c>
      <c r="BQ109" s="42" t="s">
        <v>352</v>
      </c>
      <c r="BR109" s="182" t="s">
        <v>358</v>
      </c>
      <c r="BS109" s="126">
        <v>0.06</v>
      </c>
      <c r="BT109" s="186" t="s">
        <v>355</v>
      </c>
      <c r="BU109" s="131">
        <v>67.87</v>
      </c>
      <c r="BV109" s="42" t="s">
        <v>352</v>
      </c>
      <c r="BW109" s="42" t="s">
        <v>352</v>
      </c>
      <c r="BX109" s="42" t="s">
        <v>352</v>
      </c>
      <c r="BY109" s="42" t="s">
        <v>352</v>
      </c>
      <c r="BZ109" s="190" t="s">
        <v>359</v>
      </c>
      <c r="CA109" s="190" t="s">
        <v>359</v>
      </c>
      <c r="CB109" s="198" t="s">
        <v>351</v>
      </c>
      <c r="CC109" s="39" t="s">
        <v>351</v>
      </c>
      <c r="CD109" s="42" t="s">
        <v>352</v>
      </c>
    </row>
    <row r="110" spans="1:82">
      <c r="A110" s="3" t="s">
        <v>454</v>
      </c>
      <c r="B110" s="3" t="s">
        <v>455</v>
      </c>
      <c r="C110" s="27" t="s">
        <v>456</v>
      </c>
      <c r="D110" s="3" t="s">
        <v>456</v>
      </c>
      <c r="E110" s="29">
        <v>13001</v>
      </c>
      <c r="F110" s="3" t="s">
        <v>487</v>
      </c>
      <c r="G110" s="4">
        <v>13132</v>
      </c>
      <c r="H110" s="10">
        <v>443.24498499999999</v>
      </c>
      <c r="I110" s="42" t="s">
        <v>352</v>
      </c>
      <c r="J110" s="41">
        <v>926.57120199999997</v>
      </c>
      <c r="K110" s="42" t="s">
        <v>352</v>
      </c>
      <c r="L110" s="119">
        <v>57.71</v>
      </c>
      <c r="M110" s="120">
        <v>99.6</v>
      </c>
      <c r="N110" s="42" t="s">
        <v>352</v>
      </c>
      <c r="O110" s="60">
        <v>2486.5700000000002</v>
      </c>
      <c r="P110" s="42" t="s">
        <v>352</v>
      </c>
      <c r="Q110" s="60">
        <v>1621.58</v>
      </c>
      <c r="R110" s="122">
        <v>0.17</v>
      </c>
      <c r="S110" s="62">
        <v>1055.22</v>
      </c>
      <c r="T110" s="42" t="s">
        <v>352</v>
      </c>
      <c r="U110" s="42" t="s">
        <v>352</v>
      </c>
      <c r="V110" s="42" t="s">
        <v>352</v>
      </c>
      <c r="W110" s="42" t="s">
        <v>352</v>
      </c>
      <c r="X110" s="42" t="s">
        <v>352</v>
      </c>
      <c r="Y110" s="42" t="s">
        <v>352</v>
      </c>
      <c r="Z110" s="122">
        <v>24.97</v>
      </c>
      <c r="AA110" s="135">
        <v>0.76923076923076927</v>
      </c>
      <c r="AB110" s="125">
        <v>15.4</v>
      </c>
      <c r="AC110" s="144">
        <v>38.200000000000003</v>
      </c>
      <c r="AD110" s="42" t="s">
        <v>352</v>
      </c>
      <c r="AE110" s="42" t="s">
        <v>352</v>
      </c>
      <c r="AF110" s="134">
        <v>21.08</v>
      </c>
      <c r="AG110" s="134">
        <v>33.1</v>
      </c>
      <c r="AH110" s="134">
        <v>71.290000000000006</v>
      </c>
      <c r="AI110" s="134">
        <v>15.24</v>
      </c>
      <c r="AJ110" s="150">
        <v>2.13</v>
      </c>
      <c r="AK110" s="152">
        <v>237.18</v>
      </c>
      <c r="AL110" s="123">
        <v>25.51</v>
      </c>
      <c r="AM110" s="123">
        <v>30.19</v>
      </c>
      <c r="AN110" s="122">
        <v>1.1792955739524962</v>
      </c>
      <c r="AO110" s="122">
        <v>5.7222987222616819</v>
      </c>
      <c r="AP110" s="59" t="s">
        <v>351</v>
      </c>
      <c r="AQ110" s="160">
        <v>1499.13</v>
      </c>
      <c r="AR110" s="161">
        <v>1821.19</v>
      </c>
      <c r="AS110" s="200">
        <v>1.9018026315733464E-2</v>
      </c>
      <c r="AT110" s="42" t="s">
        <v>352</v>
      </c>
      <c r="AU110" s="42" t="s">
        <v>352</v>
      </c>
      <c r="AV110" s="164">
        <v>819.96271507594508</v>
      </c>
      <c r="AW110" s="164">
        <v>28.536481599659645</v>
      </c>
      <c r="AX110" s="164">
        <v>4.42</v>
      </c>
      <c r="AY110" s="42" t="s">
        <v>352</v>
      </c>
      <c r="AZ110" s="165">
        <v>1.99</v>
      </c>
      <c r="BA110" s="42" t="s">
        <v>352</v>
      </c>
      <c r="BB110" s="42" t="s">
        <v>352</v>
      </c>
      <c r="BC110" s="42" t="s">
        <v>352</v>
      </c>
      <c r="BD110" s="42" t="s">
        <v>352</v>
      </c>
      <c r="BE110" s="200">
        <v>0</v>
      </c>
      <c r="BF110" s="200">
        <v>0</v>
      </c>
      <c r="BG110" s="168">
        <v>0.13</v>
      </c>
      <c r="BH110" s="171">
        <v>3.48</v>
      </c>
      <c r="BI110" s="42" t="s">
        <v>352</v>
      </c>
      <c r="BJ110" s="42" t="s">
        <v>352</v>
      </c>
      <c r="BK110" s="42" t="s">
        <v>352</v>
      </c>
      <c r="BL110" s="162">
        <v>94.660710487130402</v>
      </c>
      <c r="BM110" s="162">
        <v>261.00829610721121</v>
      </c>
      <c r="BN110" s="162">
        <v>17.762178259944694</v>
      </c>
      <c r="BO110" s="42" t="s">
        <v>352</v>
      </c>
      <c r="BP110" s="42" t="s">
        <v>352</v>
      </c>
      <c r="BQ110" s="42" t="s">
        <v>352</v>
      </c>
      <c r="BR110" s="182" t="s">
        <v>358</v>
      </c>
      <c r="BS110" s="126">
        <v>94.1</v>
      </c>
      <c r="BT110" s="186" t="s">
        <v>353</v>
      </c>
      <c r="BU110" s="131">
        <v>1.78</v>
      </c>
      <c r="BV110" s="42" t="s">
        <v>352</v>
      </c>
      <c r="BW110" s="42" t="s">
        <v>352</v>
      </c>
      <c r="BX110" s="42" t="s">
        <v>352</v>
      </c>
      <c r="BY110" s="42" t="s">
        <v>352</v>
      </c>
      <c r="BZ110" s="190" t="s">
        <v>359</v>
      </c>
      <c r="CA110" s="190" t="s">
        <v>359</v>
      </c>
      <c r="CB110" s="198" t="s">
        <v>355</v>
      </c>
      <c r="CC110" s="39">
        <v>0</v>
      </c>
      <c r="CD110" s="42" t="s">
        <v>352</v>
      </c>
    </row>
    <row r="111" spans="1:82">
      <c r="A111" s="3" t="s">
        <v>454</v>
      </c>
      <c r="B111" s="3" t="s">
        <v>488</v>
      </c>
      <c r="C111" s="27" t="s">
        <v>456</v>
      </c>
      <c r="D111" s="3" t="s">
        <v>456</v>
      </c>
      <c r="E111" s="29">
        <v>13001</v>
      </c>
      <c r="F111" s="3" t="s">
        <v>489</v>
      </c>
      <c r="G111" s="4">
        <v>13201</v>
      </c>
      <c r="H111" s="10">
        <v>186.21903399999999</v>
      </c>
      <c r="I111" s="42" t="s">
        <v>352</v>
      </c>
      <c r="J111" s="41">
        <v>1282.4436780000001</v>
      </c>
      <c r="K111" s="42" t="s">
        <v>352</v>
      </c>
      <c r="L111" s="119">
        <v>94.49</v>
      </c>
      <c r="M111" s="120">
        <v>98.66</v>
      </c>
      <c r="N111" s="42" t="s">
        <v>352</v>
      </c>
      <c r="O111" s="60">
        <v>1380.15</v>
      </c>
      <c r="P111" s="42" t="s">
        <v>352</v>
      </c>
      <c r="Q111" s="60">
        <v>644.4</v>
      </c>
      <c r="R111" s="122">
        <v>0.79</v>
      </c>
      <c r="S111" s="62">
        <v>534.74</v>
      </c>
      <c r="T111" s="42" t="s">
        <v>352</v>
      </c>
      <c r="U111" s="42" t="s">
        <v>352</v>
      </c>
      <c r="V111" s="42" t="s">
        <v>352</v>
      </c>
      <c r="W111" s="42" t="s">
        <v>352</v>
      </c>
      <c r="X111" s="42" t="s">
        <v>352</v>
      </c>
      <c r="Y111" s="42" t="s">
        <v>352</v>
      </c>
      <c r="Z111" s="122">
        <v>39.4</v>
      </c>
      <c r="AA111" s="135">
        <v>1.5833333333333333</v>
      </c>
      <c r="AB111" s="143">
        <v>35</v>
      </c>
      <c r="AC111" s="144">
        <v>74.099999999999994</v>
      </c>
      <c r="AD111" s="42" t="s">
        <v>352</v>
      </c>
      <c r="AE111" s="42" t="s">
        <v>352</v>
      </c>
      <c r="AF111" s="134">
        <v>27.82</v>
      </c>
      <c r="AG111" s="134">
        <v>38.82</v>
      </c>
      <c r="AH111" s="134">
        <v>60.24</v>
      </c>
      <c r="AI111" s="134">
        <v>21.07</v>
      </c>
      <c r="AJ111" s="150">
        <v>3.33</v>
      </c>
      <c r="AK111" s="152">
        <v>186.11</v>
      </c>
      <c r="AL111" s="123">
        <v>8.4</v>
      </c>
      <c r="AM111" s="123">
        <v>16.34</v>
      </c>
      <c r="AN111" s="122">
        <v>1.5006295566669412</v>
      </c>
      <c r="AO111" s="122">
        <v>0.50837428312839339</v>
      </c>
      <c r="AP111" s="59" t="s">
        <v>351</v>
      </c>
      <c r="AQ111" s="160">
        <v>646.79999999999995</v>
      </c>
      <c r="AR111" s="161">
        <v>168.67</v>
      </c>
      <c r="AS111" s="200">
        <v>2.3169010275838711E-3</v>
      </c>
      <c r="AT111" s="42" t="s">
        <v>352</v>
      </c>
      <c r="AU111" s="42" t="s">
        <v>352</v>
      </c>
      <c r="AV111" s="164">
        <v>696.14209320091663</v>
      </c>
      <c r="AW111" s="164">
        <v>19.100648994907445</v>
      </c>
      <c r="AX111" s="164">
        <v>7.94</v>
      </c>
      <c r="AY111" s="42" t="s">
        <v>352</v>
      </c>
      <c r="AZ111" s="166" t="s">
        <v>351</v>
      </c>
      <c r="BA111" s="42" t="s">
        <v>352</v>
      </c>
      <c r="BB111" s="42" t="s">
        <v>352</v>
      </c>
      <c r="BC111" s="42" t="s">
        <v>352</v>
      </c>
      <c r="BD111" s="42" t="s">
        <v>352</v>
      </c>
      <c r="BE111" s="200">
        <v>0.28999999999999998</v>
      </c>
      <c r="BF111" s="200">
        <v>28.19</v>
      </c>
      <c r="BG111" s="168">
        <v>7.29</v>
      </c>
      <c r="BH111" s="171">
        <v>23.31</v>
      </c>
      <c r="BI111" s="42" t="s">
        <v>352</v>
      </c>
      <c r="BJ111" s="42" t="s">
        <v>352</v>
      </c>
      <c r="BK111" s="42" t="s">
        <v>352</v>
      </c>
      <c r="BL111" s="162">
        <v>109.44147056815241</v>
      </c>
      <c r="BM111" s="162">
        <v>131.75215921415563</v>
      </c>
      <c r="BN111" s="162">
        <v>68.281822902358584</v>
      </c>
      <c r="BO111" s="42" t="s">
        <v>352</v>
      </c>
      <c r="BP111" s="42" t="s">
        <v>352</v>
      </c>
      <c r="BQ111" s="42" t="s">
        <v>352</v>
      </c>
      <c r="BR111" s="182" t="s">
        <v>358</v>
      </c>
      <c r="BS111" s="126">
        <v>28.22</v>
      </c>
      <c r="BT111" s="186" t="s">
        <v>353</v>
      </c>
      <c r="BU111" s="131">
        <v>67.45</v>
      </c>
      <c r="BV111" s="42" t="s">
        <v>352</v>
      </c>
      <c r="BW111" s="42" t="s">
        <v>352</v>
      </c>
      <c r="BX111" s="42" t="s">
        <v>352</v>
      </c>
      <c r="BY111" s="42" t="s">
        <v>352</v>
      </c>
      <c r="BZ111" s="190" t="s">
        <v>359</v>
      </c>
      <c r="CA111" s="190" t="s">
        <v>359</v>
      </c>
      <c r="CB111" s="198" t="s">
        <v>351</v>
      </c>
      <c r="CC111" s="39" t="s">
        <v>351</v>
      </c>
      <c r="CD111" s="42" t="s">
        <v>352</v>
      </c>
    </row>
    <row r="112" spans="1:82">
      <c r="A112" s="3" t="s">
        <v>454</v>
      </c>
      <c r="B112" s="3" t="s">
        <v>488</v>
      </c>
      <c r="C112" s="27" t="s">
        <v>456</v>
      </c>
      <c r="D112" s="3" t="s">
        <v>456</v>
      </c>
      <c r="E112" s="29">
        <v>13001</v>
      </c>
      <c r="F112" s="3" t="s">
        <v>490</v>
      </c>
      <c r="G112" s="4">
        <v>13202</v>
      </c>
      <c r="H112" s="10">
        <v>787.14489100000003</v>
      </c>
      <c r="I112" s="42" t="s">
        <v>352</v>
      </c>
      <c r="J112" s="41">
        <v>1285.860494</v>
      </c>
      <c r="K112" s="42" t="s">
        <v>352</v>
      </c>
      <c r="L112" s="119">
        <v>29.95</v>
      </c>
      <c r="M112" s="120">
        <v>5.21</v>
      </c>
      <c r="N112" s="42" t="s">
        <v>352</v>
      </c>
      <c r="O112" s="60">
        <v>1829.91</v>
      </c>
      <c r="P112" s="42" t="s">
        <v>352</v>
      </c>
      <c r="Q112" s="60">
        <v>1698.89</v>
      </c>
      <c r="R112" s="122">
        <v>0.68</v>
      </c>
      <c r="S112" s="62">
        <v>1719.07</v>
      </c>
      <c r="T112" s="42" t="s">
        <v>352</v>
      </c>
      <c r="U112" s="42" t="s">
        <v>352</v>
      </c>
      <c r="V112" s="42" t="s">
        <v>352</v>
      </c>
      <c r="W112" s="42" t="s">
        <v>352</v>
      </c>
      <c r="X112" s="42" t="s">
        <v>352</v>
      </c>
      <c r="Y112" s="42" t="s">
        <v>352</v>
      </c>
      <c r="Z112" s="122">
        <v>2.2400000000000002</v>
      </c>
      <c r="AA112" s="135">
        <v>0.93333333333333335</v>
      </c>
      <c r="AB112" s="125">
        <v>34.5</v>
      </c>
      <c r="AC112" s="144">
        <v>59.8</v>
      </c>
      <c r="AD112" s="42" t="s">
        <v>352</v>
      </c>
      <c r="AE112" s="42" t="s">
        <v>352</v>
      </c>
      <c r="AF112" s="134">
        <v>28.9</v>
      </c>
      <c r="AG112" s="134">
        <v>36.909999999999997</v>
      </c>
      <c r="AH112" s="134">
        <v>51.35</v>
      </c>
      <c r="AI112" s="134">
        <v>22.45</v>
      </c>
      <c r="AJ112" s="150">
        <v>3.38</v>
      </c>
      <c r="AK112" s="152">
        <v>172.2</v>
      </c>
      <c r="AL112" s="159" t="s">
        <v>351</v>
      </c>
      <c r="AM112" s="123" t="s">
        <v>351</v>
      </c>
      <c r="AN112" s="122">
        <v>0.8774412942282217</v>
      </c>
      <c r="AO112" s="162">
        <v>0</v>
      </c>
      <c r="AP112" s="59">
        <v>1.01</v>
      </c>
      <c r="AQ112" s="160">
        <v>855.94</v>
      </c>
      <c r="AR112" s="161">
        <v>755.71</v>
      </c>
      <c r="AS112" s="200">
        <v>3.2829126291187248E-2</v>
      </c>
      <c r="AT112" s="42" t="s">
        <v>352</v>
      </c>
      <c r="AU112" s="42" t="s">
        <v>352</v>
      </c>
      <c r="AV112" s="164">
        <v>140.59514059514058</v>
      </c>
      <c r="AW112" s="164">
        <v>1.7389249054565101</v>
      </c>
      <c r="AX112" s="164">
        <v>22.47</v>
      </c>
      <c r="AY112" s="42" t="s">
        <v>352</v>
      </c>
      <c r="AZ112" s="165">
        <v>0.41</v>
      </c>
      <c r="BA112" s="42" t="s">
        <v>352</v>
      </c>
      <c r="BB112" s="42" t="s">
        <v>352</v>
      </c>
      <c r="BC112" s="42" t="s">
        <v>352</v>
      </c>
      <c r="BD112" s="42" t="s">
        <v>352</v>
      </c>
      <c r="BE112" s="200">
        <v>0</v>
      </c>
      <c r="BF112" s="200">
        <v>36.14</v>
      </c>
      <c r="BG112" s="168">
        <v>4.75</v>
      </c>
      <c r="BH112" s="171">
        <v>20.329999999999998</v>
      </c>
      <c r="BI112" s="42" t="s">
        <v>352</v>
      </c>
      <c r="BJ112" s="42" t="s">
        <v>352</v>
      </c>
      <c r="BK112" s="42" t="s">
        <v>352</v>
      </c>
      <c r="BL112" s="162">
        <v>44.908157752566183</v>
      </c>
      <c r="BM112" s="162">
        <v>92.17990275526742</v>
      </c>
      <c r="BN112" s="162">
        <v>61.453268503511616</v>
      </c>
      <c r="BO112" s="42" t="s">
        <v>352</v>
      </c>
      <c r="BP112" s="42" t="s">
        <v>352</v>
      </c>
      <c r="BQ112" s="42" t="s">
        <v>352</v>
      </c>
      <c r="BR112" s="182" t="s">
        <v>358</v>
      </c>
      <c r="BS112" s="126">
        <v>87.82</v>
      </c>
      <c r="BT112" s="186" t="s">
        <v>353</v>
      </c>
      <c r="BU112" s="131">
        <v>13.73</v>
      </c>
      <c r="BV112" s="42" t="s">
        <v>352</v>
      </c>
      <c r="BW112" s="42" t="s">
        <v>352</v>
      </c>
      <c r="BX112" s="42" t="s">
        <v>352</v>
      </c>
      <c r="BY112" s="42" t="s">
        <v>352</v>
      </c>
      <c r="BZ112" s="190" t="s">
        <v>359</v>
      </c>
      <c r="CA112" s="190" t="s">
        <v>359</v>
      </c>
      <c r="CB112" s="198" t="s">
        <v>355</v>
      </c>
      <c r="CC112" s="39">
        <v>0</v>
      </c>
      <c r="CD112" s="42" t="s">
        <v>352</v>
      </c>
    </row>
    <row r="113" spans="1:82">
      <c r="A113" s="3" t="s">
        <v>454</v>
      </c>
      <c r="B113" s="3" t="s">
        <v>488</v>
      </c>
      <c r="C113" s="27" t="s">
        <v>456</v>
      </c>
      <c r="D113" s="3" t="s">
        <v>456</v>
      </c>
      <c r="E113" s="29">
        <v>13001</v>
      </c>
      <c r="F113" s="3" t="s">
        <v>491</v>
      </c>
      <c r="G113" s="4">
        <v>13203</v>
      </c>
      <c r="H113" s="10">
        <v>708.93379000000004</v>
      </c>
      <c r="I113" s="42" t="s">
        <v>352</v>
      </c>
      <c r="J113" s="41">
        <v>1819.158731</v>
      </c>
      <c r="K113" s="42" t="s">
        <v>352</v>
      </c>
      <c r="L113" s="119">
        <v>39.6</v>
      </c>
      <c r="M113" s="56" t="s">
        <v>351</v>
      </c>
      <c r="N113" s="42" t="s">
        <v>352</v>
      </c>
      <c r="O113" s="60">
        <v>391.44</v>
      </c>
      <c r="P113" s="42" t="s">
        <v>352</v>
      </c>
      <c r="Q113" s="60">
        <v>1283.31</v>
      </c>
      <c r="R113" s="122">
        <v>0.85</v>
      </c>
      <c r="S113" s="62">
        <v>905.46</v>
      </c>
      <c r="T113" s="42" t="s">
        <v>352</v>
      </c>
      <c r="U113" s="42" t="s">
        <v>352</v>
      </c>
      <c r="V113" s="42" t="s">
        <v>352</v>
      </c>
      <c r="W113" s="42" t="s">
        <v>352</v>
      </c>
      <c r="X113" s="42" t="s">
        <v>352</v>
      </c>
      <c r="Y113" s="42" t="s">
        <v>352</v>
      </c>
      <c r="Z113" s="122">
        <v>0.3</v>
      </c>
      <c r="AA113" s="124" t="s">
        <v>351</v>
      </c>
      <c r="AB113" s="124" t="s">
        <v>351</v>
      </c>
      <c r="AC113" s="145" t="s">
        <v>351</v>
      </c>
      <c r="AD113" s="42" t="s">
        <v>352</v>
      </c>
      <c r="AE113" s="42" t="s">
        <v>352</v>
      </c>
      <c r="AF113" s="147" t="s">
        <v>351</v>
      </c>
      <c r="AG113" s="148" t="s">
        <v>351</v>
      </c>
      <c r="AH113" s="149" t="s">
        <v>351</v>
      </c>
      <c r="AI113" s="149" t="s">
        <v>351</v>
      </c>
      <c r="AJ113" s="150">
        <v>10.94</v>
      </c>
      <c r="AK113" s="152">
        <v>300.95999999999998</v>
      </c>
      <c r="AL113" s="159" t="s">
        <v>351</v>
      </c>
      <c r="AM113" s="123" t="s">
        <v>351</v>
      </c>
      <c r="AN113" s="122">
        <v>1.2044900024361449</v>
      </c>
      <c r="AO113" s="122">
        <v>1.2394797245600613</v>
      </c>
      <c r="AP113" s="59" t="s">
        <v>351</v>
      </c>
      <c r="AQ113" s="160">
        <v>884.94</v>
      </c>
      <c r="AR113" s="161">
        <v>550.64</v>
      </c>
      <c r="AS113" s="200">
        <v>4.0083255736847963E-2</v>
      </c>
      <c r="AT113" s="42" t="s">
        <v>352</v>
      </c>
      <c r="AU113" s="42" t="s">
        <v>352</v>
      </c>
      <c r="AV113" s="164">
        <v>268.75473604445568</v>
      </c>
      <c r="AW113" s="164">
        <v>5.8221614227086178</v>
      </c>
      <c r="AX113" s="164">
        <v>18.02</v>
      </c>
      <c r="AY113" s="42" t="s">
        <v>352</v>
      </c>
      <c r="AZ113" s="165">
        <v>0</v>
      </c>
      <c r="BA113" s="42" t="s">
        <v>352</v>
      </c>
      <c r="BB113" s="42" t="s">
        <v>352</v>
      </c>
      <c r="BC113" s="42" t="s">
        <v>352</v>
      </c>
      <c r="BD113" s="42" t="s">
        <v>352</v>
      </c>
      <c r="BE113" s="200">
        <v>0.32</v>
      </c>
      <c r="BF113" s="200">
        <v>26.38</v>
      </c>
      <c r="BG113" s="168">
        <v>5.99</v>
      </c>
      <c r="BH113" s="171">
        <v>23.99</v>
      </c>
      <c r="BI113" s="42" t="s">
        <v>352</v>
      </c>
      <c r="BJ113" s="42" t="s">
        <v>352</v>
      </c>
      <c r="BK113" s="42" t="s">
        <v>352</v>
      </c>
      <c r="BL113" s="162">
        <v>78.248974008207938</v>
      </c>
      <c r="BM113" s="162">
        <v>224.35020519835842</v>
      </c>
      <c r="BN113" s="162">
        <v>86.45690834473325</v>
      </c>
      <c r="BO113" s="42" t="s">
        <v>352</v>
      </c>
      <c r="BP113" s="42" t="s">
        <v>352</v>
      </c>
      <c r="BQ113" s="42" t="s">
        <v>352</v>
      </c>
      <c r="BR113" s="182" t="s">
        <v>358</v>
      </c>
      <c r="BS113" s="126">
        <v>30.68</v>
      </c>
      <c r="BT113" s="186" t="s">
        <v>355</v>
      </c>
      <c r="BU113" s="131">
        <v>35.19</v>
      </c>
      <c r="BV113" s="42" t="s">
        <v>352</v>
      </c>
      <c r="BW113" s="42" t="s">
        <v>352</v>
      </c>
      <c r="BX113" s="42" t="s">
        <v>352</v>
      </c>
      <c r="BY113" s="42" t="s">
        <v>352</v>
      </c>
      <c r="BZ113" s="191">
        <v>0</v>
      </c>
      <c r="CA113" s="191">
        <v>0</v>
      </c>
      <c r="CB113" s="198" t="s">
        <v>355</v>
      </c>
      <c r="CC113" s="39">
        <v>1236.5302325581395</v>
      </c>
      <c r="CD113" s="42" t="s">
        <v>352</v>
      </c>
    </row>
    <row r="114" spans="1:82">
      <c r="A114" s="3" t="s">
        <v>454</v>
      </c>
      <c r="B114" s="3" t="s">
        <v>492</v>
      </c>
      <c r="C114" s="27" t="s">
        <v>456</v>
      </c>
      <c r="D114" s="3" t="s">
        <v>456</v>
      </c>
      <c r="E114" s="29">
        <v>13001</v>
      </c>
      <c r="F114" s="3" t="s">
        <v>493</v>
      </c>
      <c r="G114" s="4">
        <v>13301</v>
      </c>
      <c r="H114" s="10">
        <v>262.24346300000002</v>
      </c>
      <c r="I114" s="42" t="s">
        <v>352</v>
      </c>
      <c r="J114" s="41">
        <v>925.40042400000004</v>
      </c>
      <c r="K114" s="42" t="s">
        <v>352</v>
      </c>
      <c r="L114" s="119">
        <v>78.83</v>
      </c>
      <c r="M114" s="120">
        <v>78.02</v>
      </c>
      <c r="N114" s="42" t="s">
        <v>352</v>
      </c>
      <c r="O114" s="60">
        <v>1027.81</v>
      </c>
      <c r="P114" s="42" t="s">
        <v>352</v>
      </c>
      <c r="Q114" s="60">
        <v>631.04999999999995</v>
      </c>
      <c r="R114" s="122">
        <v>0.64</v>
      </c>
      <c r="S114" s="62">
        <v>466.08</v>
      </c>
      <c r="T114" s="42" t="s">
        <v>352</v>
      </c>
      <c r="U114" s="42" t="s">
        <v>352</v>
      </c>
      <c r="V114" s="42" t="s">
        <v>352</v>
      </c>
      <c r="W114" s="42" t="s">
        <v>352</v>
      </c>
      <c r="X114" s="42" t="s">
        <v>352</v>
      </c>
      <c r="Y114" s="42" t="s">
        <v>352</v>
      </c>
      <c r="Z114" s="122">
        <v>7.53</v>
      </c>
      <c r="AA114" s="135">
        <v>1.25</v>
      </c>
      <c r="AB114" s="125">
        <v>26.8</v>
      </c>
      <c r="AC114" s="146">
        <v>71</v>
      </c>
      <c r="AD114" s="42" t="s">
        <v>352</v>
      </c>
      <c r="AE114" s="42" t="s">
        <v>352</v>
      </c>
      <c r="AF114" s="134">
        <v>25.61</v>
      </c>
      <c r="AG114" s="134">
        <v>37.21</v>
      </c>
      <c r="AH114" s="134">
        <v>46.3</v>
      </c>
      <c r="AI114" s="134">
        <v>36.880000000000003</v>
      </c>
      <c r="AJ114" s="150">
        <v>9.82</v>
      </c>
      <c r="AK114" s="152">
        <v>333.3</v>
      </c>
      <c r="AL114" s="159" t="s">
        <v>351</v>
      </c>
      <c r="AM114" s="123" t="s">
        <v>351</v>
      </c>
      <c r="AN114" s="122">
        <v>1.1511370712061471</v>
      </c>
      <c r="AO114" s="122">
        <v>1.1257717004664403</v>
      </c>
      <c r="AP114" s="59">
        <v>0.64</v>
      </c>
      <c r="AQ114" s="160">
        <v>932.9</v>
      </c>
      <c r="AR114" s="161">
        <v>1002.36</v>
      </c>
      <c r="AS114" s="200">
        <v>0.16396881626109236</v>
      </c>
      <c r="AT114" s="42" t="s">
        <v>352</v>
      </c>
      <c r="AU114" s="42" t="s">
        <v>352</v>
      </c>
      <c r="AV114" s="164">
        <v>635.35162995828796</v>
      </c>
      <c r="AW114" s="164">
        <v>13.81361953338455</v>
      </c>
      <c r="AX114" s="164">
        <v>13.89</v>
      </c>
      <c r="AY114" s="42" t="s">
        <v>352</v>
      </c>
      <c r="AZ114" s="165">
        <v>0.4</v>
      </c>
      <c r="BA114" s="42" t="s">
        <v>352</v>
      </c>
      <c r="BB114" s="42" t="s">
        <v>352</v>
      </c>
      <c r="BC114" s="42" t="s">
        <v>352</v>
      </c>
      <c r="BD114" s="42" t="s">
        <v>352</v>
      </c>
      <c r="BE114" s="200">
        <v>0.5</v>
      </c>
      <c r="BF114" s="200">
        <v>45.41</v>
      </c>
      <c r="BG114" s="168">
        <v>6.4</v>
      </c>
      <c r="BH114" s="171">
        <v>25.46</v>
      </c>
      <c r="BI114" s="42" t="s">
        <v>352</v>
      </c>
      <c r="BJ114" s="42" t="s">
        <v>352</v>
      </c>
      <c r="BK114" s="42" t="s">
        <v>352</v>
      </c>
      <c r="BL114" s="162">
        <v>108.01818402370624</v>
      </c>
      <c r="BM114" s="162">
        <v>119.6864584476574</v>
      </c>
      <c r="BN114" s="162">
        <v>55.106602972521792</v>
      </c>
      <c r="BO114" s="42" t="s">
        <v>352</v>
      </c>
      <c r="BP114" s="42" t="s">
        <v>352</v>
      </c>
      <c r="BQ114" s="42" t="s">
        <v>352</v>
      </c>
      <c r="BR114" s="182" t="s">
        <v>358</v>
      </c>
      <c r="BS114" s="126">
        <v>39.79</v>
      </c>
      <c r="BT114" s="186" t="s">
        <v>353</v>
      </c>
      <c r="BU114" s="131">
        <v>10.37</v>
      </c>
      <c r="BV114" s="42" t="s">
        <v>352</v>
      </c>
      <c r="BW114" s="42" t="s">
        <v>352</v>
      </c>
      <c r="BX114" s="42" t="s">
        <v>352</v>
      </c>
      <c r="BY114" s="42" t="s">
        <v>352</v>
      </c>
      <c r="BZ114" s="191">
        <v>0</v>
      </c>
      <c r="CA114" s="191">
        <v>100</v>
      </c>
      <c r="CB114" s="198" t="s">
        <v>353</v>
      </c>
      <c r="CC114" s="39">
        <v>124.19202975987615</v>
      </c>
      <c r="CD114" s="42" t="s">
        <v>352</v>
      </c>
    </row>
    <row r="115" spans="1:82">
      <c r="A115" s="3" t="s">
        <v>454</v>
      </c>
      <c r="B115" s="3" t="s">
        <v>492</v>
      </c>
      <c r="C115" s="27" t="s">
        <v>456</v>
      </c>
      <c r="D115" s="3" t="s">
        <v>456</v>
      </c>
      <c r="E115" s="29">
        <v>13001</v>
      </c>
      <c r="F115" s="3" t="s">
        <v>494</v>
      </c>
      <c r="G115" s="4">
        <v>13302</v>
      </c>
      <c r="H115" s="10">
        <v>318.59742199999999</v>
      </c>
      <c r="I115" s="42" t="s">
        <v>352</v>
      </c>
      <c r="J115" s="41">
        <v>785.66715899999997</v>
      </c>
      <c r="K115" s="42" t="s">
        <v>352</v>
      </c>
      <c r="L115" s="119">
        <v>69.66</v>
      </c>
      <c r="M115" s="120">
        <v>75.91</v>
      </c>
      <c r="N115" s="42" t="s">
        <v>352</v>
      </c>
      <c r="O115" s="60">
        <v>2718.46</v>
      </c>
      <c r="P115" s="42" t="s">
        <v>352</v>
      </c>
      <c r="Q115" s="60">
        <v>832.81</v>
      </c>
      <c r="R115" s="122">
        <v>0.71</v>
      </c>
      <c r="S115" s="62">
        <v>653.45000000000005</v>
      </c>
      <c r="T115" s="42" t="s">
        <v>352</v>
      </c>
      <c r="U115" s="42" t="s">
        <v>352</v>
      </c>
      <c r="V115" s="42" t="s">
        <v>352</v>
      </c>
      <c r="W115" s="42" t="s">
        <v>352</v>
      </c>
      <c r="X115" s="42" t="s">
        <v>352</v>
      </c>
      <c r="Y115" s="42" t="s">
        <v>352</v>
      </c>
      <c r="Z115" s="126">
        <v>6.3</v>
      </c>
      <c r="AA115" s="135">
        <v>1.3571428571428572</v>
      </c>
      <c r="AB115" s="125">
        <v>21.2</v>
      </c>
      <c r="AC115" s="144">
        <v>70.8</v>
      </c>
      <c r="AD115" s="42" t="s">
        <v>352</v>
      </c>
      <c r="AE115" s="42" t="s">
        <v>352</v>
      </c>
      <c r="AF115" s="134">
        <v>31.18</v>
      </c>
      <c r="AG115" s="134">
        <v>34.19</v>
      </c>
      <c r="AH115" s="134">
        <v>78.77</v>
      </c>
      <c r="AI115" s="134">
        <v>52.18</v>
      </c>
      <c r="AJ115" s="150">
        <v>7.41</v>
      </c>
      <c r="AK115" s="152">
        <v>113.55</v>
      </c>
      <c r="AL115" s="159" t="s">
        <v>351</v>
      </c>
      <c r="AM115" s="123" t="s">
        <v>351</v>
      </c>
      <c r="AN115" s="122">
        <v>1.0852877469806832</v>
      </c>
      <c r="AO115" s="122">
        <v>18.369482692790466</v>
      </c>
      <c r="AP115" s="59" t="s">
        <v>351</v>
      </c>
      <c r="AQ115" s="160">
        <v>768.26</v>
      </c>
      <c r="AR115" s="161">
        <v>1299.75</v>
      </c>
      <c r="AS115" s="200">
        <v>7.7330481142111204E-2</v>
      </c>
      <c r="AT115" s="42" t="s">
        <v>352</v>
      </c>
      <c r="AU115" s="42" t="s">
        <v>352</v>
      </c>
      <c r="AV115" s="164">
        <v>457.27459361222361</v>
      </c>
      <c r="AW115" s="164">
        <v>11.18013955631624</v>
      </c>
      <c r="AX115" s="164">
        <v>19.37</v>
      </c>
      <c r="AY115" s="42" t="s">
        <v>352</v>
      </c>
      <c r="AZ115" s="165">
        <v>0.26</v>
      </c>
      <c r="BA115" s="42" t="s">
        <v>352</v>
      </c>
      <c r="BB115" s="42" t="s">
        <v>352</v>
      </c>
      <c r="BC115" s="42" t="s">
        <v>352</v>
      </c>
      <c r="BD115" s="42" t="s">
        <v>352</v>
      </c>
      <c r="BE115" s="200">
        <v>0.54</v>
      </c>
      <c r="BF115" s="201" t="s">
        <v>351</v>
      </c>
      <c r="BG115" s="168">
        <v>3.61</v>
      </c>
      <c r="BH115" s="171">
        <v>25.76</v>
      </c>
      <c r="BI115" s="42" t="s">
        <v>352</v>
      </c>
      <c r="BJ115" s="42" t="s">
        <v>352</v>
      </c>
      <c r="BK115" s="42" t="s">
        <v>352</v>
      </c>
      <c r="BL115" s="162">
        <v>118.90263972088738</v>
      </c>
      <c r="BM115" s="162">
        <v>108.45237311566058</v>
      </c>
      <c r="BN115" s="162">
        <v>63.442169705746821</v>
      </c>
      <c r="BO115" s="42" t="s">
        <v>352</v>
      </c>
      <c r="BP115" s="42" t="s">
        <v>352</v>
      </c>
      <c r="BQ115" s="42" t="s">
        <v>352</v>
      </c>
      <c r="BR115" s="182" t="s">
        <v>358</v>
      </c>
      <c r="BS115" s="126">
        <v>1.75</v>
      </c>
      <c r="BT115" s="186" t="s">
        <v>353</v>
      </c>
      <c r="BU115" s="131">
        <v>15.64</v>
      </c>
      <c r="BV115" s="42" t="s">
        <v>352</v>
      </c>
      <c r="BW115" s="42" t="s">
        <v>352</v>
      </c>
      <c r="BX115" s="42" t="s">
        <v>352</v>
      </c>
      <c r="BY115" s="42" t="s">
        <v>352</v>
      </c>
      <c r="BZ115" s="190" t="s">
        <v>359</v>
      </c>
      <c r="CA115" s="190" t="s">
        <v>359</v>
      </c>
      <c r="CB115" s="198" t="s">
        <v>351</v>
      </c>
      <c r="CC115" s="39" t="s">
        <v>351</v>
      </c>
      <c r="CD115" s="42" t="s">
        <v>352</v>
      </c>
    </row>
    <row r="116" spans="1:82">
      <c r="A116" s="3" t="s">
        <v>454</v>
      </c>
      <c r="B116" s="3" t="s">
        <v>492</v>
      </c>
      <c r="C116" s="27" t="s">
        <v>456</v>
      </c>
      <c r="D116" s="3" t="s">
        <v>456</v>
      </c>
      <c r="E116" s="29">
        <v>13001</v>
      </c>
      <c r="F116" s="3" t="s">
        <v>495</v>
      </c>
      <c r="G116" s="4">
        <v>13303</v>
      </c>
      <c r="H116" s="10">
        <v>519.96444699999995</v>
      </c>
      <c r="I116" s="42" t="s">
        <v>352</v>
      </c>
      <c r="J116" s="41">
        <v>85.252894999999995</v>
      </c>
      <c r="K116" s="42" t="s">
        <v>352</v>
      </c>
      <c r="L116" s="119">
        <v>51.84</v>
      </c>
      <c r="M116" s="120">
        <v>15.02</v>
      </c>
      <c r="N116" s="42" t="s">
        <v>352</v>
      </c>
      <c r="O116" s="60">
        <v>387.27</v>
      </c>
      <c r="P116" s="42" t="s">
        <v>352</v>
      </c>
      <c r="Q116" s="60">
        <v>701.52</v>
      </c>
      <c r="R116" s="122">
        <v>1.02</v>
      </c>
      <c r="S116" s="62">
        <v>581.92999999999995</v>
      </c>
      <c r="T116" s="42" t="s">
        <v>352</v>
      </c>
      <c r="U116" s="42" t="s">
        <v>352</v>
      </c>
      <c r="V116" s="42" t="s">
        <v>352</v>
      </c>
      <c r="W116" s="42" t="s">
        <v>352</v>
      </c>
      <c r="X116" s="42" t="s">
        <v>352</v>
      </c>
      <c r="Y116" s="42" t="s">
        <v>352</v>
      </c>
      <c r="Z116" s="122">
        <v>2.68</v>
      </c>
      <c r="AA116" s="124" t="s">
        <v>351</v>
      </c>
      <c r="AB116" s="124" t="s">
        <v>351</v>
      </c>
      <c r="AC116" s="145" t="s">
        <v>351</v>
      </c>
      <c r="AD116" s="42" t="s">
        <v>352</v>
      </c>
      <c r="AE116" s="42" t="s">
        <v>352</v>
      </c>
      <c r="AF116" s="147" t="s">
        <v>351</v>
      </c>
      <c r="AG116" s="148" t="s">
        <v>351</v>
      </c>
      <c r="AH116" s="149" t="s">
        <v>351</v>
      </c>
      <c r="AI116" s="149" t="s">
        <v>351</v>
      </c>
      <c r="AJ116" s="150">
        <v>23.73</v>
      </c>
      <c r="AK116" s="152">
        <v>142.41</v>
      </c>
      <c r="AL116" s="159" t="s">
        <v>351</v>
      </c>
      <c r="AM116" s="123" t="s">
        <v>351</v>
      </c>
      <c r="AN116" s="122">
        <v>2.2526722928200869</v>
      </c>
      <c r="AO116" s="162">
        <v>0</v>
      </c>
      <c r="AP116" s="59">
        <v>11.87</v>
      </c>
      <c r="AQ116" s="160">
        <v>732.08</v>
      </c>
      <c r="AR116" s="161">
        <v>1268.9100000000001</v>
      </c>
      <c r="AS116" s="200">
        <v>3.7693748988459091E-2</v>
      </c>
      <c r="AT116" s="42" t="s">
        <v>352</v>
      </c>
      <c r="AU116" s="42" t="s">
        <v>352</v>
      </c>
      <c r="AV116" s="164">
        <v>296.87137891077634</v>
      </c>
      <c r="AW116" s="164">
        <v>6.0808886357163203</v>
      </c>
      <c r="AX116" s="164">
        <v>12.51</v>
      </c>
      <c r="AY116" s="42" t="s">
        <v>352</v>
      </c>
      <c r="AZ116" s="59">
        <v>0.06</v>
      </c>
      <c r="BA116" s="42" t="s">
        <v>352</v>
      </c>
      <c r="BB116" s="42" t="s">
        <v>352</v>
      </c>
      <c r="BC116" s="42" t="s">
        <v>352</v>
      </c>
      <c r="BD116" s="42" t="s">
        <v>352</v>
      </c>
      <c r="BE116" s="200">
        <v>0.66</v>
      </c>
      <c r="BF116" s="200">
        <v>7.96</v>
      </c>
      <c r="BG116" s="168">
        <v>6.79</v>
      </c>
      <c r="BH116" s="171">
        <v>23.67</v>
      </c>
      <c r="BI116" s="42" t="s">
        <v>352</v>
      </c>
      <c r="BJ116" s="42" t="s">
        <v>352</v>
      </c>
      <c r="BK116" s="42" t="s">
        <v>352</v>
      </c>
      <c r="BL116" s="162">
        <v>128.16861293078895</v>
      </c>
      <c r="BM116" s="162">
        <v>120.09873730181334</v>
      </c>
      <c r="BN116" s="162">
        <v>50.792746605905251</v>
      </c>
      <c r="BO116" s="42" t="s">
        <v>352</v>
      </c>
      <c r="BP116" s="42" t="s">
        <v>352</v>
      </c>
      <c r="BQ116" s="42" t="s">
        <v>352</v>
      </c>
      <c r="BR116" s="182" t="s">
        <v>358</v>
      </c>
      <c r="BS116" s="126">
        <v>37.5</v>
      </c>
      <c r="BT116" s="186" t="s">
        <v>355</v>
      </c>
      <c r="BU116" s="131">
        <v>34.4</v>
      </c>
      <c r="BV116" s="42" t="s">
        <v>352</v>
      </c>
      <c r="BW116" s="42" t="s">
        <v>352</v>
      </c>
      <c r="BX116" s="42" t="s">
        <v>352</v>
      </c>
      <c r="BY116" s="42" t="s">
        <v>352</v>
      </c>
      <c r="BZ116" s="190" t="s">
        <v>359</v>
      </c>
      <c r="CA116" s="190" t="s">
        <v>359</v>
      </c>
      <c r="CB116" s="198" t="s">
        <v>355</v>
      </c>
      <c r="CC116" s="39">
        <v>0</v>
      </c>
      <c r="CD116" s="42" t="s">
        <v>352</v>
      </c>
    </row>
    <row r="117" spans="1:82">
      <c r="A117" s="3" t="s">
        <v>454</v>
      </c>
      <c r="B117" s="3" t="s">
        <v>496</v>
      </c>
      <c r="C117" s="27" t="s">
        <v>456</v>
      </c>
      <c r="D117" s="3" t="s">
        <v>456</v>
      </c>
      <c r="E117" s="29">
        <v>13001</v>
      </c>
      <c r="F117" s="3" t="s">
        <v>497</v>
      </c>
      <c r="G117" s="4">
        <v>13401</v>
      </c>
      <c r="H117" s="10">
        <v>223.03952799999999</v>
      </c>
      <c r="I117" s="42" t="s">
        <v>352</v>
      </c>
      <c r="J117" s="41">
        <v>1556.0631020000001</v>
      </c>
      <c r="K117" s="42" t="s">
        <v>352</v>
      </c>
      <c r="L117" s="119">
        <v>88.47</v>
      </c>
      <c r="M117" s="120">
        <v>88.63</v>
      </c>
      <c r="N117" s="42" t="s">
        <v>352</v>
      </c>
      <c r="O117" s="60">
        <v>1071.28</v>
      </c>
      <c r="P117" s="42" t="s">
        <v>352</v>
      </c>
      <c r="Q117" s="60">
        <v>527.4</v>
      </c>
      <c r="R117" s="122">
        <v>0.79</v>
      </c>
      <c r="S117" s="62">
        <v>428.44</v>
      </c>
      <c r="T117" s="42" t="s">
        <v>352</v>
      </c>
      <c r="U117" s="42" t="s">
        <v>352</v>
      </c>
      <c r="V117" s="42" t="s">
        <v>352</v>
      </c>
      <c r="W117" s="42" t="s">
        <v>352</v>
      </c>
      <c r="X117" s="42" t="s">
        <v>352</v>
      </c>
      <c r="Y117" s="42" t="s">
        <v>352</v>
      </c>
      <c r="Z117" s="122">
        <v>19.32</v>
      </c>
      <c r="AA117" s="135">
        <v>1.8</v>
      </c>
      <c r="AB117" s="125">
        <v>22.6</v>
      </c>
      <c r="AC117" s="144">
        <v>68.599999999999994</v>
      </c>
      <c r="AD117" s="42" t="s">
        <v>352</v>
      </c>
      <c r="AE117" s="42" t="s">
        <v>352</v>
      </c>
      <c r="AF117" s="134">
        <v>19.55</v>
      </c>
      <c r="AG117" s="134">
        <v>32.17</v>
      </c>
      <c r="AH117" s="134">
        <v>47.75</v>
      </c>
      <c r="AI117" s="134">
        <v>19.23</v>
      </c>
      <c r="AJ117" s="150">
        <v>6.38</v>
      </c>
      <c r="AK117" s="152">
        <v>152.53</v>
      </c>
      <c r="AL117" s="123">
        <v>7.45</v>
      </c>
      <c r="AM117" s="123">
        <v>15.27</v>
      </c>
      <c r="AN117" s="122">
        <v>1.3319401662368999</v>
      </c>
      <c r="AO117" s="122">
        <v>0.37274875691800202</v>
      </c>
      <c r="AP117" s="59">
        <v>1.73</v>
      </c>
      <c r="AQ117" s="160">
        <v>623.4</v>
      </c>
      <c r="AR117" s="161">
        <v>606.02</v>
      </c>
      <c r="AS117" s="200">
        <v>1.5216621419184926E-3</v>
      </c>
      <c r="AT117" s="42" t="s">
        <v>352</v>
      </c>
      <c r="AU117" s="42" t="s">
        <v>352</v>
      </c>
      <c r="AV117" s="164">
        <v>533.62466618111193</v>
      </c>
      <c r="AW117" s="164">
        <v>14.692468727306979</v>
      </c>
      <c r="AX117" s="164">
        <v>10.72</v>
      </c>
      <c r="AY117" s="42" t="s">
        <v>352</v>
      </c>
      <c r="AZ117" s="165">
        <v>1.23</v>
      </c>
      <c r="BA117" s="42" t="s">
        <v>352</v>
      </c>
      <c r="BB117" s="42" t="s">
        <v>352</v>
      </c>
      <c r="BC117" s="42" t="s">
        <v>352</v>
      </c>
      <c r="BD117" s="42" t="s">
        <v>352</v>
      </c>
      <c r="BE117" s="200">
        <v>0.12</v>
      </c>
      <c r="BF117" s="200">
        <v>87.58</v>
      </c>
      <c r="BG117" s="168">
        <v>9.42</v>
      </c>
      <c r="BH117" s="171">
        <v>26.07</v>
      </c>
      <c r="BI117" s="42" t="s">
        <v>352</v>
      </c>
      <c r="BJ117" s="42" t="s">
        <v>352</v>
      </c>
      <c r="BK117" s="42" t="s">
        <v>352</v>
      </c>
      <c r="BL117" s="162">
        <v>164.98491436280273</v>
      </c>
      <c r="BM117" s="162">
        <v>157.48007571683362</v>
      </c>
      <c r="BN117" s="162">
        <v>73.012660997019339</v>
      </c>
      <c r="BO117" s="42" t="s">
        <v>352</v>
      </c>
      <c r="BP117" s="42" t="s">
        <v>352</v>
      </c>
      <c r="BQ117" s="42" t="s">
        <v>352</v>
      </c>
      <c r="BR117" s="182" t="s">
        <v>358</v>
      </c>
      <c r="BS117" s="126">
        <v>55.51</v>
      </c>
      <c r="BT117" s="186" t="s">
        <v>355</v>
      </c>
      <c r="BU117" s="131">
        <v>37.380000000000003</v>
      </c>
      <c r="BV117" s="42" t="s">
        <v>352</v>
      </c>
      <c r="BW117" s="42" t="s">
        <v>352</v>
      </c>
      <c r="BX117" s="42" t="s">
        <v>352</v>
      </c>
      <c r="BY117" s="42" t="s">
        <v>352</v>
      </c>
      <c r="BZ117" s="190" t="s">
        <v>359</v>
      </c>
      <c r="CA117" s="190" t="s">
        <v>359</v>
      </c>
      <c r="CB117" s="198" t="s">
        <v>353</v>
      </c>
      <c r="CC117" s="39">
        <v>113.12459247510795</v>
      </c>
      <c r="CD117" s="42" t="s">
        <v>352</v>
      </c>
    </row>
    <row r="118" spans="1:82">
      <c r="A118" s="3" t="s">
        <v>454</v>
      </c>
      <c r="B118" s="3" t="s">
        <v>496</v>
      </c>
      <c r="C118" s="27" t="s">
        <v>456</v>
      </c>
      <c r="D118" s="3" t="s">
        <v>456</v>
      </c>
      <c r="E118" s="29">
        <v>13001</v>
      </c>
      <c r="F118" s="3" t="s">
        <v>498</v>
      </c>
      <c r="G118" s="4">
        <v>13402</v>
      </c>
      <c r="H118" s="10">
        <v>304.94216</v>
      </c>
      <c r="I118" s="42" t="s">
        <v>352</v>
      </c>
      <c r="J118" s="41">
        <v>1585.0430679999999</v>
      </c>
      <c r="K118" s="42" t="s">
        <v>352</v>
      </c>
      <c r="L118" s="119">
        <v>80.510000000000005</v>
      </c>
      <c r="M118" s="120">
        <v>65.67</v>
      </c>
      <c r="N118" s="42" t="s">
        <v>352</v>
      </c>
      <c r="O118" s="60">
        <v>1461.27</v>
      </c>
      <c r="P118" s="42" t="s">
        <v>352</v>
      </c>
      <c r="Q118" s="60">
        <v>860.49</v>
      </c>
      <c r="R118" s="122">
        <v>0.68</v>
      </c>
      <c r="S118" s="62">
        <v>815.77</v>
      </c>
      <c r="T118" s="42" t="s">
        <v>352</v>
      </c>
      <c r="U118" s="42" t="s">
        <v>352</v>
      </c>
      <c r="V118" s="42" t="s">
        <v>352</v>
      </c>
      <c r="W118" s="42" t="s">
        <v>352</v>
      </c>
      <c r="X118" s="42" t="s">
        <v>352</v>
      </c>
      <c r="Y118" s="42" t="s">
        <v>352</v>
      </c>
      <c r="Z118" s="122">
        <v>4.22</v>
      </c>
      <c r="AA118" s="135">
        <v>1.6</v>
      </c>
      <c r="AB118" s="125">
        <v>28.6</v>
      </c>
      <c r="AC118" s="144">
        <v>71.099999999999994</v>
      </c>
      <c r="AD118" s="42" t="s">
        <v>352</v>
      </c>
      <c r="AE118" s="42" t="s">
        <v>352</v>
      </c>
      <c r="AF118" s="134">
        <v>16.75</v>
      </c>
      <c r="AG118" s="134">
        <v>24.38</v>
      </c>
      <c r="AH118" s="134">
        <v>22.39</v>
      </c>
      <c r="AI118" s="134">
        <v>26.19</v>
      </c>
      <c r="AJ118" s="150">
        <v>8.41</v>
      </c>
      <c r="AK118" s="152">
        <v>462.68</v>
      </c>
      <c r="AL118" s="159" t="s">
        <v>351</v>
      </c>
      <c r="AM118" s="123" t="s">
        <v>351</v>
      </c>
      <c r="AN118" s="122">
        <v>1.1907792826048935</v>
      </c>
      <c r="AO118" s="122">
        <v>0.25946628115596698</v>
      </c>
      <c r="AP118" s="59" t="s">
        <v>351</v>
      </c>
      <c r="AQ118" s="160">
        <v>709.54</v>
      </c>
      <c r="AR118" s="161">
        <v>649.80999999999995</v>
      </c>
      <c r="AS118" s="200">
        <v>1.7863656123618447E-2</v>
      </c>
      <c r="AT118" s="42" t="s">
        <v>352</v>
      </c>
      <c r="AU118" s="42" t="s">
        <v>352</v>
      </c>
      <c r="AV118" s="164">
        <v>450.88314347881737</v>
      </c>
      <c r="AW118" s="164">
        <v>13.170882171499073</v>
      </c>
      <c r="AX118" s="164">
        <v>12.39</v>
      </c>
      <c r="AY118" s="42" t="s">
        <v>352</v>
      </c>
      <c r="AZ118" s="166" t="s">
        <v>351</v>
      </c>
      <c r="BA118" s="42" t="s">
        <v>352</v>
      </c>
      <c r="BB118" s="42" t="s">
        <v>352</v>
      </c>
      <c r="BC118" s="42" t="s">
        <v>352</v>
      </c>
      <c r="BD118" s="42" t="s">
        <v>352</v>
      </c>
      <c r="BE118" s="200">
        <v>0.11</v>
      </c>
      <c r="BF118" s="200">
        <v>25.59</v>
      </c>
      <c r="BG118" s="168">
        <v>8.0399999999999991</v>
      </c>
      <c r="BH118" s="171">
        <v>24.93</v>
      </c>
      <c r="BI118" s="42" t="s">
        <v>352</v>
      </c>
      <c r="BJ118" s="42" t="s">
        <v>352</v>
      </c>
      <c r="BK118" s="42" t="s">
        <v>352</v>
      </c>
      <c r="BL118" s="162">
        <v>94.685285925261255</v>
      </c>
      <c r="BM118" s="162">
        <v>151.79556203615428</v>
      </c>
      <c r="BN118" s="162">
        <v>74.682668760398556</v>
      </c>
      <c r="BO118" s="42" t="s">
        <v>352</v>
      </c>
      <c r="BP118" s="42" t="s">
        <v>352</v>
      </c>
      <c r="BQ118" s="42" t="s">
        <v>352</v>
      </c>
      <c r="BR118" s="182" t="s">
        <v>358</v>
      </c>
      <c r="BS118" s="126">
        <v>33.51</v>
      </c>
      <c r="BT118" s="186" t="s">
        <v>355</v>
      </c>
      <c r="BU118" s="131">
        <v>20.5</v>
      </c>
      <c r="BV118" s="42" t="s">
        <v>352</v>
      </c>
      <c r="BW118" s="42" t="s">
        <v>352</v>
      </c>
      <c r="BX118" s="42" t="s">
        <v>352</v>
      </c>
      <c r="BY118" s="42" t="s">
        <v>352</v>
      </c>
      <c r="BZ118" s="190" t="s">
        <v>359</v>
      </c>
      <c r="CA118" s="190" t="s">
        <v>359</v>
      </c>
      <c r="CB118" s="198" t="s">
        <v>351</v>
      </c>
      <c r="CC118" s="39" t="s">
        <v>351</v>
      </c>
      <c r="CD118" s="42" t="s">
        <v>352</v>
      </c>
    </row>
    <row r="119" spans="1:82">
      <c r="A119" s="3" t="s">
        <v>454</v>
      </c>
      <c r="B119" s="3" t="s">
        <v>496</v>
      </c>
      <c r="C119" s="27" t="s">
        <v>456</v>
      </c>
      <c r="D119" s="3" t="s">
        <v>456</v>
      </c>
      <c r="E119" s="29">
        <v>13001</v>
      </c>
      <c r="F119" s="3" t="s">
        <v>499</v>
      </c>
      <c r="G119" s="4">
        <v>13403</v>
      </c>
      <c r="H119" s="10">
        <v>479.74316399999998</v>
      </c>
      <c r="I119" s="42" t="s">
        <v>352</v>
      </c>
      <c r="J119" s="42" t="s">
        <v>351</v>
      </c>
      <c r="K119" s="42" t="s">
        <v>352</v>
      </c>
      <c r="L119" s="119">
        <v>65.88</v>
      </c>
      <c r="M119" s="56" t="s">
        <v>351</v>
      </c>
      <c r="N119" s="42" t="s">
        <v>352</v>
      </c>
      <c r="O119" s="60">
        <v>1099.43</v>
      </c>
      <c r="P119" s="42" t="s">
        <v>352</v>
      </c>
      <c r="Q119" s="60">
        <v>1266.8</v>
      </c>
      <c r="R119" s="122">
        <v>0.59</v>
      </c>
      <c r="S119" s="62">
        <v>1164.78</v>
      </c>
      <c r="T119" s="42" t="s">
        <v>352</v>
      </c>
      <c r="U119" s="42" t="s">
        <v>352</v>
      </c>
      <c r="V119" s="42" t="s">
        <v>352</v>
      </c>
      <c r="W119" s="42" t="s">
        <v>352</v>
      </c>
      <c r="X119" s="42" t="s">
        <v>352</v>
      </c>
      <c r="Y119" s="42" t="s">
        <v>352</v>
      </c>
      <c r="Z119" s="122">
        <v>2</v>
      </c>
      <c r="AA119" s="135">
        <v>1.25</v>
      </c>
      <c r="AB119" s="125">
        <v>21.7</v>
      </c>
      <c r="AC119" s="144">
        <v>74.900000000000006</v>
      </c>
      <c r="AD119" s="42" t="s">
        <v>352</v>
      </c>
      <c r="AE119" s="42" t="s">
        <v>352</v>
      </c>
      <c r="AF119" s="134">
        <v>26.07</v>
      </c>
      <c r="AG119" s="134">
        <v>31.7</v>
      </c>
      <c r="AH119" s="134">
        <v>62.45</v>
      </c>
      <c r="AI119" s="134">
        <v>44.97</v>
      </c>
      <c r="AJ119" s="150">
        <v>21.5</v>
      </c>
      <c r="AK119" s="152">
        <v>483.65</v>
      </c>
      <c r="AL119" s="159" t="s">
        <v>351</v>
      </c>
      <c r="AM119" s="123" t="s">
        <v>351</v>
      </c>
      <c r="AN119" s="122">
        <v>1.6792882385533525</v>
      </c>
      <c r="AO119" s="122">
        <v>1.2992006022883054</v>
      </c>
      <c r="AP119" s="59" t="s">
        <v>351</v>
      </c>
      <c r="AQ119" s="160">
        <v>750.79</v>
      </c>
      <c r="AR119" s="161">
        <v>939.21</v>
      </c>
      <c r="AS119" s="200">
        <v>5.6388724144777649E-2</v>
      </c>
      <c r="AT119" s="42" t="s">
        <v>352</v>
      </c>
      <c r="AU119" s="42" t="s">
        <v>352</v>
      </c>
      <c r="AV119" s="164">
        <v>584.30945246526835</v>
      </c>
      <c r="AW119" s="164">
        <v>7.6845914090208867</v>
      </c>
      <c r="AX119" s="164">
        <v>26.49</v>
      </c>
      <c r="AY119" s="42" t="s">
        <v>352</v>
      </c>
      <c r="AZ119" s="59">
        <v>0.36</v>
      </c>
      <c r="BA119" s="42" t="s">
        <v>352</v>
      </c>
      <c r="BB119" s="42" t="s">
        <v>352</v>
      </c>
      <c r="BC119" s="42" t="s">
        <v>352</v>
      </c>
      <c r="BD119" s="42" t="s">
        <v>352</v>
      </c>
      <c r="BE119" s="200">
        <v>0</v>
      </c>
      <c r="BF119" s="200">
        <v>0</v>
      </c>
      <c r="BG119" s="168">
        <v>3.53</v>
      </c>
      <c r="BH119" s="171">
        <v>22.06</v>
      </c>
      <c r="BI119" s="42" t="s">
        <v>352</v>
      </c>
      <c r="BJ119" s="42" t="s">
        <v>352</v>
      </c>
      <c r="BK119" s="42" t="s">
        <v>352</v>
      </c>
      <c r="BL119" s="162">
        <v>98.878658689499517</v>
      </c>
      <c r="BM119" s="162">
        <v>163.72299645326549</v>
      </c>
      <c r="BN119" s="162">
        <v>60.545265646831226</v>
      </c>
      <c r="BO119" s="42" t="s">
        <v>352</v>
      </c>
      <c r="BP119" s="42" t="s">
        <v>352</v>
      </c>
      <c r="BQ119" s="42" t="s">
        <v>352</v>
      </c>
      <c r="BR119" s="182" t="s">
        <v>358</v>
      </c>
      <c r="BS119" s="126">
        <v>88.51</v>
      </c>
      <c r="BT119" s="186" t="s">
        <v>355</v>
      </c>
      <c r="BU119" s="131">
        <v>17.059999999999999</v>
      </c>
      <c r="BV119" s="42" t="s">
        <v>352</v>
      </c>
      <c r="BW119" s="42" t="s">
        <v>352</v>
      </c>
      <c r="BX119" s="42" t="s">
        <v>352</v>
      </c>
      <c r="BY119" s="42" t="s">
        <v>352</v>
      </c>
      <c r="BZ119" s="190" t="s">
        <v>359</v>
      </c>
      <c r="CA119" s="190" t="s">
        <v>359</v>
      </c>
      <c r="CB119" s="198" t="s">
        <v>355</v>
      </c>
      <c r="CC119" s="39">
        <v>0</v>
      </c>
      <c r="CD119" s="42" t="s">
        <v>352</v>
      </c>
    </row>
    <row r="120" spans="1:82">
      <c r="A120" s="3" t="s">
        <v>454</v>
      </c>
      <c r="B120" s="3" t="s">
        <v>496</v>
      </c>
      <c r="C120" s="27" t="s">
        <v>456</v>
      </c>
      <c r="D120" s="3" t="s">
        <v>456</v>
      </c>
      <c r="E120" s="29">
        <v>13001</v>
      </c>
      <c r="F120" s="3" t="s">
        <v>500</v>
      </c>
      <c r="G120" s="4">
        <v>13404</v>
      </c>
      <c r="H120" s="10">
        <v>319.95275299999997</v>
      </c>
      <c r="I120" s="42" t="s">
        <v>352</v>
      </c>
      <c r="J120" s="42" t="s">
        <v>351</v>
      </c>
      <c r="K120" s="42" t="s">
        <v>352</v>
      </c>
      <c r="L120" s="119">
        <v>68.3</v>
      </c>
      <c r="M120" s="56" t="s">
        <v>351</v>
      </c>
      <c r="N120" s="42" t="s">
        <v>352</v>
      </c>
      <c r="O120" s="60">
        <v>1456.64</v>
      </c>
      <c r="P120" s="42" t="s">
        <v>352</v>
      </c>
      <c r="Q120" s="60">
        <v>712.39</v>
      </c>
      <c r="R120" s="122">
        <v>0.94</v>
      </c>
      <c r="S120" s="62">
        <v>597.21</v>
      </c>
      <c r="T120" s="42" t="s">
        <v>352</v>
      </c>
      <c r="U120" s="42" t="s">
        <v>352</v>
      </c>
      <c r="V120" s="42" t="s">
        <v>352</v>
      </c>
      <c r="W120" s="42" t="s">
        <v>352</v>
      </c>
      <c r="X120" s="42" t="s">
        <v>352</v>
      </c>
      <c r="Y120" s="42" t="s">
        <v>352</v>
      </c>
      <c r="Z120" s="122">
        <v>4.22</v>
      </c>
      <c r="AA120" s="124" t="s">
        <v>351</v>
      </c>
      <c r="AB120" s="124" t="s">
        <v>351</v>
      </c>
      <c r="AC120" s="145" t="s">
        <v>351</v>
      </c>
      <c r="AD120" s="42" t="s">
        <v>352</v>
      </c>
      <c r="AE120" s="42" t="s">
        <v>352</v>
      </c>
      <c r="AF120" s="147" t="s">
        <v>351</v>
      </c>
      <c r="AG120" s="148" t="s">
        <v>351</v>
      </c>
      <c r="AH120" s="149" t="s">
        <v>351</v>
      </c>
      <c r="AI120" s="149" t="s">
        <v>351</v>
      </c>
      <c r="AJ120" s="150">
        <v>6.19</v>
      </c>
      <c r="AK120" s="152">
        <v>289.92</v>
      </c>
      <c r="AL120" s="159" t="s">
        <v>351</v>
      </c>
      <c r="AM120" s="123" t="s">
        <v>351</v>
      </c>
      <c r="AN120" s="122">
        <v>0.99455133596055467</v>
      </c>
      <c r="AO120" s="122">
        <v>0.55706912334161374</v>
      </c>
      <c r="AP120" s="59">
        <v>125.76</v>
      </c>
      <c r="AQ120" s="160">
        <v>717.21</v>
      </c>
      <c r="AR120" s="161">
        <v>1050.1099999999999</v>
      </c>
      <c r="AS120" s="200">
        <v>2.9055268444063011E-2</v>
      </c>
      <c r="AT120" s="42" t="s">
        <v>352</v>
      </c>
      <c r="AU120" s="42" t="s">
        <v>352</v>
      </c>
      <c r="AV120" s="164">
        <v>284.47864877749777</v>
      </c>
      <c r="AW120" s="164">
        <v>5.175254921881776</v>
      </c>
      <c r="AX120" s="164">
        <v>16.88</v>
      </c>
      <c r="AY120" s="42" t="s">
        <v>352</v>
      </c>
      <c r="AZ120" s="165">
        <v>0.45</v>
      </c>
      <c r="BA120" s="42" t="s">
        <v>352</v>
      </c>
      <c r="BB120" s="42" t="s">
        <v>352</v>
      </c>
      <c r="BC120" s="42" t="s">
        <v>352</v>
      </c>
      <c r="BD120" s="42" t="s">
        <v>352</v>
      </c>
      <c r="BE120" s="200">
        <v>0.05</v>
      </c>
      <c r="BF120" s="200">
        <v>44.74</v>
      </c>
      <c r="BG120" s="168">
        <v>4.24</v>
      </c>
      <c r="BH120" s="171">
        <v>22.33</v>
      </c>
      <c r="BI120" s="42" t="s">
        <v>352</v>
      </c>
      <c r="BJ120" s="42" t="s">
        <v>352</v>
      </c>
      <c r="BK120" s="42" t="s">
        <v>352</v>
      </c>
      <c r="BL120" s="162">
        <v>62.32112103678557</v>
      </c>
      <c r="BM120" s="162">
        <v>101.47315731436855</v>
      </c>
      <c r="BN120" s="162">
        <v>62.073323338826178</v>
      </c>
      <c r="BO120" s="42" t="s">
        <v>352</v>
      </c>
      <c r="BP120" s="42" t="s">
        <v>352</v>
      </c>
      <c r="BQ120" s="42" t="s">
        <v>352</v>
      </c>
      <c r="BR120" s="182" t="s">
        <v>358</v>
      </c>
      <c r="BS120" s="126">
        <v>23.15</v>
      </c>
      <c r="BT120" s="186" t="s">
        <v>353</v>
      </c>
      <c r="BU120" s="131">
        <v>30.02</v>
      </c>
      <c r="BV120" s="42" t="s">
        <v>352</v>
      </c>
      <c r="BW120" s="42" t="s">
        <v>352</v>
      </c>
      <c r="BX120" s="42" t="s">
        <v>352</v>
      </c>
      <c r="BY120" s="42" t="s">
        <v>352</v>
      </c>
      <c r="BZ120" s="191">
        <v>0</v>
      </c>
      <c r="CA120" s="191">
        <v>0</v>
      </c>
      <c r="CB120" s="198" t="s">
        <v>603</v>
      </c>
      <c r="CC120" s="39">
        <v>557.43135384272284</v>
      </c>
      <c r="CD120" s="42" t="s">
        <v>352</v>
      </c>
    </row>
    <row r="121" spans="1:82">
      <c r="A121" s="3" t="s">
        <v>454</v>
      </c>
      <c r="B121" s="3" t="s">
        <v>501</v>
      </c>
      <c r="C121" s="27" t="s">
        <v>349</v>
      </c>
      <c r="D121" s="3" t="s">
        <v>501</v>
      </c>
      <c r="E121" s="29">
        <v>13501</v>
      </c>
      <c r="F121" s="6" t="s">
        <v>501</v>
      </c>
      <c r="G121" s="4">
        <v>13501</v>
      </c>
      <c r="H121" s="10">
        <v>345.58587599999998</v>
      </c>
      <c r="I121" s="42" t="s">
        <v>352</v>
      </c>
      <c r="J121" s="41">
        <v>1653.1244630000001</v>
      </c>
      <c r="K121" s="42" t="s">
        <v>352</v>
      </c>
      <c r="L121" s="119">
        <v>69.180000000000007</v>
      </c>
      <c r="M121" s="120">
        <v>69.23</v>
      </c>
      <c r="N121" s="42" t="s">
        <v>352</v>
      </c>
      <c r="O121" s="60">
        <v>895.71</v>
      </c>
      <c r="P121" s="42" t="s">
        <v>352</v>
      </c>
      <c r="Q121" s="60">
        <v>588.64</v>
      </c>
      <c r="R121" s="122">
        <v>0.91</v>
      </c>
      <c r="S121" s="62">
        <v>483.98</v>
      </c>
      <c r="T121" s="42" t="s">
        <v>352</v>
      </c>
      <c r="U121" s="42" t="s">
        <v>352</v>
      </c>
      <c r="V121" s="42" t="s">
        <v>352</v>
      </c>
      <c r="W121" s="42" t="s">
        <v>352</v>
      </c>
      <c r="X121" s="42" t="s">
        <v>352</v>
      </c>
      <c r="Y121" s="42" t="s">
        <v>352</v>
      </c>
      <c r="Z121" s="122">
        <v>11.76</v>
      </c>
      <c r="AA121" s="135">
        <v>2</v>
      </c>
      <c r="AB121" s="125">
        <v>30.5</v>
      </c>
      <c r="AC121" s="144">
        <v>73.7</v>
      </c>
      <c r="AD121" s="42" t="s">
        <v>352</v>
      </c>
      <c r="AE121" s="42" t="s">
        <v>352</v>
      </c>
      <c r="AF121" s="134">
        <v>19.37</v>
      </c>
      <c r="AG121" s="134">
        <v>24.22</v>
      </c>
      <c r="AH121" s="134">
        <v>33.89</v>
      </c>
      <c r="AI121" s="134">
        <v>20.61</v>
      </c>
      <c r="AJ121" s="150">
        <v>11.53</v>
      </c>
      <c r="AK121" s="152">
        <v>387.63</v>
      </c>
      <c r="AL121" s="159" t="s">
        <v>351</v>
      </c>
      <c r="AM121" s="123" t="s">
        <v>351</v>
      </c>
      <c r="AN121" s="122">
        <v>1.1233640637002638</v>
      </c>
      <c r="AO121" s="122">
        <v>0.15160401714609781</v>
      </c>
      <c r="AP121" s="59" t="s">
        <v>351</v>
      </c>
      <c r="AQ121" s="160">
        <v>602.49</v>
      </c>
      <c r="AR121" s="161">
        <v>641.48</v>
      </c>
      <c r="AS121" s="200">
        <v>2.6571858314849706E-2</v>
      </c>
      <c r="AT121" s="42" t="s">
        <v>352</v>
      </c>
      <c r="AU121" s="42" t="s">
        <v>352</v>
      </c>
      <c r="AV121" s="164">
        <v>280.38310244569863</v>
      </c>
      <c r="AW121" s="164">
        <v>5.9059174454043077</v>
      </c>
      <c r="AX121" s="164">
        <v>14.08</v>
      </c>
      <c r="AY121" s="42" t="s">
        <v>352</v>
      </c>
      <c r="AZ121" s="166" t="s">
        <v>351</v>
      </c>
      <c r="BA121" s="42" t="s">
        <v>352</v>
      </c>
      <c r="BB121" s="42" t="s">
        <v>352</v>
      </c>
      <c r="BC121" s="42" t="s">
        <v>352</v>
      </c>
      <c r="BD121" s="42" t="s">
        <v>352</v>
      </c>
      <c r="BE121" s="200">
        <v>0</v>
      </c>
      <c r="BF121" s="200">
        <v>0</v>
      </c>
      <c r="BG121" s="168">
        <v>5.17</v>
      </c>
      <c r="BH121" s="171">
        <v>24.92</v>
      </c>
      <c r="BI121" s="42" t="s">
        <v>352</v>
      </c>
      <c r="BJ121" s="42" t="s">
        <v>352</v>
      </c>
      <c r="BK121" s="42" t="s">
        <v>352</v>
      </c>
      <c r="BL121" s="162">
        <v>109.22741060428119</v>
      </c>
      <c r="BM121" s="162">
        <v>164.0572651358498</v>
      </c>
      <c r="BN121" s="162">
        <v>100.58144142716132</v>
      </c>
      <c r="BO121" s="42" t="s">
        <v>352</v>
      </c>
      <c r="BP121" s="42" t="s">
        <v>352</v>
      </c>
      <c r="BQ121" s="42" t="s">
        <v>352</v>
      </c>
      <c r="BR121" s="182" t="s">
        <v>358</v>
      </c>
      <c r="BS121" s="126">
        <v>11.93</v>
      </c>
      <c r="BT121" s="186" t="s">
        <v>353</v>
      </c>
      <c r="BU121" s="131">
        <v>57.05</v>
      </c>
      <c r="BV121" s="42" t="s">
        <v>352</v>
      </c>
      <c r="BW121" s="42" t="s">
        <v>352</v>
      </c>
      <c r="BX121" s="42" t="s">
        <v>352</v>
      </c>
      <c r="BY121" s="42" t="s">
        <v>352</v>
      </c>
      <c r="BZ121" s="190" t="s">
        <v>359</v>
      </c>
      <c r="CA121" s="190" t="s">
        <v>359</v>
      </c>
      <c r="CB121" s="198" t="s">
        <v>351</v>
      </c>
      <c r="CC121" s="39" t="s">
        <v>351</v>
      </c>
      <c r="CD121" s="42" t="s">
        <v>352</v>
      </c>
    </row>
    <row r="122" spans="1:82">
      <c r="A122" s="3" t="s">
        <v>454</v>
      </c>
      <c r="B122" s="3" t="s">
        <v>502</v>
      </c>
      <c r="C122" s="27" t="s">
        <v>456</v>
      </c>
      <c r="D122" s="3" t="s">
        <v>456</v>
      </c>
      <c r="E122" s="29">
        <v>13001</v>
      </c>
      <c r="F122" s="3" t="s">
        <v>502</v>
      </c>
      <c r="G122" s="4">
        <v>13601</v>
      </c>
      <c r="H122" s="10">
        <v>207.731075</v>
      </c>
      <c r="I122" s="42" t="s">
        <v>352</v>
      </c>
      <c r="J122" s="41">
        <v>2112.6686370000002</v>
      </c>
      <c r="K122" s="42" t="s">
        <v>352</v>
      </c>
      <c r="L122" s="119">
        <v>85.14</v>
      </c>
      <c r="M122" s="120">
        <v>64.27</v>
      </c>
      <c r="N122" s="42" t="s">
        <v>352</v>
      </c>
      <c r="O122" s="60">
        <v>1305.5</v>
      </c>
      <c r="P122" s="42" t="s">
        <v>352</v>
      </c>
      <c r="Q122" s="60">
        <v>636.45000000000005</v>
      </c>
      <c r="R122" s="122">
        <v>1.0900000000000001</v>
      </c>
      <c r="S122" s="62">
        <v>475.62</v>
      </c>
      <c r="T122" s="42" t="s">
        <v>352</v>
      </c>
      <c r="U122" s="42" t="s">
        <v>352</v>
      </c>
      <c r="V122" s="42" t="s">
        <v>352</v>
      </c>
      <c r="W122" s="42" t="s">
        <v>352</v>
      </c>
      <c r="X122" s="42" t="s">
        <v>352</v>
      </c>
      <c r="Y122" s="42" t="s">
        <v>352</v>
      </c>
      <c r="Z122" s="122">
        <v>2.64</v>
      </c>
      <c r="AA122" s="135">
        <v>1.5</v>
      </c>
      <c r="AB122" s="125">
        <v>35.4</v>
      </c>
      <c r="AC122" s="144">
        <v>74.099999999999994</v>
      </c>
      <c r="AD122" s="42" t="s">
        <v>352</v>
      </c>
      <c r="AE122" s="42" t="s">
        <v>352</v>
      </c>
      <c r="AF122" s="134">
        <v>23.6</v>
      </c>
      <c r="AG122" s="134">
        <v>29.62</v>
      </c>
      <c r="AH122" s="134">
        <v>42.65</v>
      </c>
      <c r="AI122" s="134">
        <v>27.5</v>
      </c>
      <c r="AJ122" s="150">
        <v>2.48</v>
      </c>
      <c r="AK122" s="152">
        <v>208.72</v>
      </c>
      <c r="AL122" s="159" t="s">
        <v>351</v>
      </c>
      <c r="AM122" s="123" t="s">
        <v>351</v>
      </c>
      <c r="AN122" s="122">
        <v>1.0295629607857586</v>
      </c>
      <c r="AO122" s="122">
        <v>1.3093550897432444</v>
      </c>
      <c r="AP122" s="59" t="s">
        <v>351</v>
      </c>
      <c r="AQ122" s="160">
        <v>681.56</v>
      </c>
      <c r="AR122" s="161">
        <v>581.71</v>
      </c>
      <c r="AS122" s="200">
        <v>8.0826475920364779E-2</v>
      </c>
      <c r="AT122" s="42" t="s">
        <v>352</v>
      </c>
      <c r="AU122" s="42" t="s">
        <v>352</v>
      </c>
      <c r="AV122" s="164">
        <v>499.40219368924471</v>
      </c>
      <c r="AW122" s="164">
        <v>11.935792468536073</v>
      </c>
      <c r="AX122" s="164">
        <v>25.98</v>
      </c>
      <c r="AY122" s="42" t="s">
        <v>352</v>
      </c>
      <c r="AZ122" s="165">
        <v>0.55000000000000004</v>
      </c>
      <c r="BA122" s="42" t="s">
        <v>352</v>
      </c>
      <c r="BB122" s="42" t="s">
        <v>352</v>
      </c>
      <c r="BC122" s="42" t="s">
        <v>352</v>
      </c>
      <c r="BD122" s="42" t="s">
        <v>352</v>
      </c>
      <c r="BE122" s="200">
        <v>1.61</v>
      </c>
      <c r="BF122" s="200">
        <v>11.01</v>
      </c>
      <c r="BG122" s="168">
        <v>3.71</v>
      </c>
      <c r="BH122" s="171">
        <v>21.33</v>
      </c>
      <c r="BI122" s="42" t="s">
        <v>352</v>
      </c>
      <c r="BJ122" s="42" t="s">
        <v>352</v>
      </c>
      <c r="BK122" s="42" t="s">
        <v>352</v>
      </c>
      <c r="BL122" s="162">
        <v>66.59295058952155</v>
      </c>
      <c r="BM122" s="162">
        <v>124.98602293481096</v>
      </c>
      <c r="BN122" s="162">
        <v>68.953521599224743</v>
      </c>
      <c r="BO122" s="42" t="s">
        <v>352</v>
      </c>
      <c r="BP122" s="42" t="s">
        <v>352</v>
      </c>
      <c r="BQ122" s="42" t="s">
        <v>352</v>
      </c>
      <c r="BR122" s="182" t="s">
        <v>358</v>
      </c>
      <c r="BS122" s="126">
        <v>29.39</v>
      </c>
      <c r="BT122" s="186" t="s">
        <v>353</v>
      </c>
      <c r="BU122" s="131">
        <v>47.93</v>
      </c>
      <c r="BV122" s="42" t="s">
        <v>352</v>
      </c>
      <c r="BW122" s="42" t="s">
        <v>352</v>
      </c>
      <c r="BX122" s="42" t="s">
        <v>352</v>
      </c>
      <c r="BY122" s="42" t="s">
        <v>352</v>
      </c>
      <c r="BZ122" s="190" t="s">
        <v>359</v>
      </c>
      <c r="CA122" s="190" t="s">
        <v>359</v>
      </c>
      <c r="CB122" s="198" t="s">
        <v>353</v>
      </c>
      <c r="CC122" s="39">
        <v>286.66717191168982</v>
      </c>
      <c r="CD122" s="42" t="s">
        <v>352</v>
      </c>
    </row>
    <row r="123" spans="1:82">
      <c r="A123" s="3" t="s">
        <v>454</v>
      </c>
      <c r="B123" s="3" t="s">
        <v>502</v>
      </c>
      <c r="C123" s="27" t="s">
        <v>456</v>
      </c>
      <c r="D123" s="3" t="s">
        <v>456</v>
      </c>
      <c r="E123" s="29">
        <v>13001</v>
      </c>
      <c r="F123" s="3" t="s">
        <v>503</v>
      </c>
      <c r="G123" s="4">
        <v>13602</v>
      </c>
      <c r="H123" s="10">
        <v>378.29810500000002</v>
      </c>
      <c r="I123" s="42" t="s">
        <v>352</v>
      </c>
      <c r="J123" s="42" t="s">
        <v>351</v>
      </c>
      <c r="K123" s="42" t="s">
        <v>352</v>
      </c>
      <c r="L123" s="119">
        <v>73.099999999999994</v>
      </c>
      <c r="M123" s="56" t="s">
        <v>351</v>
      </c>
      <c r="N123" s="42" t="s">
        <v>352</v>
      </c>
      <c r="O123" s="60">
        <v>1426.56</v>
      </c>
      <c r="P123" s="42" t="s">
        <v>352</v>
      </c>
      <c r="Q123" s="60">
        <v>728.44</v>
      </c>
      <c r="R123" s="122">
        <v>0.84</v>
      </c>
      <c r="S123" s="62">
        <v>556.67999999999995</v>
      </c>
      <c r="T123" s="42" t="s">
        <v>352</v>
      </c>
      <c r="U123" s="42" t="s">
        <v>352</v>
      </c>
      <c r="V123" s="42" t="s">
        <v>352</v>
      </c>
      <c r="W123" s="42" t="s">
        <v>352</v>
      </c>
      <c r="X123" s="42" t="s">
        <v>352</v>
      </c>
      <c r="Y123" s="42" t="s">
        <v>352</v>
      </c>
      <c r="Z123" s="122">
        <v>0.2</v>
      </c>
      <c r="AA123" s="136">
        <v>1.2142857142857142</v>
      </c>
      <c r="AB123" s="125">
        <v>30.1</v>
      </c>
      <c r="AC123" s="144">
        <v>75.5</v>
      </c>
      <c r="AD123" s="42" t="s">
        <v>352</v>
      </c>
      <c r="AE123" s="42" t="s">
        <v>352</v>
      </c>
      <c r="AF123" s="134">
        <v>27.39</v>
      </c>
      <c r="AG123" s="134">
        <v>34.549999999999997</v>
      </c>
      <c r="AH123" s="134">
        <v>50.68</v>
      </c>
      <c r="AI123" s="134">
        <v>33.520000000000003</v>
      </c>
      <c r="AJ123" s="150">
        <v>2.54</v>
      </c>
      <c r="AK123" s="152">
        <v>147.6</v>
      </c>
      <c r="AL123" s="159" t="s">
        <v>351</v>
      </c>
      <c r="AM123" s="123" t="s">
        <v>351</v>
      </c>
      <c r="AN123" s="122">
        <v>0.9274944502699568</v>
      </c>
      <c r="AO123" s="122">
        <v>1.107497938188281</v>
      </c>
      <c r="AP123" s="59">
        <v>2.8</v>
      </c>
      <c r="AQ123" s="160">
        <v>594.59</v>
      </c>
      <c r="AR123" s="161">
        <v>327.74</v>
      </c>
      <c r="AS123" s="122" t="s">
        <v>351</v>
      </c>
      <c r="AT123" s="42" t="s">
        <v>352</v>
      </c>
      <c r="AU123" s="42" t="s">
        <v>352</v>
      </c>
      <c r="AV123" s="164">
        <v>186.92484662576686</v>
      </c>
      <c r="AW123" s="164">
        <v>4.9623371335504887</v>
      </c>
      <c r="AX123" s="164">
        <v>30.84</v>
      </c>
      <c r="AY123" s="42" t="s">
        <v>352</v>
      </c>
      <c r="AZ123" s="165">
        <v>0.48</v>
      </c>
      <c r="BA123" s="42" t="s">
        <v>352</v>
      </c>
      <c r="BB123" s="42" t="s">
        <v>352</v>
      </c>
      <c r="BC123" s="42" t="s">
        <v>352</v>
      </c>
      <c r="BD123" s="42" t="s">
        <v>352</v>
      </c>
      <c r="BE123" s="200">
        <v>0.27</v>
      </c>
      <c r="BF123" s="200">
        <v>15.86</v>
      </c>
      <c r="BG123" s="168">
        <v>8.73</v>
      </c>
      <c r="BH123" s="171">
        <v>33.67</v>
      </c>
      <c r="BI123" s="42" t="s">
        <v>352</v>
      </c>
      <c r="BJ123" s="42" t="s">
        <v>352</v>
      </c>
      <c r="BK123" s="42" t="s">
        <v>352</v>
      </c>
      <c r="BL123" s="162">
        <v>53.186074918566774</v>
      </c>
      <c r="BM123" s="162">
        <v>80.669788273615637</v>
      </c>
      <c r="BN123" s="162">
        <v>62.347312703583064</v>
      </c>
      <c r="BO123" s="42" t="s">
        <v>352</v>
      </c>
      <c r="BP123" s="42" t="s">
        <v>352</v>
      </c>
      <c r="BQ123" s="42" t="s">
        <v>352</v>
      </c>
      <c r="BR123" s="182" t="s">
        <v>358</v>
      </c>
      <c r="BS123" s="126">
        <v>44.56</v>
      </c>
      <c r="BT123" s="186" t="s">
        <v>355</v>
      </c>
      <c r="BU123" s="131">
        <v>40.950000000000003</v>
      </c>
      <c r="BV123" s="42" t="s">
        <v>352</v>
      </c>
      <c r="BW123" s="42" t="s">
        <v>352</v>
      </c>
      <c r="BX123" s="42" t="s">
        <v>352</v>
      </c>
      <c r="BY123" s="42" t="s">
        <v>352</v>
      </c>
      <c r="BZ123" s="190" t="s">
        <v>359</v>
      </c>
      <c r="CA123" s="190" t="s">
        <v>359</v>
      </c>
      <c r="CB123" s="198" t="s">
        <v>355</v>
      </c>
      <c r="CC123" s="39">
        <v>0</v>
      </c>
      <c r="CD123" s="42" t="s">
        <v>352</v>
      </c>
    </row>
    <row r="124" spans="1:82">
      <c r="A124" s="3" t="s">
        <v>454</v>
      </c>
      <c r="B124" s="3" t="s">
        <v>502</v>
      </c>
      <c r="C124" s="27" t="s">
        <v>456</v>
      </c>
      <c r="D124" s="3" t="s">
        <v>456</v>
      </c>
      <c r="E124" s="29">
        <v>13001</v>
      </c>
      <c r="F124" s="3" t="s">
        <v>504</v>
      </c>
      <c r="G124" s="4">
        <v>13603</v>
      </c>
      <c r="H124" s="10">
        <v>478.68849999999998</v>
      </c>
      <c r="I124" s="42" t="s">
        <v>352</v>
      </c>
      <c r="J124" s="42" t="s">
        <v>351</v>
      </c>
      <c r="K124" s="42" t="s">
        <v>352</v>
      </c>
      <c r="L124" s="119">
        <v>57.95</v>
      </c>
      <c r="M124" s="56" t="s">
        <v>351</v>
      </c>
      <c r="N124" s="42" t="s">
        <v>352</v>
      </c>
      <c r="O124" s="60">
        <v>1346.98</v>
      </c>
      <c r="P124" s="42" t="s">
        <v>352</v>
      </c>
      <c r="Q124" s="60">
        <v>991.48</v>
      </c>
      <c r="R124" s="122">
        <v>0.69</v>
      </c>
      <c r="S124" s="62">
        <v>843.71</v>
      </c>
      <c r="T124" s="42" t="s">
        <v>352</v>
      </c>
      <c r="U124" s="42" t="s">
        <v>352</v>
      </c>
      <c r="V124" s="42" t="s">
        <v>352</v>
      </c>
      <c r="W124" s="42" t="s">
        <v>352</v>
      </c>
      <c r="X124" s="42" t="s">
        <v>352</v>
      </c>
      <c r="Y124" s="42" t="s">
        <v>352</v>
      </c>
      <c r="Z124" s="122">
        <v>4.24</v>
      </c>
      <c r="AA124" s="135">
        <v>1.5416666666666667</v>
      </c>
      <c r="AB124" s="125">
        <v>21.6</v>
      </c>
      <c r="AC124" s="144">
        <v>70.8</v>
      </c>
      <c r="AD124" s="42" t="s">
        <v>352</v>
      </c>
      <c r="AE124" s="42" t="s">
        <v>352</v>
      </c>
      <c r="AF124" s="134">
        <v>35.270000000000003</v>
      </c>
      <c r="AG124" s="134">
        <v>39.869999999999997</v>
      </c>
      <c r="AH124" s="134">
        <v>73.400000000000006</v>
      </c>
      <c r="AI124" s="134">
        <v>48.89</v>
      </c>
      <c r="AJ124" s="150">
        <v>7.61</v>
      </c>
      <c r="AK124" s="152">
        <v>116.65</v>
      </c>
      <c r="AL124" s="159" t="s">
        <v>351</v>
      </c>
      <c r="AM124" s="123" t="s">
        <v>351</v>
      </c>
      <c r="AN124" s="122">
        <v>0.95317912227746104</v>
      </c>
      <c r="AO124" s="122">
        <v>0.92115810987455515</v>
      </c>
      <c r="AP124" s="59">
        <v>0</v>
      </c>
      <c r="AQ124" s="160">
        <v>679.5</v>
      </c>
      <c r="AR124" s="161">
        <v>753.88</v>
      </c>
      <c r="AS124" s="200">
        <v>6.5386109079406132E-2</v>
      </c>
      <c r="AT124" s="42" t="s">
        <v>352</v>
      </c>
      <c r="AU124" s="42" t="s">
        <v>352</v>
      </c>
      <c r="AV124" s="164">
        <v>192.08277103013947</v>
      </c>
      <c r="AW124" s="164">
        <v>4.3313975604189388</v>
      </c>
      <c r="AX124" s="164">
        <v>35.64</v>
      </c>
      <c r="AY124" s="42" t="s">
        <v>352</v>
      </c>
      <c r="AZ124" s="165">
        <v>0</v>
      </c>
      <c r="BA124" s="42" t="s">
        <v>352</v>
      </c>
      <c r="BB124" s="42" t="s">
        <v>352</v>
      </c>
      <c r="BC124" s="42" t="s">
        <v>352</v>
      </c>
      <c r="BD124" s="42" t="s">
        <v>352</v>
      </c>
      <c r="BE124" s="200">
        <v>0.41</v>
      </c>
      <c r="BF124" s="200">
        <v>7.86</v>
      </c>
      <c r="BG124" s="168">
        <v>8.33</v>
      </c>
      <c r="BH124" s="171">
        <v>27.24</v>
      </c>
      <c r="BI124" s="42" t="s">
        <v>352</v>
      </c>
      <c r="BJ124" s="42" t="s">
        <v>352</v>
      </c>
      <c r="BK124" s="42" t="s">
        <v>352</v>
      </c>
      <c r="BL124" s="162">
        <v>41.589531610579968</v>
      </c>
      <c r="BM124" s="162">
        <v>60.101945071386915</v>
      </c>
      <c r="BN124" s="162">
        <v>77.599979712423604</v>
      </c>
      <c r="BO124" s="42" t="s">
        <v>352</v>
      </c>
      <c r="BP124" s="42" t="s">
        <v>352</v>
      </c>
      <c r="BQ124" s="42" t="s">
        <v>352</v>
      </c>
      <c r="BR124" s="182" t="s">
        <v>358</v>
      </c>
      <c r="BS124" s="126">
        <v>52.24</v>
      </c>
      <c r="BT124" s="186" t="s">
        <v>353</v>
      </c>
      <c r="BU124" s="131">
        <v>43.45</v>
      </c>
      <c r="BV124" s="42" t="s">
        <v>352</v>
      </c>
      <c r="BW124" s="42" t="s">
        <v>352</v>
      </c>
      <c r="BX124" s="42" t="s">
        <v>352</v>
      </c>
      <c r="BY124" s="42" t="s">
        <v>352</v>
      </c>
      <c r="BZ124" s="190" t="s">
        <v>359</v>
      </c>
      <c r="CA124" s="190" t="s">
        <v>359</v>
      </c>
      <c r="CB124" s="198" t="s">
        <v>355</v>
      </c>
      <c r="CC124" s="39">
        <v>0</v>
      </c>
      <c r="CD124" s="42" t="s">
        <v>352</v>
      </c>
    </row>
    <row r="125" spans="1:82">
      <c r="A125" s="3" t="s">
        <v>454</v>
      </c>
      <c r="B125" s="3" t="s">
        <v>502</v>
      </c>
      <c r="C125" s="27" t="s">
        <v>456</v>
      </c>
      <c r="D125" s="3" t="s">
        <v>456</v>
      </c>
      <c r="E125" s="29">
        <v>13001</v>
      </c>
      <c r="F125" s="3" t="s">
        <v>505</v>
      </c>
      <c r="G125" s="4">
        <v>13604</v>
      </c>
      <c r="H125" s="10">
        <v>257.65855599999998</v>
      </c>
      <c r="I125" s="42" t="s">
        <v>352</v>
      </c>
      <c r="J125" s="41">
        <v>2458.34915</v>
      </c>
      <c r="K125" s="42" t="s">
        <v>352</v>
      </c>
      <c r="L125" s="119">
        <v>84.08</v>
      </c>
      <c r="M125" s="120">
        <v>66.180000000000007</v>
      </c>
      <c r="N125" s="42" t="s">
        <v>352</v>
      </c>
      <c r="O125" s="60">
        <v>1367.5</v>
      </c>
      <c r="P125" s="42" t="s">
        <v>352</v>
      </c>
      <c r="Q125" s="60">
        <v>689.19</v>
      </c>
      <c r="R125" s="122">
        <v>0.9</v>
      </c>
      <c r="S125" s="62">
        <v>610.78</v>
      </c>
      <c r="T125" s="42" t="s">
        <v>352</v>
      </c>
      <c r="U125" s="42" t="s">
        <v>352</v>
      </c>
      <c r="V125" s="42" t="s">
        <v>352</v>
      </c>
      <c r="W125" s="42" t="s">
        <v>352</v>
      </c>
      <c r="X125" s="42" t="s">
        <v>352</v>
      </c>
      <c r="Y125" s="42" t="s">
        <v>352</v>
      </c>
      <c r="Z125" s="122">
        <v>15.3</v>
      </c>
      <c r="AA125" s="135">
        <v>1.5</v>
      </c>
      <c r="AB125" s="125">
        <v>34.299999999999997</v>
      </c>
      <c r="AC125" s="144">
        <v>82.6</v>
      </c>
      <c r="AD125" s="42" t="s">
        <v>352</v>
      </c>
      <c r="AE125" s="42" t="s">
        <v>352</v>
      </c>
      <c r="AF125" s="134">
        <v>32.01</v>
      </c>
      <c r="AG125" s="134">
        <v>35.549999999999997</v>
      </c>
      <c r="AH125" s="134">
        <v>64.25</v>
      </c>
      <c r="AI125" s="134">
        <v>41.85</v>
      </c>
      <c r="AJ125" s="150">
        <v>9.74</v>
      </c>
      <c r="AK125" s="152">
        <v>210.15</v>
      </c>
      <c r="AL125" s="123">
        <v>5.5</v>
      </c>
      <c r="AM125" s="123">
        <v>7.34</v>
      </c>
      <c r="AN125" s="122">
        <v>1.2366184218854739</v>
      </c>
      <c r="AO125" s="122">
        <v>7.8696828003113461</v>
      </c>
      <c r="AP125" s="59">
        <v>0</v>
      </c>
      <c r="AQ125" s="160">
        <v>673.65</v>
      </c>
      <c r="AR125" s="161">
        <v>321.14999999999998</v>
      </c>
      <c r="AS125" s="122" t="s">
        <v>351</v>
      </c>
      <c r="AT125" s="42" t="s">
        <v>352</v>
      </c>
      <c r="AU125" s="42" t="s">
        <v>352</v>
      </c>
      <c r="AV125" s="164">
        <v>525.79950953405739</v>
      </c>
      <c r="AW125" s="164">
        <v>14.621722429438289</v>
      </c>
      <c r="AX125" s="164">
        <v>34.33</v>
      </c>
      <c r="AY125" s="42" t="s">
        <v>352</v>
      </c>
      <c r="AZ125" s="165">
        <v>0.81</v>
      </c>
      <c r="BA125" s="42" t="s">
        <v>352</v>
      </c>
      <c r="BB125" s="42" t="s">
        <v>352</v>
      </c>
      <c r="BC125" s="42" t="s">
        <v>352</v>
      </c>
      <c r="BD125" s="42" t="s">
        <v>352</v>
      </c>
      <c r="BE125" s="200">
        <v>0</v>
      </c>
      <c r="BF125" s="200">
        <v>0</v>
      </c>
      <c r="BG125" s="168">
        <v>8.7799999999999994</v>
      </c>
      <c r="BH125" s="171">
        <v>21.62</v>
      </c>
      <c r="BI125" s="42" t="s">
        <v>352</v>
      </c>
      <c r="BJ125" s="42" t="s">
        <v>352</v>
      </c>
      <c r="BK125" s="42" t="s">
        <v>352</v>
      </c>
      <c r="BL125" s="162">
        <v>79.886433223849025</v>
      </c>
      <c r="BM125" s="162">
        <v>85.035907142459507</v>
      </c>
      <c r="BN125" s="162">
        <v>83.087457551633918</v>
      </c>
      <c r="BO125" s="42" t="s">
        <v>352</v>
      </c>
      <c r="BP125" s="42" t="s">
        <v>352</v>
      </c>
      <c r="BQ125" s="42" t="s">
        <v>352</v>
      </c>
      <c r="BR125" s="182" t="s">
        <v>358</v>
      </c>
      <c r="BS125" s="126">
        <v>75.08</v>
      </c>
      <c r="BT125" s="186" t="s">
        <v>353</v>
      </c>
      <c r="BU125" s="131">
        <v>39.26</v>
      </c>
      <c r="BV125" s="42" t="s">
        <v>352</v>
      </c>
      <c r="BW125" s="42" t="s">
        <v>352</v>
      </c>
      <c r="BX125" s="42" t="s">
        <v>352</v>
      </c>
      <c r="BY125" s="42" t="s">
        <v>352</v>
      </c>
      <c r="BZ125" s="190" t="s">
        <v>359</v>
      </c>
      <c r="CA125" s="190" t="s">
        <v>359</v>
      </c>
      <c r="CB125" s="198" t="s">
        <v>355</v>
      </c>
      <c r="CC125" s="39">
        <v>256.00688916105327</v>
      </c>
      <c r="CD125" s="42" t="s">
        <v>352</v>
      </c>
    </row>
    <row r="126" spans="1:82">
      <c r="A126" s="3" t="s">
        <v>454</v>
      </c>
      <c r="B126" s="3" t="s">
        <v>502</v>
      </c>
      <c r="C126" s="27" t="s">
        <v>456</v>
      </c>
      <c r="D126" s="3" t="s">
        <v>456</v>
      </c>
      <c r="E126" s="29">
        <v>13001</v>
      </c>
      <c r="F126" s="3" t="s">
        <v>506</v>
      </c>
      <c r="G126" s="4">
        <v>13605</v>
      </c>
      <c r="H126" s="10">
        <v>308.361152</v>
      </c>
      <c r="I126" s="42" t="s">
        <v>352</v>
      </c>
      <c r="J126" s="41">
        <v>3263.4305800000002</v>
      </c>
      <c r="K126" s="42" t="s">
        <v>352</v>
      </c>
      <c r="L126" s="119">
        <v>72.61</v>
      </c>
      <c r="M126" s="120">
        <v>43.94</v>
      </c>
      <c r="N126" s="42" t="s">
        <v>352</v>
      </c>
      <c r="O126" s="60">
        <v>1359.46</v>
      </c>
      <c r="P126" s="42" t="s">
        <v>352</v>
      </c>
      <c r="Q126" s="60">
        <v>593.16</v>
      </c>
      <c r="R126" s="122">
        <v>0.85</v>
      </c>
      <c r="S126" s="62">
        <v>458.79</v>
      </c>
      <c r="T126" s="42" t="s">
        <v>352</v>
      </c>
      <c r="U126" s="42" t="s">
        <v>352</v>
      </c>
      <c r="V126" s="42" t="s">
        <v>352</v>
      </c>
      <c r="W126" s="42" t="s">
        <v>352</v>
      </c>
      <c r="X126" s="42" t="s">
        <v>352</v>
      </c>
      <c r="Y126" s="42" t="s">
        <v>352</v>
      </c>
      <c r="Z126" s="122">
        <v>14.08</v>
      </c>
      <c r="AA126" s="135">
        <v>1.6</v>
      </c>
      <c r="AB126" s="125">
        <v>33.5</v>
      </c>
      <c r="AC126" s="144">
        <v>71.900000000000006</v>
      </c>
      <c r="AD126" s="42" t="s">
        <v>352</v>
      </c>
      <c r="AE126" s="42" t="s">
        <v>352</v>
      </c>
      <c r="AF126" s="134">
        <v>27.45</v>
      </c>
      <c r="AG126" s="134">
        <v>40.06</v>
      </c>
      <c r="AH126" s="134">
        <v>55.43</v>
      </c>
      <c r="AI126" s="134">
        <v>24.04</v>
      </c>
      <c r="AJ126" s="150">
        <v>9.08</v>
      </c>
      <c r="AK126" s="152">
        <v>275.36</v>
      </c>
      <c r="AL126" s="159" t="s">
        <v>351</v>
      </c>
      <c r="AM126" s="123" t="s">
        <v>351</v>
      </c>
      <c r="AN126" s="122">
        <v>1.1134713927691373</v>
      </c>
      <c r="AO126" s="122">
        <v>0.28362742519493511</v>
      </c>
      <c r="AP126" s="59">
        <v>1.01</v>
      </c>
      <c r="AQ126" s="160">
        <v>703.25</v>
      </c>
      <c r="AR126" s="161">
        <v>403.74</v>
      </c>
      <c r="AS126" s="200">
        <v>4.1394211782998486E-2</v>
      </c>
      <c r="AT126" s="42" t="s">
        <v>352</v>
      </c>
      <c r="AU126" s="42" t="s">
        <v>352</v>
      </c>
      <c r="AV126" s="164">
        <v>570.83861619271875</v>
      </c>
      <c r="AW126" s="164">
        <v>15.894373726574004</v>
      </c>
      <c r="AX126" s="164">
        <v>16.38</v>
      </c>
      <c r="AY126" s="42" t="s">
        <v>352</v>
      </c>
      <c r="AZ126" s="165">
        <v>0</v>
      </c>
      <c r="BA126" s="42" t="s">
        <v>352</v>
      </c>
      <c r="BB126" s="42" t="s">
        <v>352</v>
      </c>
      <c r="BC126" s="42" t="s">
        <v>352</v>
      </c>
      <c r="BD126" s="42" t="s">
        <v>352</v>
      </c>
      <c r="BE126" s="200">
        <v>0.06</v>
      </c>
      <c r="BF126" s="200">
        <v>124.82</v>
      </c>
      <c r="BG126" s="168">
        <v>4.8899999999999997</v>
      </c>
      <c r="BH126" s="171">
        <v>13.46</v>
      </c>
      <c r="BI126" s="42" t="s">
        <v>352</v>
      </c>
      <c r="BJ126" s="42" t="s">
        <v>352</v>
      </c>
      <c r="BK126" s="42" t="s">
        <v>352</v>
      </c>
      <c r="BL126" s="162">
        <v>75.245607310726029</v>
      </c>
      <c r="BM126" s="162">
        <v>133.34409231203728</v>
      </c>
      <c r="BN126" s="162">
        <v>75.043876460027036</v>
      </c>
      <c r="BO126" s="42" t="s">
        <v>352</v>
      </c>
      <c r="BP126" s="42" t="s">
        <v>352</v>
      </c>
      <c r="BQ126" s="42" t="s">
        <v>352</v>
      </c>
      <c r="BR126" s="182" t="s">
        <v>358</v>
      </c>
      <c r="BS126" s="126">
        <v>76.19</v>
      </c>
      <c r="BT126" s="186" t="s">
        <v>355</v>
      </c>
      <c r="BU126" s="131">
        <v>51.91</v>
      </c>
      <c r="BV126" s="42" t="s">
        <v>352</v>
      </c>
      <c r="BW126" s="42" t="s">
        <v>352</v>
      </c>
      <c r="BX126" s="42" t="s">
        <v>352</v>
      </c>
      <c r="BY126" s="42" t="s">
        <v>352</v>
      </c>
      <c r="BZ126" s="190" t="s">
        <v>359</v>
      </c>
      <c r="CA126" s="190" t="s">
        <v>359</v>
      </c>
      <c r="CB126" s="198" t="s">
        <v>353</v>
      </c>
      <c r="CC126" s="39">
        <v>239.17764418712554</v>
      </c>
      <c r="CD126" s="42" t="s">
        <v>352</v>
      </c>
    </row>
    <row r="127" spans="1:82">
      <c r="A127" s="3" t="s">
        <v>507</v>
      </c>
      <c r="B127" s="3" t="s">
        <v>508</v>
      </c>
      <c r="C127" s="27" t="s">
        <v>349</v>
      </c>
      <c r="D127" s="3" t="s">
        <v>508</v>
      </c>
      <c r="E127" s="29">
        <v>14101</v>
      </c>
      <c r="F127" s="3" t="s">
        <v>508</v>
      </c>
      <c r="G127" s="4">
        <v>14101</v>
      </c>
      <c r="H127" s="10">
        <v>388.56145099999998</v>
      </c>
      <c r="I127" s="42" t="s">
        <v>352</v>
      </c>
      <c r="J127" s="41">
        <v>1275.041195</v>
      </c>
      <c r="K127" s="42" t="s">
        <v>352</v>
      </c>
      <c r="L127" s="119">
        <v>76.12</v>
      </c>
      <c r="M127" s="120">
        <v>92.52</v>
      </c>
      <c r="N127" s="42" t="s">
        <v>352</v>
      </c>
      <c r="O127" s="60">
        <v>1241.32</v>
      </c>
      <c r="P127" s="42" t="s">
        <v>352</v>
      </c>
      <c r="Q127" s="60">
        <v>743.79</v>
      </c>
      <c r="R127" s="122">
        <v>0.88</v>
      </c>
      <c r="S127" s="62">
        <v>557.29</v>
      </c>
      <c r="T127" s="42" t="s">
        <v>352</v>
      </c>
      <c r="U127" s="42" t="s">
        <v>352</v>
      </c>
      <c r="V127" s="42" t="s">
        <v>352</v>
      </c>
      <c r="W127" s="42" t="s">
        <v>352</v>
      </c>
      <c r="X127" s="42" t="s">
        <v>352</v>
      </c>
      <c r="Y127" s="42" t="s">
        <v>352</v>
      </c>
      <c r="Z127" s="122">
        <v>12.03</v>
      </c>
      <c r="AA127" s="132">
        <v>1.1399999999999999</v>
      </c>
      <c r="AB127" s="125">
        <v>30.6</v>
      </c>
      <c r="AC127" s="144">
        <v>50.8</v>
      </c>
      <c r="AD127" s="42" t="s">
        <v>352</v>
      </c>
      <c r="AE127" s="42" t="s">
        <v>352</v>
      </c>
      <c r="AF127" s="134">
        <v>6.01</v>
      </c>
      <c r="AG127" s="134">
        <v>8.65</v>
      </c>
      <c r="AH127" s="134">
        <v>11.32</v>
      </c>
      <c r="AI127" s="134">
        <v>3.11</v>
      </c>
      <c r="AJ127" s="150">
        <v>4</v>
      </c>
      <c r="AK127" s="152">
        <v>327.20999999999998</v>
      </c>
      <c r="AL127" s="123">
        <v>5.96</v>
      </c>
      <c r="AM127" s="123">
        <v>2.2599999999999998</v>
      </c>
      <c r="AN127" s="122">
        <v>1.0474490596932413</v>
      </c>
      <c r="AO127" s="162">
        <v>0</v>
      </c>
      <c r="AP127" s="59">
        <v>1.31</v>
      </c>
      <c r="AQ127" s="160">
        <v>760.4</v>
      </c>
      <c r="AR127" s="161">
        <v>566.42999999999995</v>
      </c>
      <c r="AS127" s="200">
        <v>1.1431053461621016E-2</v>
      </c>
      <c r="AT127" s="42" t="s">
        <v>352</v>
      </c>
      <c r="AU127" s="42" t="s">
        <v>352</v>
      </c>
      <c r="AV127" s="164">
        <v>648.88398332106942</v>
      </c>
      <c r="AW127" s="164">
        <v>21.149859808014071</v>
      </c>
      <c r="AX127" s="164">
        <v>10.95</v>
      </c>
      <c r="AY127" s="42" t="s">
        <v>352</v>
      </c>
      <c r="AZ127" s="165">
        <v>0.45</v>
      </c>
      <c r="BA127" s="42" t="s">
        <v>352</v>
      </c>
      <c r="BB127" s="42" t="s">
        <v>352</v>
      </c>
      <c r="BC127" s="42" t="s">
        <v>352</v>
      </c>
      <c r="BD127" s="42" t="s">
        <v>352</v>
      </c>
      <c r="BE127" s="200">
        <v>0.32</v>
      </c>
      <c r="BF127" s="200">
        <v>40.08</v>
      </c>
      <c r="BG127" s="168">
        <v>7.64</v>
      </c>
      <c r="BH127" s="171">
        <v>14.07</v>
      </c>
      <c r="BI127" s="42" t="s">
        <v>352</v>
      </c>
      <c r="BJ127" s="42" t="s">
        <v>352</v>
      </c>
      <c r="BK127" s="42" t="s">
        <v>352</v>
      </c>
      <c r="BL127" s="162">
        <v>72.922674554726271</v>
      </c>
      <c r="BM127" s="162">
        <v>236.58468338310956</v>
      </c>
      <c r="BN127" s="162">
        <v>74.80712894807472</v>
      </c>
      <c r="BO127" s="42" t="s">
        <v>352</v>
      </c>
      <c r="BP127" s="42" t="s">
        <v>352</v>
      </c>
      <c r="BQ127" s="42" t="s">
        <v>352</v>
      </c>
      <c r="BR127" s="122">
        <v>0</v>
      </c>
      <c r="BS127" s="126">
        <v>9.82</v>
      </c>
      <c r="BT127" s="186" t="s">
        <v>355</v>
      </c>
      <c r="BU127" s="131">
        <v>52.8</v>
      </c>
      <c r="BV127" s="42" t="s">
        <v>352</v>
      </c>
      <c r="BW127" s="42" t="s">
        <v>352</v>
      </c>
      <c r="BX127" s="42" t="s">
        <v>352</v>
      </c>
      <c r="BY127" s="42" t="s">
        <v>352</v>
      </c>
      <c r="BZ127" s="191">
        <v>0</v>
      </c>
      <c r="CA127" s="191">
        <v>0</v>
      </c>
      <c r="CB127" s="198" t="s">
        <v>353</v>
      </c>
      <c r="CC127" s="39">
        <v>399.73275010421605</v>
      </c>
      <c r="CD127" s="42" t="s">
        <v>352</v>
      </c>
    </row>
    <row r="128" spans="1:82">
      <c r="A128" s="3" t="s">
        <v>509</v>
      </c>
      <c r="B128" s="3" t="s">
        <v>510</v>
      </c>
      <c r="C128" s="27" t="s">
        <v>349</v>
      </c>
      <c r="D128" s="3" t="s">
        <v>510</v>
      </c>
      <c r="E128" s="29">
        <v>15101</v>
      </c>
      <c r="F128" s="3" t="s">
        <v>510</v>
      </c>
      <c r="G128" s="4">
        <v>15101</v>
      </c>
      <c r="H128" s="10">
        <v>325.82647200000002</v>
      </c>
      <c r="I128" s="42" t="s">
        <v>352</v>
      </c>
      <c r="J128" s="41">
        <v>1199.201278</v>
      </c>
      <c r="K128" s="42" t="s">
        <v>352</v>
      </c>
      <c r="L128" s="119">
        <v>75.37</v>
      </c>
      <c r="M128" s="120">
        <v>96.3</v>
      </c>
      <c r="N128" s="42" t="s">
        <v>352</v>
      </c>
      <c r="O128" s="60">
        <v>1165.45</v>
      </c>
      <c r="P128" s="42" t="s">
        <v>352</v>
      </c>
      <c r="Q128" s="60">
        <v>555.36</v>
      </c>
      <c r="R128" s="122">
        <v>0.83</v>
      </c>
      <c r="S128" s="62">
        <v>382.5</v>
      </c>
      <c r="T128" s="42" t="s">
        <v>352</v>
      </c>
      <c r="U128" s="42" t="s">
        <v>352</v>
      </c>
      <c r="V128" s="42" t="s">
        <v>352</v>
      </c>
      <c r="W128" s="42" t="s">
        <v>352</v>
      </c>
      <c r="X128" s="42" t="s">
        <v>352</v>
      </c>
      <c r="Y128" s="42" t="s">
        <v>352</v>
      </c>
      <c r="Z128" s="126">
        <v>26.98</v>
      </c>
      <c r="AA128" s="135">
        <v>1</v>
      </c>
      <c r="AB128" s="125">
        <v>23.3</v>
      </c>
      <c r="AC128" s="144">
        <v>62.1</v>
      </c>
      <c r="AD128" s="42" t="s">
        <v>352</v>
      </c>
      <c r="AE128" s="42" t="s">
        <v>352</v>
      </c>
      <c r="AF128" s="134">
        <v>4.7300000000000004</v>
      </c>
      <c r="AG128" s="134">
        <v>7.05</v>
      </c>
      <c r="AH128" s="134">
        <v>9.6199999999999992</v>
      </c>
      <c r="AI128" s="134">
        <v>4.05</v>
      </c>
      <c r="AJ128" s="150">
        <v>11.55</v>
      </c>
      <c r="AK128" s="152">
        <v>315.04000000000002</v>
      </c>
      <c r="AL128" s="159" t="s">
        <v>351</v>
      </c>
      <c r="AM128" s="123" t="s">
        <v>351</v>
      </c>
      <c r="AN128" s="122">
        <v>0.97142690910076857</v>
      </c>
      <c r="AO128" s="162">
        <v>0</v>
      </c>
      <c r="AP128" s="59">
        <v>0.49</v>
      </c>
      <c r="AQ128" s="160">
        <v>640.28</v>
      </c>
      <c r="AR128" s="161">
        <v>405.2</v>
      </c>
      <c r="AS128" s="200">
        <v>8.0392975651677068E-3</v>
      </c>
      <c r="AT128" s="42" t="s">
        <v>352</v>
      </c>
      <c r="AU128" s="42" t="s">
        <v>352</v>
      </c>
      <c r="AV128" s="164">
        <v>631.61547548730073</v>
      </c>
      <c r="AW128" s="164">
        <v>17.637623190796255</v>
      </c>
      <c r="AX128" s="164">
        <v>18.95</v>
      </c>
      <c r="AY128" s="42" t="s">
        <v>352</v>
      </c>
      <c r="AZ128" s="165">
        <v>0.36</v>
      </c>
      <c r="BA128" s="42" t="s">
        <v>352</v>
      </c>
      <c r="BB128" s="42" t="s">
        <v>352</v>
      </c>
      <c r="BC128" s="42" t="s">
        <v>352</v>
      </c>
      <c r="BD128" s="42" t="s">
        <v>352</v>
      </c>
      <c r="BE128" s="200">
        <v>0.52</v>
      </c>
      <c r="BF128" s="201" t="s">
        <v>351</v>
      </c>
      <c r="BG128" s="168">
        <v>8.34</v>
      </c>
      <c r="BH128" s="171">
        <v>21.12</v>
      </c>
      <c r="BI128" s="42" t="s">
        <v>352</v>
      </c>
      <c r="BJ128" s="42" t="s">
        <v>352</v>
      </c>
      <c r="BK128" s="42" t="s">
        <v>352</v>
      </c>
      <c r="BL128" s="162">
        <v>107.748134097563</v>
      </c>
      <c r="BM128" s="162">
        <v>169.88990144736297</v>
      </c>
      <c r="BN128" s="162">
        <v>77.068986845903268</v>
      </c>
      <c r="BO128" s="42" t="s">
        <v>352</v>
      </c>
      <c r="BP128" s="42" t="s">
        <v>352</v>
      </c>
      <c r="BQ128" s="42" t="s">
        <v>352</v>
      </c>
      <c r="BR128" s="122">
        <v>18.98</v>
      </c>
      <c r="BS128" s="126">
        <v>10.09</v>
      </c>
      <c r="BT128" s="186" t="s">
        <v>353</v>
      </c>
      <c r="BU128" s="131">
        <v>50.33</v>
      </c>
      <c r="BV128" s="42" t="s">
        <v>352</v>
      </c>
      <c r="BW128" s="42" t="s">
        <v>352</v>
      </c>
      <c r="BX128" s="42" t="s">
        <v>352</v>
      </c>
      <c r="BY128" s="42" t="s">
        <v>352</v>
      </c>
      <c r="BZ128" s="191">
        <v>0</v>
      </c>
      <c r="CA128" s="191">
        <v>0</v>
      </c>
      <c r="CB128" s="198" t="s">
        <v>355</v>
      </c>
      <c r="CC128" s="39">
        <v>371.11871675394826</v>
      </c>
      <c r="CD128" s="42" t="s">
        <v>352</v>
      </c>
    </row>
    <row r="129" spans="1:82">
      <c r="A129" s="3" t="s">
        <v>511</v>
      </c>
      <c r="B129" s="28" t="s">
        <v>512</v>
      </c>
      <c r="C129" s="27" t="s">
        <v>349</v>
      </c>
      <c r="D129" s="3" t="s">
        <v>513</v>
      </c>
      <c r="E129" s="29">
        <v>16101</v>
      </c>
      <c r="F129" s="3" t="s">
        <v>514</v>
      </c>
      <c r="G129" s="4">
        <v>16101</v>
      </c>
      <c r="H129" s="10">
        <v>232.472229</v>
      </c>
      <c r="I129" s="42" t="s">
        <v>352</v>
      </c>
      <c r="J129" s="41">
        <v>1672.2835669999999</v>
      </c>
      <c r="K129" s="42" t="s">
        <v>352</v>
      </c>
      <c r="L129" s="119">
        <v>84.22</v>
      </c>
      <c r="M129" s="120">
        <v>86.1</v>
      </c>
      <c r="N129" s="42" t="s">
        <v>352</v>
      </c>
      <c r="O129" s="60">
        <v>1145.6400000000001</v>
      </c>
      <c r="P129" s="42" t="s">
        <v>352</v>
      </c>
      <c r="Q129" s="60">
        <v>771.4</v>
      </c>
      <c r="R129" s="122">
        <v>0.91</v>
      </c>
      <c r="S129" s="62">
        <v>776.63</v>
      </c>
      <c r="T129" s="42" t="s">
        <v>352</v>
      </c>
      <c r="U129" s="42" t="s">
        <v>352</v>
      </c>
      <c r="V129" s="42" t="s">
        <v>352</v>
      </c>
      <c r="W129" s="42" t="s">
        <v>352</v>
      </c>
      <c r="X129" s="42" t="s">
        <v>352</v>
      </c>
      <c r="Y129" s="42" t="s">
        <v>352</v>
      </c>
      <c r="Z129" s="122">
        <v>16.87</v>
      </c>
      <c r="AA129" s="124" t="s">
        <v>351</v>
      </c>
      <c r="AB129" s="124" t="s">
        <v>351</v>
      </c>
      <c r="AC129" s="145" t="s">
        <v>351</v>
      </c>
      <c r="AD129" s="42" t="s">
        <v>352</v>
      </c>
      <c r="AE129" s="42" t="s">
        <v>352</v>
      </c>
      <c r="AF129" s="147" t="s">
        <v>351</v>
      </c>
      <c r="AG129" s="148" t="s">
        <v>351</v>
      </c>
      <c r="AH129" s="149" t="s">
        <v>351</v>
      </c>
      <c r="AI129" s="149" t="s">
        <v>351</v>
      </c>
      <c r="AJ129" s="150">
        <v>8.64</v>
      </c>
      <c r="AK129" s="152">
        <v>297.18</v>
      </c>
      <c r="AL129" s="159" t="s">
        <v>351</v>
      </c>
      <c r="AM129" s="123" t="s">
        <v>351</v>
      </c>
      <c r="AN129" s="122">
        <v>1.007763876932297</v>
      </c>
      <c r="AO129" s="162">
        <v>0</v>
      </c>
      <c r="AP129" s="59">
        <v>0.56000000000000005</v>
      </c>
      <c r="AQ129" s="160">
        <v>763.08</v>
      </c>
      <c r="AR129" s="161">
        <v>453.07</v>
      </c>
      <c r="AS129" s="122" t="s">
        <v>351</v>
      </c>
      <c r="AT129" s="42" t="s">
        <v>352</v>
      </c>
      <c r="AU129" s="42" t="s">
        <v>352</v>
      </c>
      <c r="AV129" s="164">
        <v>577.56769021328091</v>
      </c>
      <c r="AW129" s="164">
        <v>19.396707187596839</v>
      </c>
      <c r="AX129" s="164">
        <v>4.2</v>
      </c>
      <c r="AY129" s="42" t="s">
        <v>352</v>
      </c>
      <c r="AZ129" s="59">
        <v>0.62</v>
      </c>
      <c r="BA129" s="42" t="s">
        <v>352</v>
      </c>
      <c r="BB129" s="42" t="s">
        <v>352</v>
      </c>
      <c r="BC129" s="42" t="s">
        <v>352</v>
      </c>
      <c r="BD129" s="42" t="s">
        <v>352</v>
      </c>
      <c r="BE129" s="200">
        <v>0.04</v>
      </c>
      <c r="BF129" s="200">
        <v>15.05</v>
      </c>
      <c r="BG129" s="168">
        <v>11.67</v>
      </c>
      <c r="BH129" s="171">
        <v>17.72</v>
      </c>
      <c r="BI129" s="42" t="s">
        <v>352</v>
      </c>
      <c r="BJ129" s="42" t="s">
        <v>352</v>
      </c>
      <c r="BK129" s="42" t="s">
        <v>352</v>
      </c>
      <c r="BL129" s="162">
        <v>71.881048294920575</v>
      </c>
      <c r="BM129" s="162">
        <v>203.60370428695524</v>
      </c>
      <c r="BN129" s="162">
        <v>66.343921606477934</v>
      </c>
      <c r="BO129" s="42" t="s">
        <v>352</v>
      </c>
      <c r="BP129" s="42" t="s">
        <v>352</v>
      </c>
      <c r="BQ129" s="42" t="s">
        <v>352</v>
      </c>
      <c r="BR129" s="182" t="s">
        <v>358</v>
      </c>
      <c r="BS129" s="126">
        <v>7.12</v>
      </c>
      <c r="BT129" s="186" t="s">
        <v>353</v>
      </c>
      <c r="BU129" s="131">
        <v>43.51</v>
      </c>
      <c r="BV129" s="42" t="s">
        <v>352</v>
      </c>
      <c r="BW129" s="42" t="s">
        <v>352</v>
      </c>
      <c r="BX129" s="42" t="s">
        <v>352</v>
      </c>
      <c r="BY129" s="42" t="s">
        <v>352</v>
      </c>
      <c r="BZ129" s="190" t="s">
        <v>359</v>
      </c>
      <c r="CA129" s="190" t="s">
        <v>359</v>
      </c>
      <c r="CB129" s="198" t="s">
        <v>353</v>
      </c>
      <c r="CC129" s="39">
        <v>877.70031952776947</v>
      </c>
      <c r="CD129" s="42" t="s">
        <v>352</v>
      </c>
    </row>
    <row r="130" spans="1:82">
      <c r="A130" s="3" t="s">
        <v>511</v>
      </c>
      <c r="B130" s="28" t="s">
        <v>512</v>
      </c>
      <c r="C130" s="27" t="s">
        <v>349</v>
      </c>
      <c r="D130" s="3" t="s">
        <v>513</v>
      </c>
      <c r="E130" s="29">
        <v>16101</v>
      </c>
      <c r="F130" s="3" t="s">
        <v>515</v>
      </c>
      <c r="G130" s="4">
        <v>16103</v>
      </c>
      <c r="H130" s="10">
        <v>312.74667299999999</v>
      </c>
      <c r="I130" s="42" t="s">
        <v>352</v>
      </c>
      <c r="J130" s="41">
        <v>1447.2061450000001</v>
      </c>
      <c r="K130" s="42" t="s">
        <v>352</v>
      </c>
      <c r="L130" s="119">
        <v>68.06</v>
      </c>
      <c r="M130" s="120">
        <v>100</v>
      </c>
      <c r="N130" s="42" t="s">
        <v>352</v>
      </c>
      <c r="O130" s="60">
        <v>911.36</v>
      </c>
      <c r="P130" s="42" t="s">
        <v>352</v>
      </c>
      <c r="Q130" s="60">
        <v>774.35</v>
      </c>
      <c r="R130" s="122">
        <v>0.63</v>
      </c>
      <c r="S130" s="62">
        <v>788.98</v>
      </c>
      <c r="T130" s="42" t="s">
        <v>352</v>
      </c>
      <c r="U130" s="42" t="s">
        <v>352</v>
      </c>
      <c r="V130" s="42" t="s">
        <v>352</v>
      </c>
      <c r="W130" s="42" t="s">
        <v>352</v>
      </c>
      <c r="X130" s="42" t="s">
        <v>352</v>
      </c>
      <c r="Y130" s="42" t="s">
        <v>352</v>
      </c>
      <c r="Z130" s="122">
        <v>9</v>
      </c>
      <c r="AA130" s="124" t="s">
        <v>351</v>
      </c>
      <c r="AB130" s="124" t="s">
        <v>351</v>
      </c>
      <c r="AC130" s="145" t="s">
        <v>351</v>
      </c>
      <c r="AD130" s="42" t="s">
        <v>352</v>
      </c>
      <c r="AE130" s="42" t="s">
        <v>352</v>
      </c>
      <c r="AF130" s="147" t="s">
        <v>351</v>
      </c>
      <c r="AG130" s="148" t="s">
        <v>351</v>
      </c>
      <c r="AH130" s="149" t="s">
        <v>351</v>
      </c>
      <c r="AI130" s="149" t="s">
        <v>351</v>
      </c>
      <c r="AJ130" s="150">
        <v>12.02</v>
      </c>
      <c r="AK130" s="152">
        <v>330.42</v>
      </c>
      <c r="AL130" s="159" t="s">
        <v>351</v>
      </c>
      <c r="AM130" s="123" t="s">
        <v>351</v>
      </c>
      <c r="AN130" s="122">
        <v>0.78143543670324322</v>
      </c>
      <c r="AO130" s="162">
        <v>0</v>
      </c>
      <c r="AP130" s="59">
        <v>3.3</v>
      </c>
      <c r="AQ130" s="160">
        <v>597.15</v>
      </c>
      <c r="AR130" s="161">
        <v>579.54999999999995</v>
      </c>
      <c r="AS130" s="122" t="s">
        <v>351</v>
      </c>
      <c r="AT130" s="42" t="s">
        <v>352</v>
      </c>
      <c r="AU130" s="42" t="s">
        <v>352</v>
      </c>
      <c r="AV130" s="164">
        <v>313.83499902018417</v>
      </c>
      <c r="AW130" s="164">
        <v>9.6212189480640422</v>
      </c>
      <c r="AX130" s="164">
        <v>16.27</v>
      </c>
      <c r="AY130" s="42" t="s">
        <v>352</v>
      </c>
      <c r="AZ130" s="165">
        <v>0.26</v>
      </c>
      <c r="BA130" s="42" t="s">
        <v>352</v>
      </c>
      <c r="BB130" s="42" t="s">
        <v>352</v>
      </c>
      <c r="BC130" s="42" t="s">
        <v>352</v>
      </c>
      <c r="BD130" s="42" t="s">
        <v>352</v>
      </c>
      <c r="BE130" s="200">
        <v>0.02</v>
      </c>
      <c r="BF130" s="200">
        <v>21.21</v>
      </c>
      <c r="BG130" s="168">
        <v>19.100000000000001</v>
      </c>
      <c r="BH130" s="171">
        <v>24.05</v>
      </c>
      <c r="BI130" s="42" t="s">
        <v>352</v>
      </c>
      <c r="BJ130" s="42" t="s">
        <v>352</v>
      </c>
      <c r="BK130" s="42" t="s">
        <v>352</v>
      </c>
      <c r="BL130" s="162">
        <v>44.456459703823853</v>
      </c>
      <c r="BM130" s="162">
        <v>115.04610855786849</v>
      </c>
      <c r="BN130" s="162">
        <v>48.061037517647414</v>
      </c>
      <c r="BO130" s="42" t="s">
        <v>352</v>
      </c>
      <c r="BP130" s="42" t="s">
        <v>352</v>
      </c>
      <c r="BQ130" s="42" t="s">
        <v>352</v>
      </c>
      <c r="BR130" s="182" t="s">
        <v>358</v>
      </c>
      <c r="BS130" s="126">
        <v>53.01</v>
      </c>
      <c r="BT130" s="186" t="s">
        <v>353</v>
      </c>
      <c r="BU130" s="131">
        <v>57.24</v>
      </c>
      <c r="BV130" s="42" t="s">
        <v>352</v>
      </c>
      <c r="BW130" s="42" t="s">
        <v>352</v>
      </c>
      <c r="BX130" s="42" t="s">
        <v>352</v>
      </c>
      <c r="BY130" s="42" t="s">
        <v>352</v>
      </c>
      <c r="BZ130" s="191">
        <v>0</v>
      </c>
      <c r="CA130" s="191">
        <v>0</v>
      </c>
      <c r="CB130" s="198" t="s">
        <v>355</v>
      </c>
      <c r="CC130" s="39">
        <v>259.89612808266497</v>
      </c>
      <c r="CD130" s="42" t="s">
        <v>352</v>
      </c>
    </row>
    <row r="131" spans="1:82">
      <c r="A131" s="3" t="s">
        <v>511</v>
      </c>
      <c r="B131" s="28" t="s">
        <v>516</v>
      </c>
      <c r="C131" s="27" t="s">
        <v>349</v>
      </c>
      <c r="D131" s="5" t="s">
        <v>517</v>
      </c>
      <c r="E131" s="29">
        <v>16301</v>
      </c>
      <c r="F131" s="5" t="s">
        <v>517</v>
      </c>
      <c r="G131" s="4">
        <v>16301</v>
      </c>
      <c r="H131" s="10">
        <v>281.70628099999999</v>
      </c>
      <c r="I131" s="42" t="s">
        <v>352</v>
      </c>
      <c r="J131" s="41">
        <v>1322.4584050000001</v>
      </c>
      <c r="K131" s="42" t="s">
        <v>352</v>
      </c>
      <c r="L131" s="119">
        <v>83.63</v>
      </c>
      <c r="M131" s="120">
        <v>97.47</v>
      </c>
      <c r="N131" s="42" t="s">
        <v>352</v>
      </c>
      <c r="O131" s="60">
        <v>905.6</v>
      </c>
      <c r="P131" s="42" t="s">
        <v>352</v>
      </c>
      <c r="Q131" s="60">
        <v>541.78</v>
      </c>
      <c r="R131" s="122">
        <v>1.08</v>
      </c>
      <c r="S131" s="62">
        <v>530.94000000000005</v>
      </c>
      <c r="T131" s="42" t="s">
        <v>352</v>
      </c>
      <c r="U131" s="42" t="s">
        <v>352</v>
      </c>
      <c r="V131" s="42" t="s">
        <v>352</v>
      </c>
      <c r="W131" s="42" t="s">
        <v>352</v>
      </c>
      <c r="X131" s="42" t="s">
        <v>352</v>
      </c>
      <c r="Y131" s="42" t="s">
        <v>352</v>
      </c>
      <c r="Z131" s="122">
        <v>2.3199999999999998</v>
      </c>
      <c r="AA131" s="124" t="s">
        <v>351</v>
      </c>
      <c r="AB131" s="124" t="s">
        <v>351</v>
      </c>
      <c r="AC131" s="145" t="s">
        <v>351</v>
      </c>
      <c r="AD131" s="42" t="s">
        <v>352</v>
      </c>
      <c r="AE131" s="42" t="s">
        <v>352</v>
      </c>
      <c r="AF131" s="147" t="s">
        <v>351</v>
      </c>
      <c r="AG131" s="148" t="s">
        <v>351</v>
      </c>
      <c r="AH131" s="149" t="s">
        <v>351</v>
      </c>
      <c r="AI131" s="149" t="s">
        <v>351</v>
      </c>
      <c r="AJ131" s="150">
        <v>16.09</v>
      </c>
      <c r="AK131" s="152">
        <v>509.52</v>
      </c>
      <c r="AL131" s="159" t="s">
        <v>351</v>
      </c>
      <c r="AM131" s="123" t="s">
        <v>351</v>
      </c>
      <c r="AN131" s="122">
        <v>0.72537326226258225</v>
      </c>
      <c r="AO131" s="122">
        <v>0.36307821449999056</v>
      </c>
      <c r="AP131" s="59" t="s">
        <v>351</v>
      </c>
      <c r="AQ131" s="160">
        <v>633.67999999999995</v>
      </c>
      <c r="AR131" s="161">
        <v>548.19000000000005</v>
      </c>
      <c r="AS131" s="200">
        <v>0.18022364831358134</v>
      </c>
      <c r="AT131" s="42" t="s">
        <v>352</v>
      </c>
      <c r="AU131" s="42" t="s">
        <v>352</v>
      </c>
      <c r="AV131" s="164">
        <v>330.82249105987978</v>
      </c>
      <c r="AW131" s="164">
        <v>7.7733083042817546</v>
      </c>
      <c r="AX131" s="164">
        <v>9.3000000000000007</v>
      </c>
      <c r="AY131" s="42" t="s">
        <v>352</v>
      </c>
      <c r="AZ131" s="166" t="s">
        <v>351</v>
      </c>
      <c r="BA131" s="42" t="s">
        <v>352</v>
      </c>
      <c r="BB131" s="42" t="s">
        <v>352</v>
      </c>
      <c r="BC131" s="42" t="s">
        <v>352</v>
      </c>
      <c r="BD131" s="42" t="s">
        <v>352</v>
      </c>
      <c r="BE131" s="200">
        <v>0.23</v>
      </c>
      <c r="BF131" s="200">
        <v>4.92</v>
      </c>
      <c r="BG131" s="168">
        <v>13.8</v>
      </c>
      <c r="BH131" s="171">
        <v>27.5</v>
      </c>
      <c r="BI131" s="42" t="s">
        <v>352</v>
      </c>
      <c r="BJ131" s="42" t="s">
        <v>352</v>
      </c>
      <c r="BK131" s="42" t="s">
        <v>352</v>
      </c>
      <c r="BL131" s="162">
        <v>55.421471350674892</v>
      </c>
      <c r="BM131" s="162">
        <v>138.19612049700547</v>
      </c>
      <c r="BN131" s="162">
        <v>90.998480379011355</v>
      </c>
      <c r="BO131" s="42" t="s">
        <v>352</v>
      </c>
      <c r="BP131" s="42" t="s">
        <v>352</v>
      </c>
      <c r="BQ131" s="42" t="s">
        <v>352</v>
      </c>
      <c r="BR131" s="182" t="s">
        <v>358</v>
      </c>
      <c r="BS131" s="126">
        <v>12.8</v>
      </c>
      <c r="BT131" s="186" t="s">
        <v>353</v>
      </c>
      <c r="BU131" s="131">
        <v>67.099999999999994</v>
      </c>
      <c r="BV131" s="42" t="s">
        <v>352</v>
      </c>
      <c r="BW131" s="42" t="s">
        <v>352</v>
      </c>
      <c r="BX131" s="42" t="s">
        <v>352</v>
      </c>
      <c r="BY131" s="42" t="s">
        <v>352</v>
      </c>
      <c r="BZ131" s="190" t="s">
        <v>359</v>
      </c>
      <c r="CA131" s="190" t="s">
        <v>359</v>
      </c>
      <c r="CB131" s="198" t="s">
        <v>351</v>
      </c>
      <c r="CC131" s="39" t="s">
        <v>351</v>
      </c>
      <c r="CD131" s="42" t="s">
        <v>352</v>
      </c>
    </row>
    <row r="132" spans="1:82">
      <c r="A132" s="83"/>
      <c r="B132" s="84"/>
      <c r="C132" s="85"/>
      <c r="D132" s="86"/>
      <c r="E132" s="87"/>
      <c r="F132" s="86"/>
      <c r="G132" s="88"/>
      <c r="H132" s="89"/>
      <c r="I132" s="90"/>
      <c r="J132" s="91"/>
    </row>
    <row r="133" spans="1:82">
      <c r="A133" s="83"/>
      <c r="B133" s="84"/>
      <c r="C133" s="85"/>
      <c r="D133" s="86"/>
      <c r="E133" s="87"/>
      <c r="F133" s="86"/>
      <c r="G133" s="88"/>
      <c r="H133" s="89"/>
      <c r="I133" s="89"/>
      <c r="J133" s="89"/>
      <c r="K133" s="89"/>
      <c r="L133" s="89"/>
      <c r="M133" s="89"/>
      <c r="N133" s="89"/>
      <c r="O133" s="89"/>
      <c r="P133" s="89"/>
      <c r="Q133" s="89"/>
      <c r="R133" s="89"/>
      <c r="S133" s="89"/>
      <c r="T133" s="89"/>
    </row>
    <row r="134" spans="1:82">
      <c r="A134" s="83"/>
      <c r="B134" s="84"/>
      <c r="C134" s="85"/>
      <c r="D134" s="86"/>
      <c r="E134" s="87"/>
      <c r="F134" s="86"/>
      <c r="G134" s="43" t="s">
        <v>289</v>
      </c>
      <c r="H134" s="106" t="s">
        <v>69</v>
      </c>
      <c r="I134" s="106" t="s">
        <v>111</v>
      </c>
      <c r="J134" s="106" t="s">
        <v>114</v>
      </c>
      <c r="K134" s="106" t="s">
        <v>117</v>
      </c>
      <c r="L134" s="106" t="s">
        <v>127</v>
      </c>
      <c r="M134" s="106" t="s">
        <v>129</v>
      </c>
      <c r="N134" s="106" t="s">
        <v>147</v>
      </c>
      <c r="O134" s="106" t="s">
        <v>149</v>
      </c>
      <c r="P134" s="106" t="s">
        <v>151</v>
      </c>
      <c r="Q134" s="106" t="s">
        <v>212</v>
      </c>
      <c r="R134" s="106" t="s">
        <v>268</v>
      </c>
      <c r="S134" s="106" t="s">
        <v>270</v>
      </c>
      <c r="T134" s="106" t="s">
        <v>273</v>
      </c>
      <c r="X134" s="214"/>
      <c r="Y134" s="214"/>
      <c r="Z134" s="214"/>
      <c r="AA134" s="214"/>
      <c r="AB134" s="214"/>
    </row>
    <row r="135" spans="1:82" ht="25.5">
      <c r="A135" s="83"/>
      <c r="B135" s="84"/>
      <c r="C135" s="85"/>
      <c r="D135" s="86"/>
      <c r="E135" s="87"/>
      <c r="F135" s="86"/>
      <c r="G135" s="43" t="s">
        <v>290</v>
      </c>
      <c r="H135" s="176" t="s">
        <v>518</v>
      </c>
      <c r="I135" s="176" t="s">
        <v>115</v>
      </c>
      <c r="J135" s="176" t="s">
        <v>115</v>
      </c>
      <c r="K135" s="178" t="s">
        <v>28</v>
      </c>
      <c r="L135" s="178" t="s">
        <v>28</v>
      </c>
      <c r="M135" s="178" t="s">
        <v>28</v>
      </c>
      <c r="N135" s="178" t="s">
        <v>28</v>
      </c>
      <c r="O135" s="178" t="s">
        <v>28</v>
      </c>
      <c r="P135" s="178" t="s">
        <v>28</v>
      </c>
      <c r="Q135" s="178" t="s">
        <v>28</v>
      </c>
      <c r="R135" s="178" t="s">
        <v>28</v>
      </c>
      <c r="S135" s="178" t="s">
        <v>28</v>
      </c>
      <c r="T135" s="176" t="s">
        <v>274</v>
      </c>
      <c r="X135" s="213"/>
      <c r="Y135" s="213"/>
      <c r="Z135" s="213"/>
      <c r="AA135" s="244"/>
      <c r="AB135" s="213"/>
    </row>
    <row r="136" spans="1:82" ht="38.25">
      <c r="A136" s="109" t="s">
        <v>604</v>
      </c>
      <c r="G136" s="64" t="s">
        <v>294</v>
      </c>
      <c r="H136" s="178" t="s">
        <v>297</v>
      </c>
      <c r="I136" s="176" t="s">
        <v>318</v>
      </c>
      <c r="J136" s="176" t="s">
        <v>318</v>
      </c>
      <c r="K136" s="176" t="s">
        <v>520</v>
      </c>
      <c r="L136" s="110" t="s">
        <v>521</v>
      </c>
      <c r="M136" s="178" t="s">
        <v>297</v>
      </c>
      <c r="N136" s="178" t="s">
        <v>522</v>
      </c>
      <c r="O136" s="178" t="s">
        <v>522</v>
      </c>
      <c r="P136" s="178" t="s">
        <v>522</v>
      </c>
      <c r="Q136" s="178" t="s">
        <v>297</v>
      </c>
      <c r="R136" s="114" t="s">
        <v>523</v>
      </c>
      <c r="S136" s="114" t="s">
        <v>523</v>
      </c>
      <c r="T136" s="178" t="s">
        <v>297</v>
      </c>
      <c r="X136" s="213"/>
      <c r="Y136" s="213"/>
      <c r="Z136" s="213"/>
      <c r="AA136" s="213"/>
      <c r="AB136" s="213"/>
    </row>
    <row r="137" spans="1:82" ht="76.5">
      <c r="A137" s="66" t="s">
        <v>320</v>
      </c>
      <c r="B137" s="43" t="s">
        <v>321</v>
      </c>
      <c r="C137" s="77" t="s">
        <v>322</v>
      </c>
      <c r="D137" s="78" t="s">
        <v>323</v>
      </c>
      <c r="E137" s="78" t="s">
        <v>324</v>
      </c>
      <c r="F137" s="43" t="s">
        <v>25</v>
      </c>
      <c r="G137" s="43" t="s">
        <v>325</v>
      </c>
      <c r="H137" s="64" t="s">
        <v>71</v>
      </c>
      <c r="I137" s="80" t="s">
        <v>113</v>
      </c>
      <c r="J137" s="80" t="s">
        <v>116</v>
      </c>
      <c r="K137" s="80" t="s">
        <v>524</v>
      </c>
      <c r="L137" s="64" t="s">
        <v>128</v>
      </c>
      <c r="M137" s="64" t="s">
        <v>130</v>
      </c>
      <c r="N137" s="64" t="s">
        <v>525</v>
      </c>
      <c r="O137" s="64" t="s">
        <v>526</v>
      </c>
      <c r="P137" s="64" t="s">
        <v>527</v>
      </c>
      <c r="Q137" s="64" t="s">
        <v>213</v>
      </c>
      <c r="R137" s="64" t="s">
        <v>269</v>
      </c>
      <c r="S137" s="64" t="s">
        <v>271</v>
      </c>
      <c r="T137" s="64" t="s">
        <v>275</v>
      </c>
      <c r="V137" s="107"/>
      <c r="W137" s="107"/>
      <c r="X137" s="107"/>
      <c r="Y137" s="107"/>
      <c r="Z137" s="107"/>
      <c r="AA137" s="107"/>
      <c r="AB137" s="107"/>
    </row>
    <row r="138" spans="1:82">
      <c r="A138" s="68" t="s">
        <v>347</v>
      </c>
      <c r="B138" s="79" t="s">
        <v>528</v>
      </c>
      <c r="C138" s="75" t="s">
        <v>349</v>
      </c>
      <c r="D138" s="74" t="s">
        <v>350</v>
      </c>
      <c r="E138" s="76">
        <v>1001</v>
      </c>
      <c r="F138" s="79" t="s">
        <v>528</v>
      </c>
      <c r="G138" s="79" t="s">
        <v>528</v>
      </c>
      <c r="H138" s="117" t="s">
        <v>352</v>
      </c>
      <c r="I138" s="155" t="s">
        <v>357</v>
      </c>
      <c r="J138" s="155" t="s">
        <v>355</v>
      </c>
      <c r="K138" s="229" t="s">
        <v>351</v>
      </c>
      <c r="L138" s="163">
        <v>141.74939671962699</v>
      </c>
      <c r="M138" s="200">
        <v>34.39</v>
      </c>
      <c r="N138" s="117" t="s">
        <v>352</v>
      </c>
      <c r="O138" s="117" t="s">
        <v>352</v>
      </c>
      <c r="P138" s="117" t="s">
        <v>352</v>
      </c>
      <c r="Q138" s="117" t="s">
        <v>352</v>
      </c>
      <c r="R138" s="196">
        <v>6.92</v>
      </c>
      <c r="S138" s="197">
        <v>6.91</v>
      </c>
      <c r="T138" s="59">
        <v>60</v>
      </c>
      <c r="V138" s="245"/>
      <c r="W138" s="246"/>
    </row>
    <row r="139" spans="1:82">
      <c r="A139" s="67" t="s">
        <v>360</v>
      </c>
      <c r="B139" s="79" t="s">
        <v>528</v>
      </c>
      <c r="C139" s="73" t="s">
        <v>349</v>
      </c>
      <c r="D139" s="70" t="s">
        <v>360</v>
      </c>
      <c r="E139" s="69">
        <v>2101</v>
      </c>
      <c r="F139" s="79" t="s">
        <v>528</v>
      </c>
      <c r="G139" s="79" t="s">
        <v>528</v>
      </c>
      <c r="H139" s="117" t="s">
        <v>352</v>
      </c>
      <c r="I139" s="155" t="s">
        <v>357</v>
      </c>
      <c r="J139" s="155" t="s">
        <v>355</v>
      </c>
      <c r="K139" s="229" t="s">
        <v>351</v>
      </c>
      <c r="L139" s="163">
        <v>119.98938376573516</v>
      </c>
      <c r="M139" s="200">
        <v>47.2</v>
      </c>
      <c r="N139" s="117" t="s">
        <v>352</v>
      </c>
      <c r="O139" s="117" t="s">
        <v>352</v>
      </c>
      <c r="P139" s="117" t="s">
        <v>352</v>
      </c>
      <c r="Q139" s="117" t="s">
        <v>352</v>
      </c>
      <c r="R139" s="196">
        <v>4</v>
      </c>
      <c r="S139" s="197">
        <v>4</v>
      </c>
      <c r="T139" s="59">
        <v>16.666666666666664</v>
      </c>
      <c r="V139" s="245"/>
      <c r="W139" s="246"/>
    </row>
    <row r="140" spans="1:82">
      <c r="A140" s="67" t="s">
        <v>360</v>
      </c>
      <c r="B140" s="79" t="s">
        <v>528</v>
      </c>
      <c r="C140" s="73" t="s">
        <v>349</v>
      </c>
      <c r="D140" s="70" t="s">
        <v>362</v>
      </c>
      <c r="E140" s="69">
        <v>2201</v>
      </c>
      <c r="F140" s="79" t="s">
        <v>528</v>
      </c>
      <c r="G140" s="79" t="s">
        <v>528</v>
      </c>
      <c r="H140" s="117" t="s">
        <v>352</v>
      </c>
      <c r="I140" s="155" t="s">
        <v>357</v>
      </c>
      <c r="J140" s="155" t="s">
        <v>357</v>
      </c>
      <c r="K140" s="229" t="s">
        <v>351</v>
      </c>
      <c r="L140" s="163">
        <v>123.80926947250418</v>
      </c>
      <c r="M140" s="200">
        <v>67.48</v>
      </c>
      <c r="N140" s="117" t="s">
        <v>352</v>
      </c>
      <c r="O140" s="117" t="s">
        <v>352</v>
      </c>
      <c r="P140" s="117" t="s">
        <v>352</v>
      </c>
      <c r="Q140" s="117" t="s">
        <v>352</v>
      </c>
      <c r="R140" s="196">
        <v>2.84</v>
      </c>
      <c r="S140" s="197">
        <v>2.84</v>
      </c>
      <c r="T140" s="59">
        <v>100</v>
      </c>
      <c r="V140" s="245"/>
      <c r="W140" s="246"/>
    </row>
    <row r="141" spans="1:82">
      <c r="A141" s="67" t="s">
        <v>363</v>
      </c>
      <c r="B141" s="79" t="s">
        <v>528</v>
      </c>
      <c r="C141" s="73" t="s">
        <v>349</v>
      </c>
      <c r="D141" s="70" t="s">
        <v>365</v>
      </c>
      <c r="E141" s="69">
        <v>3001</v>
      </c>
      <c r="F141" s="79" t="s">
        <v>528</v>
      </c>
      <c r="G141" s="79" t="s">
        <v>528</v>
      </c>
      <c r="H141" s="117" t="s">
        <v>352</v>
      </c>
      <c r="I141" s="155" t="s">
        <v>353</v>
      </c>
      <c r="J141" s="155" t="s">
        <v>353</v>
      </c>
      <c r="K141" s="229" t="s">
        <v>351</v>
      </c>
      <c r="L141" s="163">
        <v>144.64944787582834</v>
      </c>
      <c r="M141" s="200">
        <v>39.369999999999997</v>
      </c>
      <c r="N141" s="117" t="s">
        <v>352</v>
      </c>
      <c r="O141" s="117" t="s">
        <v>352</v>
      </c>
      <c r="P141" s="117" t="s">
        <v>352</v>
      </c>
      <c r="Q141" s="117" t="s">
        <v>352</v>
      </c>
      <c r="R141" s="196">
        <v>6.25</v>
      </c>
      <c r="S141" s="197">
        <v>6.24</v>
      </c>
      <c r="T141" s="59">
        <v>71.428571428571431</v>
      </c>
      <c r="V141" s="245"/>
      <c r="W141" s="246"/>
    </row>
    <row r="142" spans="1:82">
      <c r="A142" s="67" t="s">
        <v>363</v>
      </c>
      <c r="B142" s="79" t="s">
        <v>528</v>
      </c>
      <c r="C142" s="73" t="s">
        <v>349</v>
      </c>
      <c r="D142" s="71" t="s">
        <v>368</v>
      </c>
      <c r="E142" s="69">
        <v>3301</v>
      </c>
      <c r="F142" s="79" t="s">
        <v>528</v>
      </c>
      <c r="G142" s="79" t="s">
        <v>528</v>
      </c>
      <c r="H142" s="117" t="s">
        <v>352</v>
      </c>
      <c r="I142" s="155" t="s">
        <v>357</v>
      </c>
      <c r="J142" s="155" t="s">
        <v>357</v>
      </c>
      <c r="K142" s="229" t="s">
        <v>351</v>
      </c>
      <c r="L142" s="163">
        <v>146.72964283019982</v>
      </c>
      <c r="M142" s="200">
        <v>40.51</v>
      </c>
      <c r="N142" s="117" t="s">
        <v>352</v>
      </c>
      <c r="O142" s="117" t="s">
        <v>352</v>
      </c>
      <c r="P142" s="117" t="s">
        <v>352</v>
      </c>
      <c r="Q142" s="117" t="s">
        <v>352</v>
      </c>
      <c r="R142" s="196">
        <v>9.36</v>
      </c>
      <c r="S142" s="197">
        <v>9.36</v>
      </c>
      <c r="T142" s="59">
        <v>62.5</v>
      </c>
      <c r="V142" s="245"/>
      <c r="W142" s="246"/>
    </row>
    <row r="143" spans="1:82">
      <c r="A143" s="67" t="s">
        <v>369</v>
      </c>
      <c r="B143" s="79" t="s">
        <v>528</v>
      </c>
      <c r="C143" s="73" t="s">
        <v>349</v>
      </c>
      <c r="D143" s="70" t="s">
        <v>371</v>
      </c>
      <c r="E143" s="69">
        <v>4001</v>
      </c>
      <c r="F143" s="79" t="s">
        <v>528</v>
      </c>
      <c r="G143" s="79" t="s">
        <v>528</v>
      </c>
      <c r="H143" s="117" t="s">
        <v>352</v>
      </c>
      <c r="I143" s="155" t="s">
        <v>357</v>
      </c>
      <c r="J143" s="155" t="s">
        <v>355</v>
      </c>
      <c r="K143" s="229" t="s">
        <v>351</v>
      </c>
      <c r="L143" s="163">
        <v>162.25697015389392</v>
      </c>
      <c r="M143" s="200">
        <v>30.53</v>
      </c>
      <c r="N143" s="117" t="s">
        <v>352</v>
      </c>
      <c r="O143" s="117" t="s">
        <v>352</v>
      </c>
      <c r="P143" s="117" t="s">
        <v>352</v>
      </c>
      <c r="Q143" s="117" t="s">
        <v>352</v>
      </c>
      <c r="R143" s="196">
        <v>6.49</v>
      </c>
      <c r="S143" s="197">
        <v>6.48</v>
      </c>
      <c r="T143" s="59">
        <v>100</v>
      </c>
      <c r="V143" s="245"/>
      <c r="W143" s="246"/>
    </row>
    <row r="144" spans="1:82">
      <c r="A144" s="67" t="s">
        <v>369</v>
      </c>
      <c r="B144" s="79" t="s">
        <v>528</v>
      </c>
      <c r="C144" s="73" t="s">
        <v>349</v>
      </c>
      <c r="D144" s="70" t="s">
        <v>374</v>
      </c>
      <c r="E144" s="69">
        <v>4301</v>
      </c>
      <c r="F144" s="79" t="s">
        <v>528</v>
      </c>
      <c r="G144" s="79" t="s">
        <v>528</v>
      </c>
      <c r="H144" s="117" t="s">
        <v>352</v>
      </c>
      <c r="I144" s="155" t="s">
        <v>357</v>
      </c>
      <c r="J144" s="155" t="s">
        <v>357</v>
      </c>
      <c r="K144" s="229" t="s">
        <v>351</v>
      </c>
      <c r="L144" s="163">
        <v>142.2031687385641</v>
      </c>
      <c r="M144" s="200">
        <v>41.21</v>
      </c>
      <c r="N144" s="117" t="s">
        <v>352</v>
      </c>
      <c r="O144" s="117" t="s">
        <v>352</v>
      </c>
      <c r="P144" s="117" t="s">
        <v>352</v>
      </c>
      <c r="Q144" s="117" t="s">
        <v>352</v>
      </c>
      <c r="R144" s="196">
        <v>20.329999999999998</v>
      </c>
      <c r="S144" s="197">
        <v>20.05</v>
      </c>
      <c r="T144" s="200" t="s">
        <v>351</v>
      </c>
      <c r="V144" s="245"/>
      <c r="W144" s="246"/>
    </row>
    <row r="145" spans="1:23">
      <c r="A145" s="67" t="s">
        <v>375</v>
      </c>
      <c r="B145" s="79" t="s">
        <v>528</v>
      </c>
      <c r="C145" s="73" t="s">
        <v>376</v>
      </c>
      <c r="D145" s="70" t="s">
        <v>376</v>
      </c>
      <c r="E145" s="69">
        <v>5001</v>
      </c>
      <c r="F145" s="79" t="s">
        <v>528</v>
      </c>
      <c r="G145" s="79" t="s">
        <v>528</v>
      </c>
      <c r="H145" s="117" t="s">
        <v>352</v>
      </c>
      <c r="I145" s="155" t="s">
        <v>353</v>
      </c>
      <c r="J145" s="155" t="s">
        <v>353</v>
      </c>
      <c r="K145" s="229" t="s">
        <v>351</v>
      </c>
      <c r="L145" s="163">
        <v>83.899518729440189</v>
      </c>
      <c r="M145" s="200">
        <v>33.25</v>
      </c>
      <c r="N145" s="117" t="s">
        <v>352</v>
      </c>
      <c r="O145" s="117" t="s">
        <v>352</v>
      </c>
      <c r="P145" s="117" t="s">
        <v>352</v>
      </c>
      <c r="Q145" s="117" t="s">
        <v>352</v>
      </c>
      <c r="R145" s="196">
        <v>9.7100000000000009</v>
      </c>
      <c r="S145" s="197">
        <v>9.7100000000000009</v>
      </c>
      <c r="T145" s="59">
        <v>87.5</v>
      </c>
      <c r="V145" s="245"/>
      <c r="W145" s="246"/>
    </row>
    <row r="146" spans="1:23">
      <c r="A146" s="67" t="s">
        <v>375</v>
      </c>
      <c r="B146" s="79" t="s">
        <v>528</v>
      </c>
      <c r="C146" s="73" t="s">
        <v>349</v>
      </c>
      <c r="D146" s="71" t="s">
        <v>383</v>
      </c>
      <c r="E146" s="69">
        <v>5301</v>
      </c>
      <c r="F146" s="79" t="s">
        <v>528</v>
      </c>
      <c r="G146" s="79" t="s">
        <v>528</v>
      </c>
      <c r="H146" s="117" t="s">
        <v>352</v>
      </c>
      <c r="I146" s="155" t="s">
        <v>357</v>
      </c>
      <c r="J146" s="155" t="s">
        <v>357</v>
      </c>
      <c r="K146" s="229" t="s">
        <v>351</v>
      </c>
      <c r="L146" s="163">
        <v>181.36750431466422</v>
      </c>
      <c r="M146" s="200">
        <v>42.47</v>
      </c>
      <c r="N146" s="117" t="s">
        <v>352</v>
      </c>
      <c r="O146" s="117" t="s">
        <v>352</v>
      </c>
      <c r="P146" s="117" t="s">
        <v>352</v>
      </c>
      <c r="Q146" s="117" t="s">
        <v>352</v>
      </c>
      <c r="R146" s="196">
        <v>13.69</v>
      </c>
      <c r="S146" s="197">
        <v>13.68</v>
      </c>
      <c r="T146" s="200" t="s">
        <v>351</v>
      </c>
      <c r="V146" s="245"/>
      <c r="W146" s="246"/>
    </row>
    <row r="147" spans="1:23">
      <c r="A147" s="67" t="s">
        <v>375</v>
      </c>
      <c r="B147" s="79" t="s">
        <v>528</v>
      </c>
      <c r="C147" s="73" t="s">
        <v>349</v>
      </c>
      <c r="D147" s="71" t="s">
        <v>386</v>
      </c>
      <c r="E147" s="69">
        <v>5501</v>
      </c>
      <c r="F147" s="79" t="s">
        <v>528</v>
      </c>
      <c r="G147" s="79" t="s">
        <v>528</v>
      </c>
      <c r="H147" s="117" t="s">
        <v>352</v>
      </c>
      <c r="I147" s="155" t="s">
        <v>357</v>
      </c>
      <c r="J147" s="155" t="s">
        <v>357</v>
      </c>
      <c r="K147" s="229" t="s">
        <v>351</v>
      </c>
      <c r="L147" s="163">
        <v>112.3519177104408</v>
      </c>
      <c r="M147" s="200">
        <v>42.05</v>
      </c>
      <c r="N147" s="117" t="s">
        <v>352</v>
      </c>
      <c r="O147" s="117" t="s">
        <v>352</v>
      </c>
      <c r="P147" s="117" t="s">
        <v>352</v>
      </c>
      <c r="Q147" s="117" t="s">
        <v>352</v>
      </c>
      <c r="R147" s="196">
        <v>8</v>
      </c>
      <c r="S147" s="197">
        <v>7.99</v>
      </c>
      <c r="T147" s="200" t="s">
        <v>351</v>
      </c>
      <c r="V147" s="245"/>
      <c r="W147" s="246"/>
    </row>
    <row r="148" spans="1:23">
      <c r="A148" s="67" t="s">
        <v>375</v>
      </c>
      <c r="B148" s="79" t="s">
        <v>528</v>
      </c>
      <c r="C148" s="73" t="s">
        <v>349</v>
      </c>
      <c r="D148" s="70" t="s">
        <v>391</v>
      </c>
      <c r="E148" s="69">
        <v>5601</v>
      </c>
      <c r="F148" s="79" t="s">
        <v>528</v>
      </c>
      <c r="G148" s="79" t="s">
        <v>528</v>
      </c>
      <c r="H148" s="117" t="s">
        <v>352</v>
      </c>
      <c r="I148" s="155" t="s">
        <v>357</v>
      </c>
      <c r="J148" s="155" t="s">
        <v>357</v>
      </c>
      <c r="K148" s="229" t="s">
        <v>351</v>
      </c>
      <c r="L148" s="163">
        <v>132.36582030159948</v>
      </c>
      <c r="M148" s="200">
        <v>37.99</v>
      </c>
      <c r="N148" s="117" t="s">
        <v>352</v>
      </c>
      <c r="O148" s="117" t="s">
        <v>352</v>
      </c>
      <c r="P148" s="117" t="s">
        <v>352</v>
      </c>
      <c r="Q148" s="117" t="s">
        <v>352</v>
      </c>
      <c r="R148" s="196">
        <v>13.07</v>
      </c>
      <c r="S148" s="197">
        <v>13.06</v>
      </c>
      <c r="T148" s="200" t="s">
        <v>351</v>
      </c>
      <c r="V148" s="245"/>
      <c r="W148" s="246"/>
    </row>
    <row r="149" spans="1:23">
      <c r="A149" s="67" t="s">
        <v>375</v>
      </c>
      <c r="B149" s="79" t="s">
        <v>528</v>
      </c>
      <c r="C149" s="73" t="s">
        <v>349</v>
      </c>
      <c r="D149" s="71" t="s">
        <v>395</v>
      </c>
      <c r="E149" s="69">
        <v>5701</v>
      </c>
      <c r="F149" s="79" t="s">
        <v>528</v>
      </c>
      <c r="G149" s="79" t="s">
        <v>528</v>
      </c>
      <c r="H149" s="117" t="s">
        <v>352</v>
      </c>
      <c r="I149" s="155" t="s">
        <v>357</v>
      </c>
      <c r="J149" s="155" t="s">
        <v>357</v>
      </c>
      <c r="K149" s="229" t="s">
        <v>351</v>
      </c>
      <c r="L149" s="163">
        <v>139.96512056559615</v>
      </c>
      <c r="M149" s="200">
        <v>46.3</v>
      </c>
      <c r="N149" s="117" t="s">
        <v>352</v>
      </c>
      <c r="O149" s="117" t="s">
        <v>352</v>
      </c>
      <c r="P149" s="117" t="s">
        <v>352</v>
      </c>
      <c r="Q149" s="117" t="s">
        <v>352</v>
      </c>
      <c r="R149" s="196">
        <v>7.01</v>
      </c>
      <c r="S149" s="197">
        <v>7</v>
      </c>
      <c r="T149" s="200" t="s">
        <v>351</v>
      </c>
      <c r="V149" s="245"/>
      <c r="W149" s="246"/>
    </row>
    <row r="150" spans="1:23">
      <c r="A150" s="67" t="s">
        <v>401</v>
      </c>
      <c r="B150" s="79" t="s">
        <v>528</v>
      </c>
      <c r="C150" s="73" t="s">
        <v>349</v>
      </c>
      <c r="D150" s="70" t="s">
        <v>403</v>
      </c>
      <c r="E150" s="69">
        <v>6001</v>
      </c>
      <c r="F150" s="79" t="s">
        <v>528</v>
      </c>
      <c r="G150" s="79" t="s">
        <v>528</v>
      </c>
      <c r="H150" s="117" t="s">
        <v>352</v>
      </c>
      <c r="I150" s="155" t="s">
        <v>355</v>
      </c>
      <c r="J150" s="155" t="s">
        <v>353</v>
      </c>
      <c r="K150" s="230">
        <v>29</v>
      </c>
      <c r="L150" s="163">
        <v>189.18237105384304</v>
      </c>
      <c r="M150" s="200">
        <v>30.3</v>
      </c>
      <c r="N150" s="117" t="s">
        <v>352</v>
      </c>
      <c r="O150" s="117" t="s">
        <v>352</v>
      </c>
      <c r="P150" s="117" t="s">
        <v>352</v>
      </c>
      <c r="Q150" s="117" t="s">
        <v>352</v>
      </c>
      <c r="R150" s="196">
        <v>8.83</v>
      </c>
      <c r="S150" s="197">
        <v>8.82</v>
      </c>
      <c r="T150" s="59">
        <v>100</v>
      </c>
      <c r="V150" s="245"/>
      <c r="W150" s="246"/>
    </row>
    <row r="151" spans="1:23">
      <c r="A151" s="67" t="s">
        <v>401</v>
      </c>
      <c r="B151" s="79" t="s">
        <v>528</v>
      </c>
      <c r="C151" s="73" t="s">
        <v>349</v>
      </c>
      <c r="D151" s="71" t="s">
        <v>406</v>
      </c>
      <c r="E151" s="69">
        <v>6115</v>
      </c>
      <c r="F151" s="79" t="s">
        <v>528</v>
      </c>
      <c r="G151" s="79" t="s">
        <v>528</v>
      </c>
      <c r="H151" s="117" t="s">
        <v>352</v>
      </c>
      <c r="I151" s="155" t="s">
        <v>357</v>
      </c>
      <c r="J151" s="155" t="s">
        <v>355</v>
      </c>
      <c r="K151" s="229" t="s">
        <v>351</v>
      </c>
      <c r="L151" s="163">
        <v>148.69282918975657</v>
      </c>
      <c r="M151" s="200">
        <v>32.54</v>
      </c>
      <c r="N151" s="117" t="s">
        <v>352</v>
      </c>
      <c r="O151" s="117" t="s">
        <v>352</v>
      </c>
      <c r="P151" s="117" t="s">
        <v>352</v>
      </c>
      <c r="Q151" s="117" t="s">
        <v>352</v>
      </c>
      <c r="R151" s="196">
        <v>12.82</v>
      </c>
      <c r="S151" s="197">
        <v>12.82</v>
      </c>
      <c r="T151" s="59">
        <v>100</v>
      </c>
      <c r="V151" s="245"/>
      <c r="W151" s="246"/>
    </row>
    <row r="152" spans="1:23">
      <c r="A152" s="67" t="s">
        <v>401</v>
      </c>
      <c r="B152" s="79" t="s">
        <v>528</v>
      </c>
      <c r="C152" s="73" t="s">
        <v>349</v>
      </c>
      <c r="D152" s="71" t="s">
        <v>408</v>
      </c>
      <c r="E152" s="69">
        <v>6301</v>
      </c>
      <c r="F152" s="79" t="s">
        <v>528</v>
      </c>
      <c r="G152" s="79" t="s">
        <v>528</v>
      </c>
      <c r="H152" s="117" t="s">
        <v>352</v>
      </c>
      <c r="I152" s="155" t="s">
        <v>355</v>
      </c>
      <c r="J152" s="155" t="s">
        <v>353</v>
      </c>
      <c r="K152" s="229" t="s">
        <v>351</v>
      </c>
      <c r="L152" s="163">
        <v>167.47585821783545</v>
      </c>
      <c r="M152" s="200">
        <v>45.21</v>
      </c>
      <c r="N152" s="117" t="s">
        <v>352</v>
      </c>
      <c r="O152" s="117" t="s">
        <v>352</v>
      </c>
      <c r="P152" s="117" t="s">
        <v>352</v>
      </c>
      <c r="Q152" s="117" t="s">
        <v>352</v>
      </c>
      <c r="R152" s="196">
        <v>8.94</v>
      </c>
      <c r="S152" s="197">
        <v>8.92</v>
      </c>
      <c r="T152" s="59">
        <v>66.666666666666657</v>
      </c>
      <c r="V152" s="245"/>
      <c r="W152" s="246"/>
    </row>
    <row r="153" spans="1:23">
      <c r="A153" s="67" t="s">
        <v>409</v>
      </c>
      <c r="B153" s="79" t="s">
        <v>528</v>
      </c>
      <c r="C153" s="73" t="s">
        <v>349</v>
      </c>
      <c r="D153" s="70" t="s">
        <v>411</v>
      </c>
      <c r="E153" s="69">
        <v>7001</v>
      </c>
      <c r="F153" s="79" t="s">
        <v>528</v>
      </c>
      <c r="G153" s="79" t="s">
        <v>528</v>
      </c>
      <c r="H153" s="117" t="s">
        <v>352</v>
      </c>
      <c r="I153" s="155" t="s">
        <v>355</v>
      </c>
      <c r="J153" s="155" t="s">
        <v>353</v>
      </c>
      <c r="K153" s="230">
        <v>33</v>
      </c>
      <c r="L153" s="163">
        <v>184.63791698003601</v>
      </c>
      <c r="M153" s="200">
        <v>46.8</v>
      </c>
      <c r="N153" s="117" t="s">
        <v>352</v>
      </c>
      <c r="O153" s="117" t="s">
        <v>352</v>
      </c>
      <c r="P153" s="117" t="s">
        <v>352</v>
      </c>
      <c r="Q153" s="117" t="s">
        <v>352</v>
      </c>
      <c r="R153" s="196">
        <v>8.8000000000000007</v>
      </c>
      <c r="S153" s="197">
        <v>8.8000000000000007</v>
      </c>
      <c r="T153" s="200" t="s">
        <v>351</v>
      </c>
      <c r="V153" s="245"/>
      <c r="W153" s="246"/>
    </row>
    <row r="154" spans="1:23">
      <c r="A154" s="67" t="s">
        <v>409</v>
      </c>
      <c r="B154" s="79" t="s">
        <v>528</v>
      </c>
      <c r="C154" s="73" t="s">
        <v>349</v>
      </c>
      <c r="D154" s="71" t="s">
        <v>412</v>
      </c>
      <c r="E154" s="69">
        <v>7102</v>
      </c>
      <c r="F154" s="79" t="s">
        <v>528</v>
      </c>
      <c r="G154" s="79" t="s">
        <v>528</v>
      </c>
      <c r="H154" s="117" t="s">
        <v>352</v>
      </c>
      <c r="I154" s="155" t="s">
        <v>357</v>
      </c>
      <c r="J154" s="155" t="s">
        <v>357</v>
      </c>
      <c r="K154" s="229" t="s">
        <v>351</v>
      </c>
      <c r="L154" s="163">
        <v>139.31871933709499</v>
      </c>
      <c r="M154" s="200">
        <v>33.78</v>
      </c>
      <c r="N154" s="117" t="s">
        <v>352</v>
      </c>
      <c r="O154" s="117" t="s">
        <v>352</v>
      </c>
      <c r="P154" s="117" t="s">
        <v>352</v>
      </c>
      <c r="Q154" s="117" t="s">
        <v>352</v>
      </c>
      <c r="R154" s="196">
        <v>14.86</v>
      </c>
      <c r="S154" s="197">
        <v>14.86</v>
      </c>
      <c r="T154" s="200" t="s">
        <v>351</v>
      </c>
      <c r="V154" s="245"/>
      <c r="W154" s="246"/>
    </row>
    <row r="155" spans="1:23">
      <c r="A155" s="67" t="s">
        <v>409</v>
      </c>
      <c r="B155" s="79" t="s">
        <v>528</v>
      </c>
      <c r="C155" s="73" t="s">
        <v>349</v>
      </c>
      <c r="D155" s="70" t="s">
        <v>414</v>
      </c>
      <c r="E155" s="69">
        <v>7301</v>
      </c>
      <c r="F155" s="79" t="s">
        <v>528</v>
      </c>
      <c r="G155" s="79" t="s">
        <v>528</v>
      </c>
      <c r="H155" s="117" t="s">
        <v>352</v>
      </c>
      <c r="I155" s="155" t="s">
        <v>355</v>
      </c>
      <c r="J155" s="155" t="s">
        <v>353</v>
      </c>
      <c r="K155" s="230">
        <v>21</v>
      </c>
      <c r="L155" s="163">
        <v>168.65745200662016</v>
      </c>
      <c r="M155" s="200">
        <v>51.05</v>
      </c>
      <c r="N155" s="117" t="s">
        <v>352</v>
      </c>
      <c r="O155" s="117" t="s">
        <v>352</v>
      </c>
      <c r="P155" s="117" t="s">
        <v>352</v>
      </c>
      <c r="Q155" s="117" t="s">
        <v>352</v>
      </c>
      <c r="R155" s="196">
        <v>4.4800000000000004</v>
      </c>
      <c r="S155" s="197">
        <v>4.4800000000000004</v>
      </c>
      <c r="T155" s="59">
        <v>100</v>
      </c>
      <c r="V155" s="245"/>
      <c r="W155" s="246"/>
    </row>
    <row r="156" spans="1:23">
      <c r="A156" s="67" t="s">
        <v>409</v>
      </c>
      <c r="B156" s="79" t="s">
        <v>528</v>
      </c>
      <c r="C156" s="73" t="s">
        <v>349</v>
      </c>
      <c r="D156" s="71" t="s">
        <v>417</v>
      </c>
      <c r="E156" s="69">
        <v>7401</v>
      </c>
      <c r="F156" s="79" t="s">
        <v>528</v>
      </c>
      <c r="G156" s="79" t="s">
        <v>528</v>
      </c>
      <c r="H156" s="117" t="s">
        <v>352</v>
      </c>
      <c r="I156" s="155" t="s">
        <v>355</v>
      </c>
      <c r="J156" s="155" t="s">
        <v>353</v>
      </c>
      <c r="K156" s="230">
        <v>50</v>
      </c>
      <c r="L156" s="163">
        <v>158.53602873705606</v>
      </c>
      <c r="M156" s="200">
        <v>44.66</v>
      </c>
      <c r="N156" s="117" t="s">
        <v>352</v>
      </c>
      <c r="O156" s="117" t="s">
        <v>352</v>
      </c>
      <c r="P156" s="117" t="s">
        <v>352</v>
      </c>
      <c r="Q156" s="117" t="s">
        <v>352</v>
      </c>
      <c r="R156" s="196">
        <v>13.86</v>
      </c>
      <c r="S156" s="197">
        <v>13.86</v>
      </c>
      <c r="T156" s="59">
        <v>75</v>
      </c>
      <c r="V156" s="245"/>
      <c r="W156" s="246"/>
    </row>
    <row r="157" spans="1:23">
      <c r="A157" s="67" t="s">
        <v>418</v>
      </c>
      <c r="B157" s="79" t="s">
        <v>528</v>
      </c>
      <c r="C157" s="73" t="s">
        <v>420</v>
      </c>
      <c r="D157" s="70" t="s">
        <v>420</v>
      </c>
      <c r="E157" s="69">
        <v>8001</v>
      </c>
      <c r="F157" s="79" t="s">
        <v>528</v>
      </c>
      <c r="G157" s="79" t="s">
        <v>528</v>
      </c>
      <c r="H157" s="117" t="s">
        <v>352</v>
      </c>
      <c r="I157" s="155" t="s">
        <v>355</v>
      </c>
      <c r="J157" s="155" t="s">
        <v>353</v>
      </c>
      <c r="K157" s="230">
        <v>22</v>
      </c>
      <c r="L157" s="163">
        <v>118.7818097160178</v>
      </c>
      <c r="M157" s="200">
        <v>39.450000000000003</v>
      </c>
      <c r="N157" s="117" t="s">
        <v>352</v>
      </c>
      <c r="O157" s="117" t="s">
        <v>352</v>
      </c>
      <c r="P157" s="117" t="s">
        <v>352</v>
      </c>
      <c r="Q157" s="117" t="s">
        <v>352</v>
      </c>
      <c r="R157" s="196">
        <v>8.06</v>
      </c>
      <c r="S157" s="197">
        <v>8.06</v>
      </c>
      <c r="T157" s="59">
        <v>100</v>
      </c>
      <c r="V157" s="245"/>
      <c r="W157" s="246"/>
    </row>
    <row r="158" spans="1:23">
      <c r="A158" s="67" t="s">
        <v>418</v>
      </c>
      <c r="B158" s="79" t="s">
        <v>528</v>
      </c>
      <c r="C158" s="73" t="s">
        <v>349</v>
      </c>
      <c r="D158" s="70" t="s">
        <v>431</v>
      </c>
      <c r="E158" s="69">
        <v>8301</v>
      </c>
      <c r="F158" s="79" t="s">
        <v>528</v>
      </c>
      <c r="G158" s="79" t="s">
        <v>528</v>
      </c>
      <c r="H158" s="117" t="s">
        <v>352</v>
      </c>
      <c r="I158" s="155" t="s">
        <v>355</v>
      </c>
      <c r="J158" s="155" t="s">
        <v>353</v>
      </c>
      <c r="K158" s="230">
        <v>50</v>
      </c>
      <c r="L158" s="163">
        <v>152.43</v>
      </c>
      <c r="M158" s="200">
        <v>27.71</v>
      </c>
      <c r="N158" s="117" t="s">
        <v>352</v>
      </c>
      <c r="O158" s="117" t="s">
        <v>352</v>
      </c>
      <c r="P158" s="117" t="s">
        <v>352</v>
      </c>
      <c r="Q158" s="117" t="s">
        <v>352</v>
      </c>
      <c r="R158" s="196">
        <v>7.37</v>
      </c>
      <c r="S158" s="197">
        <v>7.37</v>
      </c>
      <c r="T158" s="59">
        <v>100</v>
      </c>
      <c r="V158" s="245"/>
      <c r="W158" s="246"/>
    </row>
    <row r="159" spans="1:23">
      <c r="A159" s="67" t="s">
        <v>434</v>
      </c>
      <c r="B159" s="79" t="s">
        <v>528</v>
      </c>
      <c r="C159" s="73" t="s">
        <v>349</v>
      </c>
      <c r="D159" s="70" t="s">
        <v>436</v>
      </c>
      <c r="E159" s="69">
        <v>9001</v>
      </c>
      <c r="F159" s="79" t="s">
        <v>528</v>
      </c>
      <c r="G159" s="79" t="s">
        <v>528</v>
      </c>
      <c r="H159" s="117" t="s">
        <v>352</v>
      </c>
      <c r="I159" s="155" t="s">
        <v>355</v>
      </c>
      <c r="J159" s="155" t="s">
        <v>353</v>
      </c>
      <c r="K159" s="230">
        <v>67</v>
      </c>
      <c r="L159" s="163">
        <v>137.85697599656774</v>
      </c>
      <c r="M159" s="200">
        <v>43.01</v>
      </c>
      <c r="N159" s="117" t="s">
        <v>352</v>
      </c>
      <c r="O159" s="117" t="s">
        <v>352</v>
      </c>
      <c r="P159" s="117" t="s">
        <v>352</v>
      </c>
      <c r="Q159" s="117" t="s">
        <v>352</v>
      </c>
      <c r="R159" s="196">
        <v>14.39</v>
      </c>
      <c r="S159" s="197">
        <v>14.39</v>
      </c>
      <c r="T159" s="200" t="s">
        <v>351</v>
      </c>
      <c r="V159" s="245"/>
      <c r="W159" s="246"/>
    </row>
    <row r="160" spans="1:23">
      <c r="A160" s="67" t="s">
        <v>434</v>
      </c>
      <c r="B160" s="79" t="s">
        <v>528</v>
      </c>
      <c r="C160" s="73" t="s">
        <v>349</v>
      </c>
      <c r="D160" s="71" t="s">
        <v>439</v>
      </c>
      <c r="E160" s="69">
        <v>9120</v>
      </c>
      <c r="F160" s="79" t="s">
        <v>528</v>
      </c>
      <c r="G160" s="79" t="s">
        <v>528</v>
      </c>
      <c r="H160" s="117" t="s">
        <v>352</v>
      </c>
      <c r="I160" s="155" t="s">
        <v>357</v>
      </c>
      <c r="J160" s="155" t="s">
        <v>357</v>
      </c>
      <c r="K160" s="229" t="s">
        <v>351</v>
      </c>
      <c r="L160" s="163">
        <v>153.91707298541371</v>
      </c>
      <c r="M160" s="200">
        <v>31.07</v>
      </c>
      <c r="N160" s="117" t="s">
        <v>352</v>
      </c>
      <c r="O160" s="117" t="s">
        <v>352</v>
      </c>
      <c r="P160" s="117" t="s">
        <v>352</v>
      </c>
      <c r="Q160" s="117" t="s">
        <v>352</v>
      </c>
      <c r="R160" s="196">
        <v>17.82</v>
      </c>
      <c r="S160" s="197">
        <v>17.82</v>
      </c>
      <c r="T160" s="200" t="s">
        <v>351</v>
      </c>
      <c r="V160" s="231"/>
      <c r="W160" s="246"/>
    </row>
    <row r="161" spans="1:23">
      <c r="A161" s="67" t="s">
        <v>434</v>
      </c>
      <c r="B161" s="79" t="s">
        <v>528</v>
      </c>
      <c r="C161" s="73" t="s">
        <v>349</v>
      </c>
      <c r="D161" s="71" t="s">
        <v>441</v>
      </c>
      <c r="E161" s="69">
        <v>9201</v>
      </c>
      <c r="F161" s="79" t="s">
        <v>528</v>
      </c>
      <c r="G161" s="79" t="s">
        <v>528</v>
      </c>
      <c r="H161" s="117" t="s">
        <v>352</v>
      </c>
      <c r="I161" s="155" t="s">
        <v>357</v>
      </c>
      <c r="J161" s="155" t="s">
        <v>357</v>
      </c>
      <c r="K161" s="229" t="s">
        <v>351</v>
      </c>
      <c r="L161" s="163">
        <v>175.90574526098936</v>
      </c>
      <c r="M161" s="200">
        <v>25.03</v>
      </c>
      <c r="N161" s="117" t="s">
        <v>352</v>
      </c>
      <c r="O161" s="117" t="s">
        <v>352</v>
      </c>
      <c r="P161" s="117" t="s">
        <v>352</v>
      </c>
      <c r="Q161" s="117" t="s">
        <v>352</v>
      </c>
      <c r="R161" s="196">
        <v>14.45</v>
      </c>
      <c r="S161" s="197">
        <v>14.45</v>
      </c>
      <c r="T161" s="200" t="s">
        <v>351</v>
      </c>
      <c r="V161" s="231"/>
      <c r="W161" s="246"/>
    </row>
    <row r="162" spans="1:23">
      <c r="A162" s="67" t="s">
        <v>442</v>
      </c>
      <c r="B162" s="79" t="s">
        <v>528</v>
      </c>
      <c r="C162" s="73" t="s">
        <v>349</v>
      </c>
      <c r="D162" s="70" t="s">
        <v>444</v>
      </c>
      <c r="E162" s="69">
        <v>10001</v>
      </c>
      <c r="F162" s="79" t="s">
        <v>528</v>
      </c>
      <c r="G162" s="79" t="s">
        <v>528</v>
      </c>
      <c r="H162" s="117" t="s">
        <v>352</v>
      </c>
      <c r="I162" s="155" t="s">
        <v>355</v>
      </c>
      <c r="J162" s="155" t="s">
        <v>353</v>
      </c>
      <c r="K162" s="230">
        <v>44</v>
      </c>
      <c r="L162" s="163">
        <v>114.73697139612997</v>
      </c>
      <c r="M162" s="200">
        <v>40.74</v>
      </c>
      <c r="N162" s="117" t="s">
        <v>352</v>
      </c>
      <c r="O162" s="117" t="s">
        <v>352</v>
      </c>
      <c r="P162" s="117" t="s">
        <v>352</v>
      </c>
      <c r="Q162" s="117" t="s">
        <v>352</v>
      </c>
      <c r="R162" s="196">
        <v>10.78</v>
      </c>
      <c r="S162" s="197">
        <v>10.77</v>
      </c>
      <c r="T162" s="59">
        <v>100</v>
      </c>
      <c r="V162" s="245"/>
      <c r="W162" s="246"/>
    </row>
    <row r="163" spans="1:23">
      <c r="A163" s="67" t="s">
        <v>442</v>
      </c>
      <c r="B163" s="79" t="s">
        <v>528</v>
      </c>
      <c r="C163" s="73" t="s">
        <v>349</v>
      </c>
      <c r="D163" s="71" t="s">
        <v>448</v>
      </c>
      <c r="E163" s="69">
        <v>10201</v>
      </c>
      <c r="F163" s="79" t="s">
        <v>528</v>
      </c>
      <c r="G163" s="79" t="s">
        <v>528</v>
      </c>
      <c r="H163" s="117" t="s">
        <v>352</v>
      </c>
      <c r="I163" s="155" t="s">
        <v>357</v>
      </c>
      <c r="J163" s="155" t="s">
        <v>357</v>
      </c>
      <c r="K163" s="229" t="s">
        <v>351</v>
      </c>
      <c r="L163" s="163">
        <v>165.9410810489502</v>
      </c>
      <c r="M163" s="200">
        <v>32.57</v>
      </c>
      <c r="N163" s="117" t="s">
        <v>352</v>
      </c>
      <c r="O163" s="117" t="s">
        <v>352</v>
      </c>
      <c r="P163" s="117" t="s">
        <v>352</v>
      </c>
      <c r="Q163" s="117" t="s">
        <v>352</v>
      </c>
      <c r="R163" s="196">
        <v>17.11</v>
      </c>
      <c r="S163" s="197">
        <v>17.11</v>
      </c>
      <c r="T163" s="200" t="s">
        <v>351</v>
      </c>
      <c r="V163" s="245"/>
      <c r="W163" s="246"/>
    </row>
    <row r="164" spans="1:23">
      <c r="A164" s="67" t="s">
        <v>442</v>
      </c>
      <c r="B164" s="79" t="s">
        <v>528</v>
      </c>
      <c r="C164" s="73" t="s">
        <v>349</v>
      </c>
      <c r="D164" s="70" t="s">
        <v>449</v>
      </c>
      <c r="E164" s="69">
        <v>10301</v>
      </c>
      <c r="F164" s="79" t="s">
        <v>528</v>
      </c>
      <c r="G164" s="79" t="s">
        <v>528</v>
      </c>
      <c r="H164" s="117" t="s">
        <v>352</v>
      </c>
      <c r="I164" s="155" t="s">
        <v>355</v>
      </c>
      <c r="J164" s="155" t="s">
        <v>353</v>
      </c>
      <c r="K164" s="230">
        <v>60</v>
      </c>
      <c r="L164" s="163">
        <v>132.57895924408933</v>
      </c>
      <c r="M164" s="200">
        <v>30.9</v>
      </c>
      <c r="N164" s="117" t="s">
        <v>352</v>
      </c>
      <c r="O164" s="117" t="s">
        <v>352</v>
      </c>
      <c r="P164" s="117" t="s">
        <v>352</v>
      </c>
      <c r="Q164" s="117" t="s">
        <v>352</v>
      </c>
      <c r="R164" s="196">
        <v>12.86</v>
      </c>
      <c r="S164" s="197">
        <v>12.81</v>
      </c>
      <c r="T164" s="59">
        <v>0</v>
      </c>
      <c r="V164" s="245"/>
      <c r="W164" s="246"/>
    </row>
    <row r="165" spans="1:23">
      <c r="A165" s="67" t="s">
        <v>450</v>
      </c>
      <c r="B165" s="79" t="s">
        <v>528</v>
      </c>
      <c r="C165" s="73" t="s">
        <v>349</v>
      </c>
      <c r="D165" s="71" t="s">
        <v>451</v>
      </c>
      <c r="E165" s="69">
        <v>11101</v>
      </c>
      <c r="F165" s="79" t="s">
        <v>528</v>
      </c>
      <c r="G165" s="79" t="s">
        <v>528</v>
      </c>
      <c r="H165" s="117" t="s">
        <v>352</v>
      </c>
      <c r="I165" s="155" t="s">
        <v>355</v>
      </c>
      <c r="J165" s="155" t="s">
        <v>353</v>
      </c>
      <c r="K165" s="230">
        <v>88</v>
      </c>
      <c r="L165" s="163">
        <v>117.69014561144637</v>
      </c>
      <c r="M165" s="200">
        <v>34.94</v>
      </c>
      <c r="N165" s="117" t="s">
        <v>352</v>
      </c>
      <c r="O165" s="117" t="s">
        <v>352</v>
      </c>
      <c r="P165" s="117" t="s">
        <v>352</v>
      </c>
      <c r="Q165" s="117" t="s">
        <v>352</v>
      </c>
      <c r="R165" s="196">
        <v>17.82</v>
      </c>
      <c r="S165" s="197">
        <v>17.82</v>
      </c>
      <c r="T165" s="200" t="s">
        <v>351</v>
      </c>
      <c r="V165" s="245"/>
      <c r="W165" s="246"/>
    </row>
    <row r="166" spans="1:23">
      <c r="A166" s="67" t="s">
        <v>452</v>
      </c>
      <c r="B166" s="79" t="s">
        <v>528</v>
      </c>
      <c r="C166" s="73" t="s">
        <v>349</v>
      </c>
      <c r="D166" s="70" t="s">
        <v>453</v>
      </c>
      <c r="E166" s="69">
        <v>12101</v>
      </c>
      <c r="F166" s="79" t="s">
        <v>528</v>
      </c>
      <c r="G166" s="79" t="s">
        <v>528</v>
      </c>
      <c r="H166" s="117" t="s">
        <v>352</v>
      </c>
      <c r="I166" s="155" t="s">
        <v>357</v>
      </c>
      <c r="J166" s="155" t="s">
        <v>355</v>
      </c>
      <c r="K166" s="229" t="s">
        <v>351</v>
      </c>
      <c r="L166" s="163">
        <v>146.58377265782502</v>
      </c>
      <c r="M166" s="200">
        <v>23.25</v>
      </c>
      <c r="N166" s="117" t="s">
        <v>352</v>
      </c>
      <c r="O166" s="117" t="s">
        <v>352</v>
      </c>
      <c r="P166" s="117" t="s">
        <v>352</v>
      </c>
      <c r="Q166" s="117" t="s">
        <v>352</v>
      </c>
      <c r="R166" s="196">
        <v>11.27</v>
      </c>
      <c r="S166" s="197">
        <v>11.25</v>
      </c>
      <c r="T166" s="200" t="s">
        <v>351</v>
      </c>
      <c r="V166" s="246"/>
      <c r="W166" s="246"/>
    </row>
    <row r="167" spans="1:23">
      <c r="A167" s="67" t="s">
        <v>454</v>
      </c>
      <c r="B167" s="79" t="s">
        <v>528</v>
      </c>
      <c r="C167" s="73" t="s">
        <v>456</v>
      </c>
      <c r="D167" s="70" t="s">
        <v>456</v>
      </c>
      <c r="E167" s="69">
        <v>13001</v>
      </c>
      <c r="F167" s="79" t="s">
        <v>528</v>
      </c>
      <c r="G167" s="79" t="s">
        <v>528</v>
      </c>
      <c r="H167" s="117" t="s">
        <v>352</v>
      </c>
      <c r="I167" s="155" t="s">
        <v>355</v>
      </c>
      <c r="J167" s="155" t="s">
        <v>353</v>
      </c>
      <c r="K167" s="230">
        <v>34</v>
      </c>
      <c r="L167" s="163">
        <v>144.0586769445141</v>
      </c>
      <c r="M167" s="200">
        <v>45.05</v>
      </c>
      <c r="N167" s="117" t="s">
        <v>352</v>
      </c>
      <c r="O167" s="117" t="s">
        <v>352</v>
      </c>
      <c r="P167" s="117" t="s">
        <v>352</v>
      </c>
      <c r="Q167" s="117" t="s">
        <v>352</v>
      </c>
      <c r="R167" s="196">
        <v>4.95</v>
      </c>
      <c r="S167" s="197">
        <v>4.9400000000000004</v>
      </c>
      <c r="T167" s="200">
        <v>60</v>
      </c>
      <c r="V167" s="245"/>
      <c r="W167" s="246"/>
    </row>
    <row r="168" spans="1:23">
      <c r="A168" s="67" t="s">
        <v>454</v>
      </c>
      <c r="B168" s="79" t="s">
        <v>528</v>
      </c>
      <c r="C168" s="73" t="s">
        <v>349</v>
      </c>
      <c r="D168" s="70" t="s">
        <v>501</v>
      </c>
      <c r="E168" s="69">
        <v>13501</v>
      </c>
      <c r="F168" s="79" t="s">
        <v>528</v>
      </c>
      <c r="G168" s="79" t="s">
        <v>528</v>
      </c>
      <c r="H168" s="117" t="s">
        <v>352</v>
      </c>
      <c r="I168" s="155" t="s">
        <v>357</v>
      </c>
      <c r="J168" s="155" t="s">
        <v>357</v>
      </c>
      <c r="K168" s="229" t="s">
        <v>351</v>
      </c>
      <c r="L168" s="163">
        <v>128.45721817328902</v>
      </c>
      <c r="M168" s="200">
        <v>45.64</v>
      </c>
      <c r="N168" s="117" t="s">
        <v>352</v>
      </c>
      <c r="O168" s="117" t="s">
        <v>352</v>
      </c>
      <c r="P168" s="117" t="s">
        <v>352</v>
      </c>
      <c r="Q168" s="117" t="s">
        <v>352</v>
      </c>
      <c r="R168" s="196">
        <v>9.3000000000000007</v>
      </c>
      <c r="S168" s="197">
        <v>9.3000000000000007</v>
      </c>
      <c r="T168" s="200">
        <v>66.67</v>
      </c>
      <c r="V168" s="245"/>
      <c r="W168" s="246"/>
    </row>
    <row r="169" spans="1:23">
      <c r="A169" s="67" t="s">
        <v>507</v>
      </c>
      <c r="B169" s="79" t="s">
        <v>528</v>
      </c>
      <c r="C169" s="73" t="s">
        <v>349</v>
      </c>
      <c r="D169" s="70" t="s">
        <v>508</v>
      </c>
      <c r="E169" s="69">
        <v>14101</v>
      </c>
      <c r="F169" s="79" t="s">
        <v>528</v>
      </c>
      <c r="G169" s="79" t="s">
        <v>528</v>
      </c>
      <c r="H169" s="117" t="s">
        <v>352</v>
      </c>
      <c r="I169" s="155" t="s">
        <v>355</v>
      </c>
      <c r="J169" s="155" t="s">
        <v>353</v>
      </c>
      <c r="K169" s="230">
        <v>52</v>
      </c>
      <c r="L169" s="163">
        <v>139.16841298079117</v>
      </c>
      <c r="M169" s="200">
        <v>26.09</v>
      </c>
      <c r="N169" s="117" t="s">
        <v>352</v>
      </c>
      <c r="O169" s="117" t="s">
        <v>352</v>
      </c>
      <c r="P169" s="117" t="s">
        <v>352</v>
      </c>
      <c r="Q169" s="117" t="s">
        <v>352</v>
      </c>
      <c r="R169" s="196">
        <v>14.44</v>
      </c>
      <c r="S169" s="197">
        <v>14.44</v>
      </c>
      <c r="T169" s="200">
        <v>0</v>
      </c>
      <c r="V169" s="245"/>
      <c r="W169" s="246"/>
    </row>
    <row r="170" spans="1:23">
      <c r="A170" s="67" t="s">
        <v>509</v>
      </c>
      <c r="B170" s="79" t="s">
        <v>528</v>
      </c>
      <c r="C170" s="73" t="s">
        <v>349</v>
      </c>
      <c r="D170" s="70" t="s">
        <v>510</v>
      </c>
      <c r="E170" s="69">
        <v>15101</v>
      </c>
      <c r="F170" s="79" t="s">
        <v>528</v>
      </c>
      <c r="G170" s="79" t="s">
        <v>528</v>
      </c>
      <c r="H170" s="117" t="s">
        <v>352</v>
      </c>
      <c r="I170" s="155" t="s">
        <v>357</v>
      </c>
      <c r="J170" s="155" t="s">
        <v>355</v>
      </c>
      <c r="K170" s="229" t="s">
        <v>351</v>
      </c>
      <c r="L170" s="163">
        <v>139.39205147650068</v>
      </c>
      <c r="M170" s="200">
        <v>32.97</v>
      </c>
      <c r="N170" s="117" t="s">
        <v>352</v>
      </c>
      <c r="O170" s="117" t="s">
        <v>352</v>
      </c>
      <c r="P170" s="117" t="s">
        <v>352</v>
      </c>
      <c r="Q170" s="117" t="s">
        <v>352</v>
      </c>
      <c r="R170" s="196">
        <v>3.06</v>
      </c>
      <c r="S170" s="197">
        <v>3.06</v>
      </c>
      <c r="T170" s="200">
        <v>100</v>
      </c>
      <c r="V170" s="245"/>
      <c r="W170" s="246"/>
    </row>
    <row r="171" spans="1:23">
      <c r="A171" s="67" t="s">
        <v>511</v>
      </c>
      <c r="B171" s="79" t="s">
        <v>528</v>
      </c>
      <c r="C171" s="73" t="s">
        <v>349</v>
      </c>
      <c r="D171" s="70" t="s">
        <v>513</v>
      </c>
      <c r="E171" s="69">
        <v>16101</v>
      </c>
      <c r="F171" s="79" t="s">
        <v>528</v>
      </c>
      <c r="G171" s="79" t="s">
        <v>528</v>
      </c>
      <c r="H171" s="117" t="s">
        <v>352</v>
      </c>
      <c r="I171" s="155" t="s">
        <v>355</v>
      </c>
      <c r="J171" s="155" t="s">
        <v>353</v>
      </c>
      <c r="K171" s="230">
        <v>60</v>
      </c>
      <c r="L171" s="163">
        <v>128.69865744872124</v>
      </c>
      <c r="M171" s="200">
        <v>30.83</v>
      </c>
      <c r="N171" s="117" t="s">
        <v>352</v>
      </c>
      <c r="O171" s="117" t="s">
        <v>352</v>
      </c>
      <c r="P171" s="117" t="s">
        <v>352</v>
      </c>
      <c r="Q171" s="117" t="s">
        <v>352</v>
      </c>
      <c r="R171" s="196">
        <v>7.69</v>
      </c>
      <c r="S171" s="197">
        <v>7.68</v>
      </c>
      <c r="T171" s="200" t="s">
        <v>351</v>
      </c>
    </row>
    <row r="172" spans="1:23">
      <c r="A172" s="67" t="s">
        <v>511</v>
      </c>
      <c r="B172" s="79" t="s">
        <v>528</v>
      </c>
      <c r="C172" s="73" t="s">
        <v>349</v>
      </c>
      <c r="D172" s="71" t="s">
        <v>517</v>
      </c>
      <c r="E172" s="69">
        <v>16301</v>
      </c>
      <c r="F172" s="79" t="s">
        <v>528</v>
      </c>
      <c r="G172" s="79" t="s">
        <v>528</v>
      </c>
      <c r="H172" s="117" t="s">
        <v>352</v>
      </c>
      <c r="I172" s="155" t="s">
        <v>357</v>
      </c>
      <c r="J172" s="155" t="s">
        <v>357</v>
      </c>
      <c r="K172" s="229" t="s">
        <v>351</v>
      </c>
      <c r="L172" s="163">
        <v>165.71735023050087</v>
      </c>
      <c r="M172" s="200">
        <v>41.06</v>
      </c>
      <c r="N172" s="117" t="s">
        <v>352</v>
      </c>
      <c r="O172" s="117" t="s">
        <v>352</v>
      </c>
      <c r="P172" s="117" t="s">
        <v>352</v>
      </c>
      <c r="Q172" s="117" t="s">
        <v>352</v>
      </c>
      <c r="R172" s="196">
        <v>15.09</v>
      </c>
      <c r="S172" s="197">
        <v>15.09</v>
      </c>
      <c r="T172" s="200" t="s">
        <v>351</v>
      </c>
    </row>
    <row r="173" spans="1:23">
      <c r="A173" s="231"/>
      <c r="B173" s="232"/>
      <c r="C173" s="233"/>
      <c r="D173" s="234"/>
      <c r="E173" s="235"/>
      <c r="F173" s="232"/>
      <c r="G173" s="232"/>
      <c r="H173" s="236"/>
      <c r="I173" s="237"/>
      <c r="J173" s="237"/>
      <c r="K173" s="240"/>
      <c r="L173" s="241"/>
      <c r="M173" s="239"/>
      <c r="N173" s="236"/>
      <c r="O173" s="236"/>
      <c r="P173" s="236"/>
      <c r="Q173" s="236"/>
      <c r="R173" s="242"/>
      <c r="S173" s="243"/>
      <c r="T173" s="239"/>
    </row>
    <row r="174" spans="1:23">
      <c r="A174" s="231"/>
      <c r="B174" s="232"/>
      <c r="C174" s="233"/>
      <c r="D174" s="234"/>
      <c r="E174" s="235"/>
      <c r="F174" s="232"/>
      <c r="G174" s="232"/>
      <c r="H174" s="236"/>
      <c r="I174" s="236"/>
      <c r="J174" s="236"/>
      <c r="K174" s="240"/>
      <c r="L174" s="241"/>
      <c r="M174" s="239"/>
      <c r="N174" s="236"/>
      <c r="O174" s="236"/>
      <c r="P174" s="236"/>
      <c r="Q174" s="236"/>
      <c r="R174" s="242"/>
      <c r="S174" s="243"/>
      <c r="T174" s="239"/>
    </row>
    <row r="175" spans="1:23">
      <c r="A175" s="231"/>
      <c r="B175" s="232"/>
      <c r="C175" s="233"/>
      <c r="D175" s="234"/>
      <c r="G175" s="43" t="s">
        <v>289</v>
      </c>
      <c r="H175" s="106" t="s">
        <v>238</v>
      </c>
      <c r="I175" s="106" t="s">
        <v>240</v>
      </c>
      <c r="J175" s="106" t="s">
        <v>242</v>
      </c>
      <c r="K175" s="106" t="s">
        <v>244</v>
      </c>
      <c r="L175" s="106" t="s">
        <v>247</v>
      </c>
      <c r="M175" s="239"/>
      <c r="N175" s="236"/>
      <c r="O175" s="236"/>
      <c r="P175" s="236"/>
      <c r="Q175" s="236"/>
      <c r="R175" s="242"/>
      <c r="S175" s="243"/>
      <c r="T175" s="239"/>
    </row>
    <row r="176" spans="1:23">
      <c r="A176" s="109" t="s">
        <v>605</v>
      </c>
      <c r="B176" s="232"/>
      <c r="C176" s="233"/>
      <c r="D176" s="234"/>
      <c r="G176" s="43" t="s">
        <v>290</v>
      </c>
      <c r="H176" s="178" t="s">
        <v>28</v>
      </c>
      <c r="I176" s="178" t="s">
        <v>28</v>
      </c>
      <c r="J176" s="178" t="s">
        <v>28</v>
      </c>
      <c r="K176" s="176" t="s">
        <v>245</v>
      </c>
      <c r="L176" s="178" t="s">
        <v>28</v>
      </c>
      <c r="M176" s="239"/>
      <c r="N176" s="236"/>
      <c r="O176" s="236"/>
      <c r="P176" s="236"/>
      <c r="Q176" s="236"/>
      <c r="R176" s="242"/>
      <c r="S176" s="243"/>
      <c r="T176" s="239"/>
    </row>
    <row r="177" spans="1:20" ht="25.5">
      <c r="A177" s="231"/>
      <c r="B177" s="232"/>
      <c r="C177" s="233"/>
      <c r="D177" s="234"/>
      <c r="G177" s="64" t="s">
        <v>294</v>
      </c>
      <c r="H177" s="178" t="s">
        <v>297</v>
      </c>
      <c r="I177" s="178" t="s">
        <v>297</v>
      </c>
      <c r="J177" s="178" t="s">
        <v>297</v>
      </c>
      <c r="K177" s="178" t="s">
        <v>297</v>
      </c>
      <c r="L177" s="178" t="s">
        <v>297</v>
      </c>
      <c r="M177" s="239"/>
      <c r="N177" s="236"/>
      <c r="O177" s="236"/>
      <c r="P177" s="236"/>
      <c r="Q177" s="236"/>
      <c r="R177" s="242"/>
      <c r="S177" s="243"/>
      <c r="T177" s="239"/>
    </row>
    <row r="178" spans="1:20" ht="63.75">
      <c r="A178" s="66" t="s">
        <v>320</v>
      </c>
      <c r="B178" s="43" t="s">
        <v>321</v>
      </c>
      <c r="C178" s="77" t="s">
        <v>322</v>
      </c>
      <c r="D178" s="78" t="s">
        <v>530</v>
      </c>
      <c r="E178" s="78" t="s">
        <v>324</v>
      </c>
      <c r="F178" s="43" t="s">
        <v>25</v>
      </c>
      <c r="G178" s="43" t="s">
        <v>325</v>
      </c>
      <c r="H178" s="80" t="s">
        <v>239</v>
      </c>
      <c r="I178" s="80" t="s">
        <v>241</v>
      </c>
      <c r="J178" s="80" t="s">
        <v>243</v>
      </c>
      <c r="K178" s="80" t="s">
        <v>246</v>
      </c>
      <c r="L178" s="80" t="s">
        <v>248</v>
      </c>
      <c r="M178" s="239"/>
      <c r="N178" s="236"/>
      <c r="O178" s="236"/>
      <c r="P178" s="236"/>
      <c r="Q178" s="236"/>
      <c r="R178" s="242"/>
      <c r="S178" s="243"/>
      <c r="T178" s="239"/>
    </row>
    <row r="179" spans="1:20">
      <c r="A179" s="208" t="s">
        <v>347</v>
      </c>
      <c r="B179" s="79" t="s">
        <v>528</v>
      </c>
      <c r="C179" s="207" t="s">
        <v>349</v>
      </c>
      <c r="D179" s="208" t="s">
        <v>356</v>
      </c>
      <c r="E179" s="79" t="s">
        <v>528</v>
      </c>
      <c r="F179" s="79" t="s">
        <v>528</v>
      </c>
      <c r="G179" s="79" t="s">
        <v>528</v>
      </c>
      <c r="H179" s="217">
        <v>10.62</v>
      </c>
      <c r="I179" s="200">
        <v>21.75</v>
      </c>
      <c r="J179" s="200">
        <v>67.63</v>
      </c>
      <c r="K179" s="200">
        <v>8.51</v>
      </c>
      <c r="L179" s="200">
        <v>29.78</v>
      </c>
      <c r="M179" s="239"/>
      <c r="N179" s="90" t="s">
        <v>531</v>
      </c>
      <c r="O179" s="90"/>
      <c r="P179" s="90"/>
      <c r="Q179" s="90"/>
      <c r="R179" s="242"/>
      <c r="S179" s="243"/>
      <c r="T179" s="239"/>
    </row>
    <row r="180" spans="1:20">
      <c r="A180" s="208" t="s">
        <v>347</v>
      </c>
      <c r="B180" s="79" t="s">
        <v>528</v>
      </c>
      <c r="C180" s="207" t="s">
        <v>349</v>
      </c>
      <c r="D180" s="208" t="s">
        <v>533</v>
      </c>
      <c r="E180" s="79" t="s">
        <v>528</v>
      </c>
      <c r="F180" s="79" t="s">
        <v>528</v>
      </c>
      <c r="G180" s="79" t="s">
        <v>528</v>
      </c>
      <c r="H180" s="217">
        <v>8.25</v>
      </c>
      <c r="I180" s="200">
        <v>12.1</v>
      </c>
      <c r="J180" s="200">
        <v>79.66</v>
      </c>
      <c r="K180" s="200">
        <v>6.68</v>
      </c>
      <c r="L180" s="200">
        <v>22.14</v>
      </c>
      <c r="M180" s="239"/>
      <c r="N180" s="325" t="s">
        <v>532</v>
      </c>
      <c r="O180" s="325"/>
      <c r="P180" s="325"/>
      <c r="Q180" s="325"/>
      <c r="R180" s="242"/>
      <c r="S180" s="243"/>
      <c r="T180" s="239"/>
    </row>
    <row r="181" spans="1:20">
      <c r="A181" s="208" t="s">
        <v>360</v>
      </c>
      <c r="B181" s="79" t="s">
        <v>528</v>
      </c>
      <c r="C181" s="207" t="s">
        <v>349</v>
      </c>
      <c r="D181" s="208" t="s">
        <v>534</v>
      </c>
      <c r="E181" s="79" t="s">
        <v>528</v>
      </c>
      <c r="F181" s="79" t="s">
        <v>528</v>
      </c>
      <c r="G181" s="79" t="s">
        <v>528</v>
      </c>
      <c r="H181" s="217">
        <v>14.38</v>
      </c>
      <c r="I181" s="200">
        <v>16.760000000000002</v>
      </c>
      <c r="J181" s="200">
        <v>68.86</v>
      </c>
      <c r="K181" s="200">
        <v>7.62</v>
      </c>
      <c r="L181" s="200">
        <v>14.5</v>
      </c>
      <c r="M181" s="239"/>
      <c r="N181" s="325"/>
      <c r="O181" s="325"/>
      <c r="P181" s="325"/>
      <c r="Q181" s="325"/>
      <c r="R181" s="242"/>
      <c r="S181" s="243"/>
      <c r="T181" s="239"/>
    </row>
    <row r="182" spans="1:20">
      <c r="A182" s="208" t="s">
        <v>360</v>
      </c>
      <c r="B182" s="79" t="s">
        <v>528</v>
      </c>
      <c r="C182" s="207" t="s">
        <v>349</v>
      </c>
      <c r="D182" s="206" t="s">
        <v>536</v>
      </c>
      <c r="E182" s="79" t="s">
        <v>528</v>
      </c>
      <c r="F182" s="79" t="s">
        <v>528</v>
      </c>
      <c r="G182" s="79" t="s">
        <v>528</v>
      </c>
      <c r="H182" s="217">
        <v>27.47</v>
      </c>
      <c r="I182" s="200">
        <v>11.16</v>
      </c>
      <c r="J182" s="200">
        <v>61.37</v>
      </c>
      <c r="K182" s="200">
        <v>8.33</v>
      </c>
      <c r="L182" s="200">
        <v>18.12</v>
      </c>
      <c r="M182" s="239"/>
      <c r="N182" s="90" t="s">
        <v>535</v>
      </c>
      <c r="O182" s="90"/>
      <c r="P182" s="90"/>
      <c r="Q182" s="90"/>
      <c r="R182" s="242"/>
      <c r="S182" s="243"/>
      <c r="T182" s="239"/>
    </row>
    <row r="183" spans="1:20">
      <c r="A183" s="208" t="s">
        <v>363</v>
      </c>
      <c r="B183" s="79" t="s">
        <v>528</v>
      </c>
      <c r="C183" s="207" t="s">
        <v>349</v>
      </c>
      <c r="D183" s="206" t="s">
        <v>538</v>
      </c>
      <c r="E183" s="79" t="s">
        <v>528</v>
      </c>
      <c r="F183" s="79" t="s">
        <v>528</v>
      </c>
      <c r="G183" s="79" t="s">
        <v>528</v>
      </c>
      <c r="H183" s="217">
        <v>18.97</v>
      </c>
      <c r="I183" s="200">
        <v>13.98</v>
      </c>
      <c r="J183" s="200">
        <v>67.05</v>
      </c>
      <c r="K183" s="200">
        <v>7.76</v>
      </c>
      <c r="L183" s="200">
        <v>20.079999999999998</v>
      </c>
      <c r="M183" s="239"/>
      <c r="N183" s="90" t="s">
        <v>537</v>
      </c>
      <c r="O183" s="90"/>
      <c r="P183" s="90"/>
      <c r="Q183" s="90"/>
      <c r="R183" s="242"/>
      <c r="S183" s="243"/>
      <c r="T183" s="239"/>
    </row>
    <row r="184" spans="1:20">
      <c r="A184" s="208" t="s">
        <v>363</v>
      </c>
      <c r="B184" s="79" t="s">
        <v>528</v>
      </c>
      <c r="C184" s="207" t="s">
        <v>349</v>
      </c>
      <c r="D184" s="208" t="s">
        <v>540</v>
      </c>
      <c r="E184" s="79" t="s">
        <v>528</v>
      </c>
      <c r="F184" s="79" t="s">
        <v>528</v>
      </c>
      <c r="G184" s="79" t="s">
        <v>528</v>
      </c>
      <c r="H184" s="217">
        <v>19.78</v>
      </c>
      <c r="I184" s="200">
        <v>17.510000000000002</v>
      </c>
      <c r="J184" s="200">
        <v>62.71</v>
      </c>
      <c r="K184" s="200">
        <v>8.09</v>
      </c>
      <c r="L184" s="200">
        <v>22.4</v>
      </c>
      <c r="M184" s="239"/>
      <c r="N184" s="90" t="s">
        <v>539</v>
      </c>
      <c r="O184" s="90"/>
      <c r="P184" s="90"/>
      <c r="Q184" s="90"/>
      <c r="R184" s="242"/>
      <c r="S184" s="243"/>
      <c r="T184" s="239"/>
    </row>
    <row r="185" spans="1:20">
      <c r="A185" s="208" t="s">
        <v>369</v>
      </c>
      <c r="B185" s="79" t="s">
        <v>528</v>
      </c>
      <c r="C185" s="207" t="s">
        <v>349</v>
      </c>
      <c r="D185" s="208" t="s">
        <v>541</v>
      </c>
      <c r="E185" s="79" t="s">
        <v>528</v>
      </c>
      <c r="F185" s="79" t="s">
        <v>528</v>
      </c>
      <c r="G185" s="79" t="s">
        <v>528</v>
      </c>
      <c r="H185" s="217">
        <v>5.75</v>
      </c>
      <c r="I185" s="200">
        <v>20.02</v>
      </c>
      <c r="J185" s="200">
        <v>74.23</v>
      </c>
      <c r="K185" s="200">
        <v>7.97</v>
      </c>
      <c r="L185" s="200">
        <v>23.08</v>
      </c>
      <c r="M185" s="239"/>
      <c r="N185" s="90"/>
      <c r="O185" s="90"/>
      <c r="P185" s="90"/>
      <c r="Q185" s="90"/>
      <c r="R185" s="242"/>
      <c r="S185" s="243"/>
      <c r="T185" s="239"/>
    </row>
    <row r="186" spans="1:20">
      <c r="A186" s="208" t="s">
        <v>369</v>
      </c>
      <c r="B186" s="79" t="s">
        <v>528</v>
      </c>
      <c r="C186" s="207" t="s">
        <v>349</v>
      </c>
      <c r="D186" s="208" t="s">
        <v>542</v>
      </c>
      <c r="E186" s="79" t="s">
        <v>528</v>
      </c>
      <c r="F186" s="79" t="s">
        <v>528</v>
      </c>
      <c r="G186" s="79" t="s">
        <v>528</v>
      </c>
      <c r="H186" s="217">
        <v>10.18</v>
      </c>
      <c r="I186" s="200">
        <v>16.5</v>
      </c>
      <c r="J186" s="200">
        <v>73.319999999999993</v>
      </c>
      <c r="K186" s="200">
        <v>7.39</v>
      </c>
      <c r="L186" s="200">
        <v>18.28</v>
      </c>
      <c r="M186" s="239"/>
      <c r="N186" s="236"/>
      <c r="O186" s="236"/>
      <c r="P186" s="236"/>
      <c r="Q186" s="236"/>
      <c r="R186" s="242"/>
      <c r="S186" s="243"/>
      <c r="T186" s="239"/>
    </row>
    <row r="187" spans="1:20">
      <c r="A187" s="208" t="s">
        <v>369</v>
      </c>
      <c r="B187" s="79" t="s">
        <v>528</v>
      </c>
      <c r="C187" s="207" t="s">
        <v>349</v>
      </c>
      <c r="D187" s="208" t="s">
        <v>543</v>
      </c>
      <c r="E187" s="79" t="s">
        <v>528</v>
      </c>
      <c r="F187" s="79" t="s">
        <v>528</v>
      </c>
      <c r="G187" s="79" t="s">
        <v>528</v>
      </c>
      <c r="H187" s="217">
        <v>15.4</v>
      </c>
      <c r="I187" s="200">
        <v>11.02</v>
      </c>
      <c r="J187" s="200">
        <v>73.58</v>
      </c>
      <c r="K187" s="200">
        <v>7.64</v>
      </c>
      <c r="L187" s="200">
        <v>20.89</v>
      </c>
      <c r="M187" s="239"/>
      <c r="N187" s="236"/>
      <c r="O187" s="236"/>
      <c r="P187" s="236"/>
      <c r="Q187" s="236"/>
      <c r="R187" s="242"/>
      <c r="S187" s="243"/>
      <c r="T187" s="239"/>
    </row>
    <row r="188" spans="1:20">
      <c r="A188" s="208" t="s">
        <v>375</v>
      </c>
      <c r="B188" s="79" t="s">
        <v>528</v>
      </c>
      <c r="C188" s="207" t="s">
        <v>376</v>
      </c>
      <c r="D188" s="208" t="s">
        <v>544</v>
      </c>
      <c r="E188" s="79" t="s">
        <v>528</v>
      </c>
      <c r="F188" s="79" t="s">
        <v>528</v>
      </c>
      <c r="G188" s="79" t="s">
        <v>528</v>
      </c>
      <c r="H188" s="217">
        <v>2.84</v>
      </c>
      <c r="I188" s="200">
        <v>13.15</v>
      </c>
      <c r="J188" s="200">
        <v>84.02</v>
      </c>
      <c r="K188" s="200">
        <v>10.199999999999999</v>
      </c>
      <c r="L188" s="200">
        <v>19.14</v>
      </c>
      <c r="M188" s="239"/>
      <c r="N188" s="236"/>
      <c r="O188" s="236"/>
      <c r="P188" s="236"/>
      <c r="Q188" s="236"/>
      <c r="R188" s="242"/>
      <c r="S188" s="243"/>
      <c r="T188" s="239"/>
    </row>
    <row r="189" spans="1:20">
      <c r="A189" s="208" t="s">
        <v>375</v>
      </c>
      <c r="B189" s="79" t="s">
        <v>528</v>
      </c>
      <c r="C189" s="207" t="s">
        <v>376</v>
      </c>
      <c r="D189" s="208" t="s">
        <v>545</v>
      </c>
      <c r="E189" s="79" t="s">
        <v>528</v>
      </c>
      <c r="F189" s="79" t="s">
        <v>528</v>
      </c>
      <c r="G189" s="79" t="s">
        <v>528</v>
      </c>
      <c r="H189" s="217">
        <v>1.1100000000000001</v>
      </c>
      <c r="I189" s="200">
        <v>16.61</v>
      </c>
      <c r="J189" s="200">
        <v>82.28</v>
      </c>
      <c r="K189" s="200">
        <v>7.72</v>
      </c>
      <c r="L189" s="200">
        <v>20.170000000000002</v>
      </c>
      <c r="M189" s="239"/>
      <c r="N189" s="236"/>
      <c r="O189" s="236"/>
      <c r="P189" s="236"/>
      <c r="Q189" s="236"/>
      <c r="R189" s="242"/>
      <c r="S189" s="243"/>
      <c r="T189" s="239"/>
    </row>
    <row r="190" spans="1:20">
      <c r="A190" s="208" t="s">
        <v>375</v>
      </c>
      <c r="B190" s="79" t="s">
        <v>528</v>
      </c>
      <c r="C190" s="207" t="s">
        <v>349</v>
      </c>
      <c r="D190" s="208" t="s">
        <v>546</v>
      </c>
      <c r="E190" s="79" t="s">
        <v>528</v>
      </c>
      <c r="F190" s="79" t="s">
        <v>528</v>
      </c>
      <c r="G190" s="79" t="s">
        <v>528</v>
      </c>
      <c r="H190" s="217">
        <v>4.9400000000000004</v>
      </c>
      <c r="I190" s="200">
        <v>13.09</v>
      </c>
      <c r="J190" s="200">
        <v>81.98</v>
      </c>
      <c r="K190" s="200">
        <v>9.09</v>
      </c>
      <c r="L190" s="200">
        <v>19.21</v>
      </c>
      <c r="M190" s="239"/>
      <c r="N190" s="236"/>
      <c r="O190" s="236"/>
      <c r="P190" s="236"/>
      <c r="Q190" s="236"/>
      <c r="R190" s="242"/>
      <c r="S190" s="243"/>
      <c r="T190" s="239"/>
    </row>
    <row r="191" spans="1:20">
      <c r="A191" s="208" t="s">
        <v>401</v>
      </c>
      <c r="B191" s="79" t="s">
        <v>528</v>
      </c>
      <c r="C191" s="207" t="s">
        <v>349</v>
      </c>
      <c r="D191" s="206" t="s">
        <v>547</v>
      </c>
      <c r="E191" s="79" t="s">
        <v>528</v>
      </c>
      <c r="F191" s="79" t="s">
        <v>528</v>
      </c>
      <c r="G191" s="79" t="s">
        <v>528</v>
      </c>
      <c r="H191" s="217">
        <v>14.94</v>
      </c>
      <c r="I191" s="200">
        <v>13.77</v>
      </c>
      <c r="J191" s="200">
        <v>71.290000000000006</v>
      </c>
      <c r="K191" s="200">
        <v>9.9700000000000006</v>
      </c>
      <c r="L191" s="200">
        <v>15.4</v>
      </c>
      <c r="M191" s="239"/>
      <c r="N191" s="236"/>
      <c r="O191" s="236"/>
      <c r="P191" s="236"/>
      <c r="Q191" s="236"/>
      <c r="R191" s="242"/>
      <c r="S191" s="243"/>
      <c r="T191" s="239"/>
    </row>
    <row r="192" spans="1:20">
      <c r="A192" s="208" t="s">
        <v>401</v>
      </c>
      <c r="B192" s="79" t="s">
        <v>528</v>
      </c>
      <c r="C192" s="207" t="s">
        <v>349</v>
      </c>
      <c r="D192" s="208" t="s">
        <v>548</v>
      </c>
      <c r="E192" s="79" t="s">
        <v>528</v>
      </c>
      <c r="F192" s="79" t="s">
        <v>528</v>
      </c>
      <c r="G192" s="79" t="s">
        <v>528</v>
      </c>
      <c r="H192" s="217">
        <v>8.17</v>
      </c>
      <c r="I192" s="200">
        <v>13.79</v>
      </c>
      <c r="J192" s="200">
        <v>78.040000000000006</v>
      </c>
      <c r="K192" s="200">
        <v>4.47</v>
      </c>
      <c r="L192" s="200">
        <v>17.149999999999999</v>
      </c>
      <c r="M192" s="239"/>
      <c r="N192" s="236"/>
      <c r="O192" s="236"/>
      <c r="P192" s="236"/>
      <c r="Q192" s="236"/>
      <c r="R192" s="242"/>
      <c r="S192" s="243"/>
      <c r="T192" s="239"/>
    </row>
    <row r="193" spans="1:20">
      <c r="A193" s="208" t="s">
        <v>409</v>
      </c>
      <c r="B193" s="79" t="s">
        <v>528</v>
      </c>
      <c r="C193" s="207" t="s">
        <v>349</v>
      </c>
      <c r="D193" s="208" t="s">
        <v>549</v>
      </c>
      <c r="E193" s="79" t="s">
        <v>528</v>
      </c>
      <c r="F193" s="79" t="s">
        <v>528</v>
      </c>
      <c r="G193" s="79" t="s">
        <v>528</v>
      </c>
      <c r="H193" s="217">
        <v>12.71</v>
      </c>
      <c r="I193" s="200">
        <v>18.079999999999998</v>
      </c>
      <c r="J193" s="200">
        <v>69.209999999999994</v>
      </c>
      <c r="K193" s="200">
        <v>8.01</v>
      </c>
      <c r="L193" s="200">
        <v>19.38</v>
      </c>
      <c r="M193" s="239"/>
      <c r="N193" s="236"/>
      <c r="O193" s="236"/>
      <c r="P193" s="236"/>
      <c r="Q193" s="236"/>
      <c r="R193" s="242"/>
      <c r="S193" s="243"/>
      <c r="T193" s="239"/>
    </row>
    <row r="194" spans="1:20">
      <c r="A194" s="208" t="s">
        <v>409</v>
      </c>
      <c r="B194" s="79" t="s">
        <v>528</v>
      </c>
      <c r="C194" s="207" t="s">
        <v>349</v>
      </c>
      <c r="D194" s="208" t="s">
        <v>550</v>
      </c>
      <c r="E194" s="79" t="s">
        <v>528</v>
      </c>
      <c r="F194" s="79" t="s">
        <v>528</v>
      </c>
      <c r="G194" s="79" t="s">
        <v>528</v>
      </c>
      <c r="H194" s="217">
        <v>3.34</v>
      </c>
      <c r="I194" s="200">
        <v>19.940000000000001</v>
      </c>
      <c r="J194" s="200">
        <v>76.72</v>
      </c>
      <c r="K194" s="200">
        <v>6.98</v>
      </c>
      <c r="L194" s="200">
        <v>21.02</v>
      </c>
      <c r="M194" s="239"/>
      <c r="N194" s="236"/>
      <c r="O194" s="236"/>
      <c r="P194" s="236"/>
      <c r="Q194" s="236"/>
      <c r="R194" s="242"/>
      <c r="S194" s="243"/>
      <c r="T194" s="239"/>
    </row>
    <row r="195" spans="1:20">
      <c r="A195" s="208" t="s">
        <v>409</v>
      </c>
      <c r="B195" s="79" t="s">
        <v>528</v>
      </c>
      <c r="C195" s="207" t="s">
        <v>349</v>
      </c>
      <c r="D195" s="208" t="s">
        <v>551</v>
      </c>
      <c r="E195" s="79" t="s">
        <v>528</v>
      </c>
      <c r="F195" s="79" t="s">
        <v>528</v>
      </c>
      <c r="G195" s="79" t="s">
        <v>528</v>
      </c>
      <c r="H195" s="217">
        <v>7.67</v>
      </c>
      <c r="I195" s="200">
        <v>15.32</v>
      </c>
      <c r="J195" s="200">
        <v>77.010000000000005</v>
      </c>
      <c r="K195" s="200">
        <v>7.6</v>
      </c>
      <c r="L195" s="200">
        <v>18.36</v>
      </c>
      <c r="M195" s="239"/>
      <c r="N195" s="236"/>
      <c r="O195" s="236"/>
      <c r="P195" s="236"/>
      <c r="Q195" s="236"/>
      <c r="R195" s="242"/>
      <c r="S195" s="243"/>
      <c r="T195" s="239"/>
    </row>
    <row r="196" spans="1:20">
      <c r="A196" s="208" t="s">
        <v>418</v>
      </c>
      <c r="B196" s="79" t="s">
        <v>528</v>
      </c>
      <c r="C196" s="207" t="s">
        <v>420</v>
      </c>
      <c r="D196" s="208" t="s">
        <v>552</v>
      </c>
      <c r="E196" s="79" t="s">
        <v>528</v>
      </c>
      <c r="F196" s="79" t="s">
        <v>528</v>
      </c>
      <c r="G196" s="79" t="s">
        <v>528</v>
      </c>
      <c r="H196" s="217">
        <v>1.75</v>
      </c>
      <c r="I196" s="200">
        <v>17</v>
      </c>
      <c r="J196" s="200">
        <v>81.25</v>
      </c>
      <c r="K196" s="200">
        <v>6.77</v>
      </c>
      <c r="L196" s="200">
        <v>14.89</v>
      </c>
      <c r="M196" s="239"/>
      <c r="N196" s="236"/>
      <c r="O196" s="236"/>
      <c r="P196" s="236"/>
      <c r="Q196" s="236"/>
      <c r="R196" s="242"/>
      <c r="S196" s="243"/>
      <c r="T196" s="239"/>
    </row>
    <row r="197" spans="1:20">
      <c r="A197" s="208" t="s">
        <v>418</v>
      </c>
      <c r="B197" s="79" t="s">
        <v>528</v>
      </c>
      <c r="C197" s="207" t="s">
        <v>420</v>
      </c>
      <c r="D197" s="206" t="s">
        <v>553</v>
      </c>
      <c r="E197" s="79" t="s">
        <v>528</v>
      </c>
      <c r="F197" s="79" t="s">
        <v>528</v>
      </c>
      <c r="G197" s="79" t="s">
        <v>528</v>
      </c>
      <c r="H197" s="217">
        <v>3.56</v>
      </c>
      <c r="I197" s="200">
        <v>19.309999999999999</v>
      </c>
      <c r="J197" s="200">
        <v>77.13</v>
      </c>
      <c r="K197" s="200">
        <v>6.68</v>
      </c>
      <c r="L197" s="200">
        <v>15.45</v>
      </c>
      <c r="M197" s="239"/>
      <c r="N197" s="236"/>
      <c r="O197" s="236"/>
      <c r="P197" s="236"/>
      <c r="Q197" s="236"/>
      <c r="R197" s="242"/>
      <c r="S197" s="243"/>
      <c r="T197" s="239"/>
    </row>
    <row r="198" spans="1:20">
      <c r="A198" s="208" t="s">
        <v>418</v>
      </c>
      <c r="B198" s="79" t="s">
        <v>528</v>
      </c>
      <c r="C198" s="207" t="s">
        <v>420</v>
      </c>
      <c r="D198" s="208" t="s">
        <v>554</v>
      </c>
      <c r="E198" s="79" t="s">
        <v>528</v>
      </c>
      <c r="F198" s="79" t="s">
        <v>528</v>
      </c>
      <c r="G198" s="79" t="s">
        <v>528</v>
      </c>
      <c r="H198" s="217">
        <v>5.7</v>
      </c>
      <c r="I198" s="200">
        <v>25.51</v>
      </c>
      <c r="J198" s="200">
        <v>68.78</v>
      </c>
      <c r="K198" s="200">
        <v>9.27</v>
      </c>
      <c r="L198" s="200">
        <v>13.1</v>
      </c>
      <c r="M198" s="239"/>
      <c r="N198" s="236"/>
      <c r="O198" s="236"/>
      <c r="P198" s="236"/>
      <c r="Q198" s="236"/>
      <c r="R198" s="242"/>
      <c r="S198" s="243"/>
      <c r="T198" s="239"/>
    </row>
    <row r="199" spans="1:20">
      <c r="A199" s="208" t="s">
        <v>418</v>
      </c>
      <c r="B199" s="79" t="s">
        <v>528</v>
      </c>
      <c r="C199" s="207" t="s">
        <v>420</v>
      </c>
      <c r="D199" s="208" t="s">
        <v>555</v>
      </c>
      <c r="E199" s="79" t="s">
        <v>528</v>
      </c>
      <c r="F199" s="79" t="s">
        <v>528</v>
      </c>
      <c r="G199" s="79" t="s">
        <v>528</v>
      </c>
      <c r="H199" s="217">
        <v>6.26</v>
      </c>
      <c r="I199" s="200">
        <v>29.24</v>
      </c>
      <c r="J199" s="200">
        <v>64.5</v>
      </c>
      <c r="K199" s="200">
        <v>9.61</v>
      </c>
      <c r="L199" s="200">
        <v>16.66</v>
      </c>
      <c r="M199" s="239"/>
      <c r="N199" s="236"/>
      <c r="O199" s="236"/>
      <c r="P199" s="236"/>
      <c r="Q199" s="236"/>
      <c r="R199" s="242"/>
      <c r="S199" s="243"/>
      <c r="T199" s="239"/>
    </row>
    <row r="200" spans="1:20">
      <c r="A200" s="208" t="s">
        <v>418</v>
      </c>
      <c r="B200" s="79" t="s">
        <v>528</v>
      </c>
      <c r="C200" s="207" t="s">
        <v>349</v>
      </c>
      <c r="D200" s="208" t="s">
        <v>556</v>
      </c>
      <c r="E200" s="79" t="s">
        <v>528</v>
      </c>
      <c r="F200" s="79" t="s">
        <v>528</v>
      </c>
      <c r="G200" s="79" t="s">
        <v>528</v>
      </c>
      <c r="H200" s="217">
        <v>4.6900000000000004</v>
      </c>
      <c r="I200" s="200">
        <v>21.08</v>
      </c>
      <c r="J200" s="200">
        <v>74.239999999999995</v>
      </c>
      <c r="K200" s="200">
        <v>8.98</v>
      </c>
      <c r="L200" s="200">
        <v>17.82</v>
      </c>
      <c r="M200" s="239"/>
      <c r="N200" s="236"/>
      <c r="O200" s="236"/>
      <c r="P200" s="236"/>
      <c r="Q200" s="236"/>
      <c r="R200" s="242"/>
      <c r="S200" s="243"/>
      <c r="T200" s="239"/>
    </row>
    <row r="201" spans="1:20">
      <c r="A201" s="67" t="s">
        <v>434</v>
      </c>
      <c r="B201" s="79" t="s">
        <v>528</v>
      </c>
      <c r="C201" s="207" t="s">
        <v>349</v>
      </c>
      <c r="D201" s="208" t="s">
        <v>557</v>
      </c>
      <c r="E201" s="79" t="s">
        <v>528</v>
      </c>
      <c r="F201" s="79" t="s">
        <v>528</v>
      </c>
      <c r="G201" s="79" t="s">
        <v>528</v>
      </c>
      <c r="H201" s="217">
        <v>10.84</v>
      </c>
      <c r="I201" s="200">
        <v>17.66</v>
      </c>
      <c r="J201" s="200">
        <v>71.510000000000005</v>
      </c>
      <c r="K201" s="200">
        <v>8.4600000000000009</v>
      </c>
      <c r="L201" s="200">
        <v>18.57</v>
      </c>
      <c r="M201" s="239"/>
      <c r="N201" s="236"/>
      <c r="O201" s="236"/>
      <c r="P201" s="236"/>
      <c r="Q201" s="236"/>
      <c r="R201" s="242"/>
      <c r="S201" s="243"/>
      <c r="T201" s="239"/>
    </row>
    <row r="202" spans="1:20">
      <c r="A202" s="67" t="s">
        <v>434</v>
      </c>
      <c r="B202" s="79" t="s">
        <v>528</v>
      </c>
      <c r="C202" s="207" t="s">
        <v>349</v>
      </c>
      <c r="D202" s="206" t="s">
        <v>558</v>
      </c>
      <c r="E202" s="79" t="s">
        <v>528</v>
      </c>
      <c r="F202" s="79" t="s">
        <v>528</v>
      </c>
      <c r="G202" s="79" t="s">
        <v>528</v>
      </c>
      <c r="H202" s="217">
        <v>1.43</v>
      </c>
      <c r="I202" s="200">
        <v>21.46</v>
      </c>
      <c r="J202" s="200">
        <v>77.11</v>
      </c>
      <c r="K202" s="200">
        <v>5.67</v>
      </c>
      <c r="L202" s="200">
        <v>21.85</v>
      </c>
      <c r="M202" s="239"/>
      <c r="N202" s="236"/>
      <c r="O202" s="236"/>
      <c r="P202" s="236"/>
      <c r="Q202" s="236"/>
      <c r="R202" s="242"/>
      <c r="S202" s="243"/>
      <c r="T202" s="239"/>
    </row>
    <row r="203" spans="1:20">
      <c r="A203" s="208" t="s">
        <v>442</v>
      </c>
      <c r="B203" s="79" t="s">
        <v>528</v>
      </c>
      <c r="C203" s="207" t="s">
        <v>349</v>
      </c>
      <c r="D203" s="208" t="s">
        <v>559</v>
      </c>
      <c r="E203" s="79" t="s">
        <v>528</v>
      </c>
      <c r="F203" s="79" t="s">
        <v>528</v>
      </c>
      <c r="G203" s="79" t="s">
        <v>528</v>
      </c>
      <c r="H203" s="217">
        <v>4.88</v>
      </c>
      <c r="I203" s="200">
        <v>20.059999999999999</v>
      </c>
      <c r="J203" s="200">
        <v>75.06</v>
      </c>
      <c r="K203" s="200">
        <v>4.41</v>
      </c>
      <c r="L203" s="200">
        <v>20.34</v>
      </c>
      <c r="M203" s="239"/>
      <c r="N203" s="236"/>
      <c r="O203" s="236"/>
      <c r="P203" s="236"/>
      <c r="Q203" s="236"/>
      <c r="R203" s="242"/>
      <c r="S203" s="243"/>
      <c r="T203" s="239"/>
    </row>
    <row r="204" spans="1:20">
      <c r="A204" s="208" t="s">
        <v>442</v>
      </c>
      <c r="B204" s="79" t="s">
        <v>528</v>
      </c>
      <c r="C204" s="207" t="s">
        <v>349</v>
      </c>
      <c r="D204" s="208" t="s">
        <v>560</v>
      </c>
      <c r="E204" s="79" t="s">
        <v>528</v>
      </c>
      <c r="F204" s="79" t="s">
        <v>528</v>
      </c>
      <c r="G204" s="79" t="s">
        <v>528</v>
      </c>
      <c r="H204" s="217">
        <v>4.09</v>
      </c>
      <c r="I204" s="200">
        <v>21.22</v>
      </c>
      <c r="J204" s="200">
        <v>74.69</v>
      </c>
      <c r="K204" s="200">
        <v>3.83</v>
      </c>
      <c r="L204" s="200">
        <v>19.170000000000002</v>
      </c>
      <c r="M204" s="239"/>
      <c r="N204" s="236"/>
      <c r="O204" s="236"/>
      <c r="P204" s="236"/>
      <c r="Q204" s="236"/>
      <c r="R204" s="242"/>
      <c r="S204" s="243"/>
      <c r="T204" s="239"/>
    </row>
    <row r="205" spans="1:20">
      <c r="A205" s="208" t="s">
        <v>450</v>
      </c>
      <c r="B205" s="79" t="s">
        <v>528</v>
      </c>
      <c r="C205" s="207" t="s">
        <v>349</v>
      </c>
      <c r="D205" s="208" t="s">
        <v>561</v>
      </c>
      <c r="E205" s="79" t="s">
        <v>528</v>
      </c>
      <c r="F205" s="79" t="s">
        <v>528</v>
      </c>
      <c r="G205" s="79" t="s">
        <v>528</v>
      </c>
      <c r="H205" s="217">
        <v>3.19</v>
      </c>
      <c r="I205" s="200">
        <v>15.79</v>
      </c>
      <c r="J205" s="200">
        <v>81.02</v>
      </c>
      <c r="K205" s="200">
        <v>4.42</v>
      </c>
      <c r="L205" s="200">
        <v>21.95</v>
      </c>
      <c r="M205" s="239"/>
      <c r="N205" s="236"/>
      <c r="O205" s="236"/>
      <c r="P205" s="236"/>
      <c r="Q205" s="236"/>
      <c r="R205" s="242"/>
      <c r="S205" s="243"/>
      <c r="T205" s="239"/>
    </row>
    <row r="206" spans="1:20">
      <c r="A206" s="208" t="s">
        <v>450</v>
      </c>
      <c r="B206" s="79" t="s">
        <v>528</v>
      </c>
      <c r="C206" s="207" t="s">
        <v>349</v>
      </c>
      <c r="D206" s="208" t="s">
        <v>562</v>
      </c>
      <c r="E206" s="79" t="s">
        <v>528</v>
      </c>
      <c r="F206" s="79" t="s">
        <v>528</v>
      </c>
      <c r="G206" s="79" t="s">
        <v>528</v>
      </c>
      <c r="H206" s="217">
        <v>11.34</v>
      </c>
      <c r="I206" s="200">
        <v>22.15</v>
      </c>
      <c r="J206" s="200">
        <v>66.510000000000005</v>
      </c>
      <c r="K206" s="200">
        <v>5.8</v>
      </c>
      <c r="L206" s="200">
        <v>21.52</v>
      </c>
      <c r="M206" s="239"/>
      <c r="N206" s="236"/>
      <c r="O206" s="236"/>
      <c r="P206" s="236"/>
      <c r="Q206" s="236"/>
      <c r="R206" s="242"/>
      <c r="S206" s="243"/>
      <c r="T206" s="239"/>
    </row>
    <row r="207" spans="1:20">
      <c r="A207" s="207" t="s">
        <v>452</v>
      </c>
      <c r="B207" s="79" t="s">
        <v>528</v>
      </c>
      <c r="C207" s="207" t="s">
        <v>349</v>
      </c>
      <c r="D207" s="207" t="s">
        <v>563</v>
      </c>
      <c r="E207" s="79" t="s">
        <v>528</v>
      </c>
      <c r="F207" s="79" t="s">
        <v>528</v>
      </c>
      <c r="G207" s="79" t="s">
        <v>528</v>
      </c>
      <c r="H207" s="217">
        <v>7.28</v>
      </c>
      <c r="I207" s="200">
        <v>16.87</v>
      </c>
      <c r="J207" s="200">
        <v>75.849999999999994</v>
      </c>
      <c r="K207" s="200">
        <v>3.87</v>
      </c>
      <c r="L207" s="200">
        <v>13.75</v>
      </c>
      <c r="M207" s="239"/>
      <c r="N207" s="236"/>
      <c r="O207" s="236"/>
      <c r="P207" s="236"/>
      <c r="Q207" s="236"/>
      <c r="R207" s="242"/>
      <c r="S207" s="243"/>
      <c r="T207" s="239"/>
    </row>
    <row r="208" spans="1:20">
      <c r="A208" s="208" t="s">
        <v>454</v>
      </c>
      <c r="B208" s="79" t="s">
        <v>528</v>
      </c>
      <c r="C208" s="207" t="s">
        <v>456</v>
      </c>
      <c r="D208" s="208" t="s">
        <v>564</v>
      </c>
      <c r="E208" s="79" t="s">
        <v>528</v>
      </c>
      <c r="F208" s="79" t="s">
        <v>528</v>
      </c>
      <c r="G208" s="79" t="s">
        <v>528</v>
      </c>
      <c r="H208" s="217">
        <v>1.22</v>
      </c>
      <c r="I208" s="200">
        <v>19.21</v>
      </c>
      <c r="J208" s="200">
        <v>79.569999999999993</v>
      </c>
      <c r="K208" s="200">
        <v>7.64</v>
      </c>
      <c r="L208" s="200">
        <v>21.3</v>
      </c>
      <c r="M208" s="239"/>
      <c r="N208" s="236"/>
      <c r="O208" s="236"/>
      <c r="P208" s="236"/>
      <c r="Q208" s="236"/>
      <c r="R208" s="242"/>
      <c r="S208" s="243"/>
      <c r="T208" s="239"/>
    </row>
    <row r="209" spans="1:20">
      <c r="A209" s="208" t="s">
        <v>507</v>
      </c>
      <c r="B209" s="79" t="s">
        <v>528</v>
      </c>
      <c r="C209" s="207" t="s">
        <v>349</v>
      </c>
      <c r="D209" s="208" t="s">
        <v>565</v>
      </c>
      <c r="E209" s="79" t="s">
        <v>528</v>
      </c>
      <c r="F209" s="79" t="s">
        <v>528</v>
      </c>
      <c r="G209" s="79" t="s">
        <v>528</v>
      </c>
      <c r="H209" s="217">
        <v>1.59</v>
      </c>
      <c r="I209" s="200">
        <v>19.7</v>
      </c>
      <c r="J209" s="200">
        <v>78.709999999999994</v>
      </c>
      <c r="K209" s="200">
        <v>5.92</v>
      </c>
      <c r="L209" s="200">
        <v>19.39</v>
      </c>
      <c r="M209" s="239"/>
      <c r="N209" s="236"/>
      <c r="O209" s="236"/>
      <c r="P209" s="236"/>
      <c r="Q209" s="236"/>
      <c r="R209" s="242"/>
      <c r="S209" s="243"/>
      <c r="T209" s="239"/>
    </row>
    <row r="210" spans="1:20">
      <c r="A210" s="209" t="s">
        <v>509</v>
      </c>
      <c r="B210" s="79" t="s">
        <v>528</v>
      </c>
      <c r="C210" s="219" t="s">
        <v>349</v>
      </c>
      <c r="D210" s="209" t="s">
        <v>566</v>
      </c>
      <c r="E210" s="79" t="s">
        <v>528</v>
      </c>
      <c r="F210" s="79" t="s">
        <v>528</v>
      </c>
      <c r="G210" s="79" t="s">
        <v>528</v>
      </c>
      <c r="H210" s="217">
        <v>8.3000000000000007</v>
      </c>
      <c r="I210" s="200">
        <v>15.83</v>
      </c>
      <c r="J210" s="200">
        <v>75.87</v>
      </c>
      <c r="K210" s="200">
        <v>6.96</v>
      </c>
      <c r="L210" s="200">
        <v>22.59</v>
      </c>
      <c r="M210" s="239"/>
      <c r="N210" s="236"/>
      <c r="O210" s="236"/>
      <c r="P210" s="236"/>
      <c r="Q210" s="236"/>
      <c r="R210" s="242"/>
      <c r="S210" s="243"/>
      <c r="T210" s="239"/>
    </row>
    <row r="211" spans="1:20">
      <c r="A211" s="208" t="s">
        <v>511</v>
      </c>
      <c r="B211" s="79" t="s">
        <v>528</v>
      </c>
      <c r="C211" s="207" t="s">
        <v>349</v>
      </c>
      <c r="D211" s="208" t="s">
        <v>567</v>
      </c>
      <c r="E211" s="79" t="s">
        <v>528</v>
      </c>
      <c r="F211" s="79" t="s">
        <v>528</v>
      </c>
      <c r="G211" s="79" t="s">
        <v>528</v>
      </c>
      <c r="H211" s="217">
        <v>7.4</v>
      </c>
      <c r="I211" s="200">
        <v>16.89</v>
      </c>
      <c r="J211" s="200">
        <v>75.7</v>
      </c>
      <c r="K211" s="200">
        <v>8.5299999999999994</v>
      </c>
      <c r="L211" s="200">
        <v>15.69</v>
      </c>
      <c r="M211" s="239"/>
      <c r="N211" s="236"/>
      <c r="O211" s="236"/>
      <c r="P211" s="236"/>
      <c r="Q211" s="236"/>
      <c r="R211" s="242"/>
      <c r="S211" s="243"/>
      <c r="T211" s="239"/>
    </row>
    <row r="212" spans="1:20">
      <c r="A212" s="231"/>
      <c r="B212" s="232"/>
      <c r="C212" s="233"/>
      <c r="D212" s="234"/>
      <c r="E212" s="235"/>
      <c r="F212" s="232"/>
      <c r="G212" s="232"/>
      <c r="H212" s="236"/>
      <c r="I212" s="237"/>
      <c r="J212" s="237"/>
      <c r="K212" s="240"/>
      <c r="L212" s="241"/>
      <c r="M212" s="239"/>
      <c r="N212" s="236"/>
      <c r="O212" s="236"/>
      <c r="P212" s="236"/>
      <c r="Q212" s="236"/>
      <c r="R212" s="242"/>
      <c r="S212" s="243"/>
      <c r="T212" s="239"/>
    </row>
    <row r="213" spans="1:20">
      <c r="A213" s="231"/>
      <c r="B213" s="232"/>
      <c r="C213" s="233"/>
      <c r="D213" s="234"/>
      <c r="E213" s="235"/>
      <c r="F213" s="232"/>
      <c r="G213" s="232"/>
      <c r="H213" s="236"/>
      <c r="I213" s="237"/>
      <c r="J213" s="237"/>
      <c r="K213" s="240"/>
      <c r="L213" s="241"/>
      <c r="M213" s="239"/>
      <c r="N213" s="236"/>
      <c r="O213" s="236"/>
      <c r="P213" s="236"/>
      <c r="Q213" s="236"/>
      <c r="R213" s="242"/>
      <c r="S213" s="243"/>
      <c r="T213" s="239"/>
    </row>
    <row r="214" spans="1:20">
      <c r="F214" s="43" t="s">
        <v>289</v>
      </c>
      <c r="G214" s="106" t="s">
        <v>215</v>
      </c>
    </row>
    <row r="215" spans="1:20">
      <c r="A215" s="109" t="s">
        <v>606</v>
      </c>
      <c r="F215" s="43" t="s">
        <v>290</v>
      </c>
      <c r="G215" s="178" t="s">
        <v>28</v>
      </c>
    </row>
    <row r="216" spans="1:20" ht="25.5">
      <c r="F216" s="64" t="s">
        <v>294</v>
      </c>
      <c r="G216" s="178" t="s">
        <v>317</v>
      </c>
    </row>
    <row r="217" spans="1:20" ht="51">
      <c r="A217" s="226" t="s">
        <v>320</v>
      </c>
      <c r="B217" s="43" t="s">
        <v>321</v>
      </c>
      <c r="C217" s="225" t="s">
        <v>322</v>
      </c>
      <c r="D217" s="78" t="s">
        <v>569</v>
      </c>
      <c r="E217" s="77" t="s">
        <v>570</v>
      </c>
      <c r="F217" s="226" t="s">
        <v>571</v>
      </c>
      <c r="G217" s="80" t="s">
        <v>216</v>
      </c>
    </row>
    <row r="218" spans="1:20" ht="25.5">
      <c r="A218" s="223" t="s">
        <v>347</v>
      </c>
      <c r="B218" s="79" t="s">
        <v>528</v>
      </c>
      <c r="C218" s="223" t="s">
        <v>349</v>
      </c>
      <c r="D218" s="224" t="s">
        <v>572</v>
      </c>
      <c r="E218" s="224" t="s">
        <v>573</v>
      </c>
      <c r="F218" s="222">
        <v>1031</v>
      </c>
      <c r="G218" s="218" t="s">
        <v>352</v>
      </c>
    </row>
    <row r="219" spans="1:20">
      <c r="A219" s="190" t="s">
        <v>360</v>
      </c>
      <c r="B219" s="79" t="s">
        <v>528</v>
      </c>
      <c r="C219" s="190" t="s">
        <v>349</v>
      </c>
      <c r="D219" s="221" t="s">
        <v>360</v>
      </c>
      <c r="E219" s="221" t="s">
        <v>360</v>
      </c>
      <c r="F219" s="195">
        <v>2003</v>
      </c>
      <c r="G219" s="218" t="s">
        <v>352</v>
      </c>
    </row>
    <row r="220" spans="1:20">
      <c r="A220" s="190" t="s">
        <v>360</v>
      </c>
      <c r="B220" s="79" t="s">
        <v>528</v>
      </c>
      <c r="C220" s="190" t="s">
        <v>349</v>
      </c>
      <c r="D220" s="221" t="s">
        <v>362</v>
      </c>
      <c r="E220" s="221" t="s">
        <v>362</v>
      </c>
      <c r="F220" s="195">
        <v>2005</v>
      </c>
      <c r="G220" s="218" t="s">
        <v>352</v>
      </c>
    </row>
    <row r="221" spans="1:20">
      <c r="A221" s="190" t="s">
        <v>363</v>
      </c>
      <c r="B221" s="79" t="s">
        <v>528</v>
      </c>
      <c r="C221" s="190" t="s">
        <v>349</v>
      </c>
      <c r="D221" s="221" t="s">
        <v>364</v>
      </c>
      <c r="E221" s="221" t="s">
        <v>364</v>
      </c>
      <c r="F221" s="195">
        <v>3018</v>
      </c>
      <c r="G221" s="218" t="s">
        <v>352</v>
      </c>
    </row>
    <row r="222" spans="1:20">
      <c r="A222" s="190" t="s">
        <v>363</v>
      </c>
      <c r="B222" s="79" t="s">
        <v>528</v>
      </c>
      <c r="C222" s="190" t="s">
        <v>349</v>
      </c>
      <c r="D222" s="221" t="s">
        <v>366</v>
      </c>
      <c r="E222" s="221" t="s">
        <v>366</v>
      </c>
      <c r="F222" s="195">
        <v>3064</v>
      </c>
      <c r="G222" s="218" t="s">
        <v>352</v>
      </c>
    </row>
    <row r="223" spans="1:20">
      <c r="A223" s="190" t="s">
        <v>363</v>
      </c>
      <c r="B223" s="79" t="s">
        <v>528</v>
      </c>
      <c r="C223" s="190" t="s">
        <v>349</v>
      </c>
      <c r="D223" s="221" t="s">
        <v>368</v>
      </c>
      <c r="E223" s="221" t="s">
        <v>368</v>
      </c>
      <c r="F223" s="195">
        <v>3068</v>
      </c>
      <c r="G223" s="218" t="s">
        <v>352</v>
      </c>
    </row>
    <row r="224" spans="1:20" ht="25.5">
      <c r="A224" s="190" t="s">
        <v>369</v>
      </c>
      <c r="B224" s="79" t="s">
        <v>528</v>
      </c>
      <c r="C224" s="190" t="s">
        <v>349</v>
      </c>
      <c r="D224" s="221" t="s">
        <v>574</v>
      </c>
      <c r="E224" s="221" t="s">
        <v>575</v>
      </c>
      <c r="F224" s="195">
        <v>4107</v>
      </c>
      <c r="G224" s="218" t="s">
        <v>352</v>
      </c>
    </row>
    <row r="225" spans="1:7">
      <c r="A225" s="190" t="s">
        <v>369</v>
      </c>
      <c r="B225" s="79" t="s">
        <v>528</v>
      </c>
      <c r="C225" s="190" t="s">
        <v>349</v>
      </c>
      <c r="D225" s="221" t="s">
        <v>374</v>
      </c>
      <c r="E225" s="221" t="s">
        <v>374</v>
      </c>
      <c r="F225" s="195">
        <v>4144</v>
      </c>
      <c r="G225" s="218" t="s">
        <v>352</v>
      </c>
    </row>
    <row r="226" spans="1:7">
      <c r="A226" s="190" t="s">
        <v>375</v>
      </c>
      <c r="B226" s="79" t="s">
        <v>528</v>
      </c>
      <c r="C226" s="190" t="s">
        <v>349</v>
      </c>
      <c r="D226" s="221" t="s">
        <v>377</v>
      </c>
      <c r="E226" s="221" t="s">
        <v>377</v>
      </c>
      <c r="F226" s="195">
        <v>5006</v>
      </c>
      <c r="G226" s="218" t="s">
        <v>352</v>
      </c>
    </row>
    <row r="227" spans="1:7" ht="38.25">
      <c r="A227" s="190" t="s">
        <v>375</v>
      </c>
      <c r="B227" s="79" t="s">
        <v>528</v>
      </c>
      <c r="C227" s="190" t="s">
        <v>376</v>
      </c>
      <c r="D227" s="221" t="s">
        <v>576</v>
      </c>
      <c r="E227" s="221" t="s">
        <v>376</v>
      </c>
      <c r="F227" s="195">
        <v>5025</v>
      </c>
      <c r="G227" s="218" t="s">
        <v>352</v>
      </c>
    </row>
    <row r="228" spans="1:7">
      <c r="A228" s="190" t="s">
        <v>375</v>
      </c>
      <c r="B228" s="79" t="s">
        <v>528</v>
      </c>
      <c r="C228" s="190" t="s">
        <v>349</v>
      </c>
      <c r="D228" s="221" t="s">
        <v>398</v>
      </c>
      <c r="E228" s="221" t="s">
        <v>398</v>
      </c>
      <c r="F228" s="195">
        <v>5044</v>
      </c>
      <c r="G228" s="218" t="s">
        <v>352</v>
      </c>
    </row>
    <row r="229" spans="1:7" ht="25.5">
      <c r="A229" s="190" t="s">
        <v>375</v>
      </c>
      <c r="B229" s="79" t="s">
        <v>528</v>
      </c>
      <c r="C229" s="190" t="s">
        <v>349</v>
      </c>
      <c r="D229" s="221" t="s">
        <v>577</v>
      </c>
      <c r="E229" s="221" t="s">
        <v>578</v>
      </c>
      <c r="F229" s="195">
        <v>5049</v>
      </c>
      <c r="G229" s="218" t="s">
        <v>352</v>
      </c>
    </row>
    <row r="230" spans="1:7">
      <c r="A230" s="190" t="s">
        <v>375</v>
      </c>
      <c r="B230" s="79" t="s">
        <v>528</v>
      </c>
      <c r="C230" s="190" t="s">
        <v>349</v>
      </c>
      <c r="D230" s="221" t="s">
        <v>579</v>
      </c>
      <c r="E230" s="221" t="s">
        <v>399</v>
      </c>
      <c r="F230" s="195">
        <v>5059</v>
      </c>
      <c r="G230" s="218" t="s">
        <v>352</v>
      </c>
    </row>
    <row r="231" spans="1:7">
      <c r="A231" s="190" t="s">
        <v>375</v>
      </c>
      <c r="B231" s="79" t="s">
        <v>528</v>
      </c>
      <c r="C231" s="190" t="s">
        <v>349</v>
      </c>
      <c r="D231" s="221" t="s">
        <v>379</v>
      </c>
      <c r="E231" s="221" t="s">
        <v>379</v>
      </c>
      <c r="F231" s="195">
        <v>5069</v>
      </c>
      <c r="G231" s="218" t="s">
        <v>352</v>
      </c>
    </row>
    <row r="232" spans="1:7" ht="38.25">
      <c r="A232" s="190" t="s">
        <v>375</v>
      </c>
      <c r="B232" s="79" t="s">
        <v>528</v>
      </c>
      <c r="C232" s="190" t="s">
        <v>349</v>
      </c>
      <c r="D232" s="221" t="s">
        <v>580</v>
      </c>
      <c r="E232" s="221" t="s">
        <v>581</v>
      </c>
      <c r="F232" s="195">
        <v>5074</v>
      </c>
      <c r="G232" s="218" t="s">
        <v>352</v>
      </c>
    </row>
    <row r="233" spans="1:7">
      <c r="A233" s="190" t="s">
        <v>375</v>
      </c>
      <c r="B233" s="79" t="s">
        <v>528</v>
      </c>
      <c r="C233" s="190" t="s">
        <v>349</v>
      </c>
      <c r="D233" s="221" t="s">
        <v>380</v>
      </c>
      <c r="E233" s="221" t="s">
        <v>380</v>
      </c>
      <c r="F233" s="195">
        <v>5077</v>
      </c>
      <c r="G233" s="218" t="s">
        <v>352</v>
      </c>
    </row>
    <row r="234" spans="1:7" ht="38.25">
      <c r="A234" s="190" t="s">
        <v>375</v>
      </c>
      <c r="B234" s="79" t="s">
        <v>528</v>
      </c>
      <c r="C234" s="190" t="s">
        <v>349</v>
      </c>
      <c r="D234" s="221" t="s">
        <v>582</v>
      </c>
      <c r="E234" s="221" t="s">
        <v>583</v>
      </c>
      <c r="F234" s="195">
        <v>5080</v>
      </c>
      <c r="G234" s="218" t="s">
        <v>352</v>
      </c>
    </row>
    <row r="235" spans="1:7">
      <c r="A235" s="190" t="s">
        <v>375</v>
      </c>
      <c r="B235" s="79" t="s">
        <v>528</v>
      </c>
      <c r="C235" s="190" t="s">
        <v>349</v>
      </c>
      <c r="D235" s="221" t="s">
        <v>384</v>
      </c>
      <c r="E235" s="221" t="s">
        <v>384</v>
      </c>
      <c r="F235" s="195">
        <v>5081</v>
      </c>
      <c r="G235" s="218" t="s">
        <v>352</v>
      </c>
    </row>
    <row r="236" spans="1:7">
      <c r="A236" s="190" t="s">
        <v>375</v>
      </c>
      <c r="B236" s="79" t="s">
        <v>528</v>
      </c>
      <c r="C236" s="190" t="s">
        <v>349</v>
      </c>
      <c r="D236" s="221" t="s">
        <v>395</v>
      </c>
      <c r="E236" s="221" t="s">
        <v>395</v>
      </c>
      <c r="F236" s="195">
        <v>5082</v>
      </c>
      <c r="G236" s="218" t="s">
        <v>352</v>
      </c>
    </row>
    <row r="237" spans="1:7">
      <c r="A237" s="190" t="s">
        <v>375</v>
      </c>
      <c r="B237" s="79" t="s">
        <v>528</v>
      </c>
      <c r="C237" s="190" t="s">
        <v>349</v>
      </c>
      <c r="D237" s="221" t="s">
        <v>393</v>
      </c>
      <c r="E237" s="221" t="s">
        <v>393</v>
      </c>
      <c r="F237" s="195">
        <v>5091</v>
      </c>
      <c r="G237" s="218" t="s">
        <v>352</v>
      </c>
    </row>
    <row r="238" spans="1:7" ht="38.25">
      <c r="A238" s="190" t="s">
        <v>401</v>
      </c>
      <c r="B238" s="79" t="s">
        <v>528</v>
      </c>
      <c r="C238" s="190" t="s">
        <v>349</v>
      </c>
      <c r="D238" s="221" t="s">
        <v>584</v>
      </c>
      <c r="E238" s="221" t="s">
        <v>585</v>
      </c>
      <c r="F238" s="195">
        <v>6089</v>
      </c>
      <c r="G238" s="218" t="s">
        <v>352</v>
      </c>
    </row>
    <row r="239" spans="1:7">
      <c r="A239" s="190" t="s">
        <v>401</v>
      </c>
      <c r="B239" s="79" t="s">
        <v>528</v>
      </c>
      <c r="C239" s="190" t="s">
        <v>349</v>
      </c>
      <c r="D239" s="221" t="s">
        <v>406</v>
      </c>
      <c r="E239" s="221" t="s">
        <v>406</v>
      </c>
      <c r="F239" s="195">
        <v>6092</v>
      </c>
      <c r="G239" s="218" t="s">
        <v>352</v>
      </c>
    </row>
    <row r="240" spans="1:7">
      <c r="A240" s="190" t="s">
        <v>401</v>
      </c>
      <c r="B240" s="79" t="s">
        <v>528</v>
      </c>
      <c r="C240" s="190" t="s">
        <v>349</v>
      </c>
      <c r="D240" s="221" t="s">
        <v>408</v>
      </c>
      <c r="E240" s="221" t="s">
        <v>408</v>
      </c>
      <c r="F240" s="195">
        <v>6099</v>
      </c>
      <c r="G240" s="218" t="s">
        <v>352</v>
      </c>
    </row>
    <row r="241" spans="1:7">
      <c r="A241" s="190" t="s">
        <v>409</v>
      </c>
      <c r="B241" s="79" t="s">
        <v>528</v>
      </c>
      <c r="C241" s="190" t="s">
        <v>349</v>
      </c>
      <c r="D241" s="221" t="s">
        <v>412</v>
      </c>
      <c r="E241" s="221" t="s">
        <v>412</v>
      </c>
      <c r="F241" s="195">
        <v>7016</v>
      </c>
      <c r="G241" s="218" t="s">
        <v>352</v>
      </c>
    </row>
    <row r="242" spans="1:7">
      <c r="A242" s="190" t="s">
        <v>409</v>
      </c>
      <c r="B242" s="79" t="s">
        <v>528</v>
      </c>
      <c r="C242" s="190" t="s">
        <v>349</v>
      </c>
      <c r="D242" s="221" t="s">
        <v>413</v>
      </c>
      <c r="E242" s="221" t="s">
        <v>413</v>
      </c>
      <c r="F242" s="195">
        <v>7024</v>
      </c>
      <c r="G242" s="218" t="s">
        <v>352</v>
      </c>
    </row>
    <row r="243" spans="1:7">
      <c r="A243" s="190" t="s">
        <v>409</v>
      </c>
      <c r="B243" s="79" t="s">
        <v>528</v>
      </c>
      <c r="C243" s="190" t="s">
        <v>349</v>
      </c>
      <c r="D243" s="221" t="s">
        <v>417</v>
      </c>
      <c r="E243" s="221" t="s">
        <v>417</v>
      </c>
      <c r="F243" s="195">
        <v>7055</v>
      </c>
      <c r="G243" s="218" t="s">
        <v>352</v>
      </c>
    </row>
    <row r="244" spans="1:7" ht="25.5">
      <c r="A244" s="190" t="s">
        <v>409</v>
      </c>
      <c r="B244" s="79" t="s">
        <v>528</v>
      </c>
      <c r="C244" s="190" t="s">
        <v>349</v>
      </c>
      <c r="D244" s="221" t="s">
        <v>586</v>
      </c>
      <c r="E244" s="221" t="s">
        <v>409</v>
      </c>
      <c r="F244" s="195">
        <v>7066</v>
      </c>
      <c r="G244" s="218" t="s">
        <v>352</v>
      </c>
    </row>
    <row r="245" spans="1:7">
      <c r="A245" s="190" t="s">
        <v>409</v>
      </c>
      <c r="B245" s="79" t="s">
        <v>528</v>
      </c>
      <c r="C245" s="190" t="s">
        <v>349</v>
      </c>
      <c r="D245" s="221" t="s">
        <v>415</v>
      </c>
      <c r="E245" s="221" t="s">
        <v>415</v>
      </c>
      <c r="F245" s="195">
        <v>7089</v>
      </c>
      <c r="G245" s="218" t="s">
        <v>352</v>
      </c>
    </row>
    <row r="246" spans="1:7">
      <c r="A246" s="190" t="s">
        <v>409</v>
      </c>
      <c r="B246" s="79" t="s">
        <v>528</v>
      </c>
      <c r="C246" s="190" t="s">
        <v>349</v>
      </c>
      <c r="D246" s="221" t="s">
        <v>416</v>
      </c>
      <c r="E246" s="221" t="s">
        <v>416</v>
      </c>
      <c r="F246" s="195">
        <v>7091</v>
      </c>
      <c r="G246" s="218" t="s">
        <v>352</v>
      </c>
    </row>
    <row r="247" spans="1:7">
      <c r="A247" s="190" t="s">
        <v>409</v>
      </c>
      <c r="B247" s="79" t="s">
        <v>528</v>
      </c>
      <c r="C247" s="190" t="s">
        <v>349</v>
      </c>
      <c r="D247" s="221" t="s">
        <v>587</v>
      </c>
      <c r="E247" s="221" t="s">
        <v>588</v>
      </c>
      <c r="F247" s="195">
        <v>7110</v>
      </c>
      <c r="G247" s="218" t="s">
        <v>352</v>
      </c>
    </row>
    <row r="248" spans="1:7" ht="25.5">
      <c r="A248" s="190" t="s">
        <v>418</v>
      </c>
      <c r="B248" s="79" t="s">
        <v>528</v>
      </c>
      <c r="C248" s="190" t="s">
        <v>420</v>
      </c>
      <c r="D248" s="221" t="s">
        <v>589</v>
      </c>
      <c r="E248" s="221" t="s">
        <v>420</v>
      </c>
      <c r="F248" s="195">
        <v>8025</v>
      </c>
      <c r="G248" s="218" t="s">
        <v>352</v>
      </c>
    </row>
    <row r="249" spans="1:7">
      <c r="A249" s="190" t="s">
        <v>418</v>
      </c>
      <c r="B249" s="79" t="s">
        <v>528</v>
      </c>
      <c r="C249" s="190" t="s">
        <v>349</v>
      </c>
      <c r="D249" s="221" t="s">
        <v>423</v>
      </c>
      <c r="E249" s="221" t="s">
        <v>423</v>
      </c>
      <c r="F249" s="195">
        <v>8026</v>
      </c>
      <c r="G249" s="218" t="s">
        <v>352</v>
      </c>
    </row>
    <row r="250" spans="1:7">
      <c r="A250" s="190" t="s">
        <v>418</v>
      </c>
      <c r="B250" s="79" t="s">
        <v>528</v>
      </c>
      <c r="C250" s="190" t="s">
        <v>349</v>
      </c>
      <c r="D250" s="221" t="s">
        <v>432</v>
      </c>
      <c r="E250" s="221" t="s">
        <v>432</v>
      </c>
      <c r="F250" s="195">
        <v>8036</v>
      </c>
      <c r="G250" s="218" t="s">
        <v>352</v>
      </c>
    </row>
    <row r="251" spans="1:7">
      <c r="A251" s="190" t="s">
        <v>418</v>
      </c>
      <c r="B251" s="79" t="s">
        <v>528</v>
      </c>
      <c r="C251" s="190" t="s">
        <v>349</v>
      </c>
      <c r="D251" s="221" t="s">
        <v>424</v>
      </c>
      <c r="E251" s="221" t="s">
        <v>424</v>
      </c>
      <c r="F251" s="195">
        <v>8037</v>
      </c>
      <c r="G251" s="218" t="s">
        <v>352</v>
      </c>
    </row>
    <row r="252" spans="1:7">
      <c r="A252" s="190" t="s">
        <v>418</v>
      </c>
      <c r="B252" s="79" t="s">
        <v>528</v>
      </c>
      <c r="C252" s="190" t="s">
        <v>349</v>
      </c>
      <c r="D252" s="221" t="s">
        <v>433</v>
      </c>
      <c r="E252" s="221" t="s">
        <v>433</v>
      </c>
      <c r="F252" s="195">
        <v>8042</v>
      </c>
      <c r="G252" s="218" t="s">
        <v>352</v>
      </c>
    </row>
    <row r="253" spans="1:7">
      <c r="A253" s="190" t="s">
        <v>418</v>
      </c>
      <c r="B253" s="79" t="s">
        <v>528</v>
      </c>
      <c r="C253" s="190" t="s">
        <v>349</v>
      </c>
      <c r="D253" s="221" t="s">
        <v>427</v>
      </c>
      <c r="E253" s="221" t="s">
        <v>427</v>
      </c>
      <c r="F253" s="195">
        <v>8068</v>
      </c>
      <c r="G253" s="218" t="s">
        <v>352</v>
      </c>
    </row>
    <row r="254" spans="1:7">
      <c r="A254" s="190" t="s">
        <v>418</v>
      </c>
      <c r="B254" s="79" t="s">
        <v>528</v>
      </c>
      <c r="C254" s="190" t="s">
        <v>349</v>
      </c>
      <c r="D254" s="221" t="s">
        <v>429</v>
      </c>
      <c r="E254" s="221" t="s">
        <v>429</v>
      </c>
      <c r="F254" s="195">
        <v>8072</v>
      </c>
      <c r="G254" s="218" t="s">
        <v>352</v>
      </c>
    </row>
    <row r="255" spans="1:7">
      <c r="A255" s="190" t="s">
        <v>590</v>
      </c>
      <c r="B255" s="79" t="s">
        <v>528</v>
      </c>
      <c r="C255" s="190" t="s">
        <v>349</v>
      </c>
      <c r="D255" s="221" t="s">
        <v>441</v>
      </c>
      <c r="E255" s="221" t="s">
        <v>441</v>
      </c>
      <c r="F255" s="195">
        <v>9001</v>
      </c>
      <c r="G255" s="218" t="s">
        <v>352</v>
      </c>
    </row>
    <row r="256" spans="1:7" ht="25.5">
      <c r="A256" s="190" t="s">
        <v>590</v>
      </c>
      <c r="B256" s="79" t="s">
        <v>528</v>
      </c>
      <c r="C256" s="190" t="s">
        <v>349</v>
      </c>
      <c r="D256" s="221" t="s">
        <v>591</v>
      </c>
      <c r="E256" s="221" t="s">
        <v>592</v>
      </c>
      <c r="F256" s="195">
        <v>9068</v>
      </c>
      <c r="G256" s="218" t="s">
        <v>352</v>
      </c>
    </row>
    <row r="257" spans="1:7">
      <c r="A257" s="190" t="s">
        <v>590</v>
      </c>
      <c r="B257" s="79" t="s">
        <v>528</v>
      </c>
      <c r="C257" s="190" t="s">
        <v>349</v>
      </c>
      <c r="D257" s="221" t="s">
        <v>439</v>
      </c>
      <c r="E257" s="221" t="s">
        <v>439</v>
      </c>
      <c r="F257" s="195">
        <v>9081</v>
      </c>
      <c r="G257" s="218" t="s">
        <v>352</v>
      </c>
    </row>
    <row r="258" spans="1:7">
      <c r="A258" s="190" t="s">
        <v>442</v>
      </c>
      <c r="B258" s="79" t="s">
        <v>528</v>
      </c>
      <c r="C258" s="190" t="s">
        <v>349</v>
      </c>
      <c r="D258" s="221" t="s">
        <v>448</v>
      </c>
      <c r="E258" s="221" t="s">
        <v>448</v>
      </c>
      <c r="F258" s="195">
        <v>10010</v>
      </c>
      <c r="G258" s="218" t="s">
        <v>352</v>
      </c>
    </row>
    <row r="259" spans="1:7">
      <c r="A259" s="190" t="s">
        <v>442</v>
      </c>
      <c r="B259" s="79" t="s">
        <v>528</v>
      </c>
      <c r="C259" s="190" t="s">
        <v>349</v>
      </c>
      <c r="D259" s="221" t="s">
        <v>449</v>
      </c>
      <c r="E259" s="221" t="s">
        <v>449</v>
      </c>
      <c r="F259" s="195">
        <v>10039</v>
      </c>
      <c r="G259" s="218" t="s">
        <v>352</v>
      </c>
    </row>
    <row r="260" spans="1:7">
      <c r="A260" s="190" t="s">
        <v>442</v>
      </c>
      <c r="B260" s="79" t="s">
        <v>528</v>
      </c>
      <c r="C260" s="190" t="s">
        <v>349</v>
      </c>
      <c r="D260" s="221" t="s">
        <v>445</v>
      </c>
      <c r="E260" s="221" t="s">
        <v>445</v>
      </c>
      <c r="F260" s="195">
        <v>10048</v>
      </c>
      <c r="G260" s="218" t="s">
        <v>352</v>
      </c>
    </row>
    <row r="261" spans="1:7">
      <c r="A261" s="190" t="s">
        <v>442</v>
      </c>
      <c r="B261" s="79" t="s">
        <v>528</v>
      </c>
      <c r="C261" s="190" t="s">
        <v>349</v>
      </c>
      <c r="D261" s="221" t="s">
        <v>446</v>
      </c>
      <c r="E261" s="221" t="s">
        <v>446</v>
      </c>
      <c r="F261" s="195">
        <v>10051</v>
      </c>
      <c r="G261" s="218" t="s">
        <v>352</v>
      </c>
    </row>
    <row r="262" spans="1:7">
      <c r="A262" s="190" t="s">
        <v>450</v>
      </c>
      <c r="B262" s="79" t="s">
        <v>528</v>
      </c>
      <c r="C262" s="190" t="s">
        <v>349</v>
      </c>
      <c r="D262" s="221" t="s">
        <v>451</v>
      </c>
      <c r="E262" s="221" t="s">
        <v>451</v>
      </c>
      <c r="F262" s="195">
        <v>11007</v>
      </c>
      <c r="G262" s="218" t="s">
        <v>352</v>
      </c>
    </row>
    <row r="263" spans="1:7">
      <c r="A263" s="190" t="s">
        <v>452</v>
      </c>
      <c r="B263" s="79" t="s">
        <v>528</v>
      </c>
      <c r="C263" s="190" t="s">
        <v>349</v>
      </c>
      <c r="D263" s="221" t="s">
        <v>453</v>
      </c>
      <c r="E263" s="221" t="s">
        <v>453</v>
      </c>
      <c r="F263" s="195">
        <v>12011</v>
      </c>
      <c r="G263" s="218" t="s">
        <v>352</v>
      </c>
    </row>
    <row r="264" spans="1:7" ht="51">
      <c r="A264" s="190" t="s">
        <v>454</v>
      </c>
      <c r="B264" s="79" t="s">
        <v>528</v>
      </c>
      <c r="C264" s="190" t="s">
        <v>349</v>
      </c>
      <c r="D264" s="221" t="s">
        <v>593</v>
      </c>
      <c r="E264" s="221" t="s">
        <v>594</v>
      </c>
      <c r="F264" s="195">
        <v>13004</v>
      </c>
      <c r="G264" s="218" t="s">
        <v>352</v>
      </c>
    </row>
    <row r="265" spans="1:7">
      <c r="A265" s="190" t="s">
        <v>454</v>
      </c>
      <c r="B265" s="79" t="s">
        <v>528</v>
      </c>
      <c r="C265" s="190" t="s">
        <v>349</v>
      </c>
      <c r="D265" s="221" t="s">
        <v>595</v>
      </c>
      <c r="E265" s="221" t="s">
        <v>596</v>
      </c>
      <c r="F265" s="195">
        <v>13007</v>
      </c>
      <c r="G265" s="218" t="s">
        <v>352</v>
      </c>
    </row>
    <row r="266" spans="1:7" ht="25.5">
      <c r="A266" s="190" t="s">
        <v>454</v>
      </c>
      <c r="B266" s="79" t="s">
        <v>528</v>
      </c>
      <c r="C266" s="190" t="s">
        <v>349</v>
      </c>
      <c r="D266" s="221" t="s">
        <v>597</v>
      </c>
      <c r="E266" s="221" t="s">
        <v>493</v>
      </c>
      <c r="F266" s="195">
        <v>13016</v>
      </c>
      <c r="G266" s="218" t="s">
        <v>352</v>
      </c>
    </row>
    <row r="267" spans="1:7">
      <c r="A267" s="190" t="s">
        <v>454</v>
      </c>
      <c r="B267" s="79" t="s">
        <v>528</v>
      </c>
      <c r="C267" s="190" t="s">
        <v>349</v>
      </c>
      <c r="D267" s="221" t="s">
        <v>503</v>
      </c>
      <c r="E267" s="221" t="s">
        <v>503</v>
      </c>
      <c r="F267" s="195">
        <v>13022</v>
      </c>
      <c r="G267" s="218" t="s">
        <v>352</v>
      </c>
    </row>
    <row r="268" spans="1:7" ht="191.25">
      <c r="A268" s="190" t="s">
        <v>454</v>
      </c>
      <c r="B268" s="79" t="s">
        <v>528</v>
      </c>
      <c r="C268" s="190" t="s">
        <v>456</v>
      </c>
      <c r="D268" s="221" t="s">
        <v>598</v>
      </c>
      <c r="E268" s="221" t="s">
        <v>456</v>
      </c>
      <c r="F268" s="195">
        <v>13029</v>
      </c>
      <c r="G268" s="218" t="s">
        <v>352</v>
      </c>
    </row>
    <row r="269" spans="1:7">
      <c r="A269" s="190" t="s">
        <v>454</v>
      </c>
      <c r="B269" s="79" t="s">
        <v>528</v>
      </c>
      <c r="C269" s="190" t="s">
        <v>349</v>
      </c>
      <c r="D269" s="221" t="s">
        <v>504</v>
      </c>
      <c r="E269" s="221" t="s">
        <v>504</v>
      </c>
      <c r="F269" s="195">
        <v>13033</v>
      </c>
      <c r="G269" s="218" t="s">
        <v>352</v>
      </c>
    </row>
    <row r="270" spans="1:7" ht="25.5">
      <c r="A270" s="190" t="s">
        <v>454</v>
      </c>
      <c r="B270" s="79" t="s">
        <v>528</v>
      </c>
      <c r="C270" s="190" t="s">
        <v>349</v>
      </c>
      <c r="D270" s="221" t="s">
        <v>599</v>
      </c>
      <c r="E270" s="221" t="s">
        <v>494</v>
      </c>
      <c r="F270" s="195">
        <v>13038</v>
      </c>
      <c r="G270" s="218" t="s">
        <v>352</v>
      </c>
    </row>
    <row r="271" spans="1:7">
      <c r="A271" s="190" t="s">
        <v>454</v>
      </c>
      <c r="B271" s="79" t="s">
        <v>528</v>
      </c>
      <c r="C271" s="190" t="s">
        <v>349</v>
      </c>
      <c r="D271" s="221" t="s">
        <v>501</v>
      </c>
      <c r="E271" s="221" t="s">
        <v>501</v>
      </c>
      <c r="F271" s="195">
        <v>13047</v>
      </c>
      <c r="G271" s="218" t="s">
        <v>352</v>
      </c>
    </row>
    <row r="272" spans="1:7">
      <c r="A272" s="190" t="s">
        <v>454</v>
      </c>
      <c r="B272" s="79" t="s">
        <v>528</v>
      </c>
      <c r="C272" s="190" t="s">
        <v>349</v>
      </c>
      <c r="D272" s="221" t="s">
        <v>490</v>
      </c>
      <c r="E272" s="221" t="s">
        <v>490</v>
      </c>
      <c r="F272" s="195">
        <v>13051</v>
      </c>
      <c r="G272" s="218" t="s">
        <v>352</v>
      </c>
    </row>
    <row r="273" spans="1:7" ht="25.5">
      <c r="A273" s="190" t="s">
        <v>454</v>
      </c>
      <c r="B273" s="79" t="s">
        <v>528</v>
      </c>
      <c r="C273" s="190" t="s">
        <v>349</v>
      </c>
      <c r="D273" s="221" t="s">
        <v>491</v>
      </c>
      <c r="E273" s="221" t="s">
        <v>491</v>
      </c>
      <c r="F273" s="195">
        <v>13059</v>
      </c>
      <c r="G273" s="218" t="s">
        <v>352</v>
      </c>
    </row>
    <row r="274" spans="1:7">
      <c r="A274" s="190" t="s">
        <v>454</v>
      </c>
      <c r="B274" s="79" t="s">
        <v>528</v>
      </c>
      <c r="C274" s="190" t="s">
        <v>349</v>
      </c>
      <c r="D274" s="221" t="s">
        <v>495</v>
      </c>
      <c r="E274" s="221" t="s">
        <v>495</v>
      </c>
      <c r="F274" s="195">
        <v>13072</v>
      </c>
      <c r="G274" s="218" t="s">
        <v>352</v>
      </c>
    </row>
    <row r="275" spans="1:7">
      <c r="A275" s="190" t="s">
        <v>507</v>
      </c>
      <c r="B275" s="79" t="s">
        <v>528</v>
      </c>
      <c r="C275" s="190" t="s">
        <v>349</v>
      </c>
      <c r="D275" s="221" t="s">
        <v>508</v>
      </c>
      <c r="E275" s="221" t="s">
        <v>508</v>
      </c>
      <c r="F275" s="195">
        <v>14039</v>
      </c>
      <c r="G275" s="218" t="s">
        <v>352</v>
      </c>
    </row>
    <row r="276" spans="1:7">
      <c r="A276" s="190" t="s">
        <v>509</v>
      </c>
      <c r="B276" s="79" t="s">
        <v>528</v>
      </c>
      <c r="C276" s="190" t="s">
        <v>349</v>
      </c>
      <c r="D276" s="221" t="s">
        <v>510</v>
      </c>
      <c r="E276" s="221" t="s">
        <v>510</v>
      </c>
      <c r="F276" s="195">
        <v>15002</v>
      </c>
      <c r="G276" s="218" t="s">
        <v>352</v>
      </c>
    </row>
    <row r="277" spans="1:7" ht="25.5">
      <c r="A277" s="190" t="s">
        <v>511</v>
      </c>
      <c r="B277" s="79" t="s">
        <v>528</v>
      </c>
      <c r="C277" s="190" t="s">
        <v>349</v>
      </c>
      <c r="D277" s="221" t="s">
        <v>600</v>
      </c>
      <c r="E277" s="221" t="s">
        <v>600</v>
      </c>
      <c r="F277" s="195">
        <v>16006</v>
      </c>
      <c r="G277" s="218" t="s">
        <v>352</v>
      </c>
    </row>
    <row r="278" spans="1:7">
      <c r="A278" s="190" t="s">
        <v>511</v>
      </c>
      <c r="B278" s="79" t="s">
        <v>528</v>
      </c>
      <c r="C278" s="190" t="s">
        <v>349</v>
      </c>
      <c r="D278" s="221" t="s">
        <v>517</v>
      </c>
      <c r="E278" s="221" t="s">
        <v>517</v>
      </c>
      <c r="F278" s="195">
        <v>16035</v>
      </c>
      <c r="G278" s="218" t="s">
        <v>352</v>
      </c>
    </row>
  </sheetData>
  <sheetProtection password="DE6E" sheet="1" objects="1" scenarios="1"/>
  <mergeCells count="1">
    <mergeCell ref="N180:Q181"/>
  </mergeCell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3">
    <tabColor theme="3"/>
  </sheetPr>
  <dimension ref="A1:CD278"/>
  <sheetViews>
    <sheetView showGridLines="0" workbookViewId="0">
      <pane ySplit="8" topLeftCell="A9" activePane="bottomLeft" state="frozen"/>
      <selection pane="bottomLeft" activeCell="H13" sqref="H13"/>
    </sheetView>
  </sheetViews>
  <sheetFormatPr defaultColWidth="11.42578125" defaultRowHeight="15"/>
  <cols>
    <col min="1" max="1" width="18.7109375" customWidth="1"/>
    <col min="2" max="2" width="22.7109375" customWidth="1"/>
    <col min="3" max="3" width="18.7109375" customWidth="1"/>
    <col min="4" max="4" width="38.7109375" customWidth="1"/>
    <col min="5" max="5" width="15.7109375" customWidth="1"/>
    <col min="6" max="6" width="19.7109375" customWidth="1"/>
    <col min="7" max="7" width="15.7109375" customWidth="1"/>
    <col min="8" max="82" width="19.7109375" customWidth="1"/>
  </cols>
  <sheetData>
    <row r="1" spans="1:82" ht="60" customHeight="1">
      <c r="A1" s="22" t="s">
        <v>0</v>
      </c>
      <c r="B1" s="32"/>
      <c r="C1" s="11"/>
      <c r="D1" s="11"/>
      <c r="E1" s="11"/>
      <c r="F1" s="11"/>
      <c r="G1" s="11"/>
      <c r="H1" s="11"/>
      <c r="I1" s="11"/>
      <c r="J1" s="11"/>
      <c r="K1" s="11"/>
      <c r="L1" s="11"/>
      <c r="M1" s="11"/>
    </row>
    <row r="2" spans="1:82" ht="60" customHeight="1">
      <c r="A2" s="22"/>
      <c r="B2" s="32"/>
      <c r="C2" s="11"/>
      <c r="D2" s="11"/>
      <c r="E2" s="11"/>
      <c r="F2" s="11"/>
      <c r="G2" s="11"/>
      <c r="H2" s="11"/>
      <c r="I2" s="11"/>
      <c r="J2" s="11"/>
      <c r="K2" s="11"/>
      <c r="L2" s="11"/>
      <c r="M2" s="11"/>
    </row>
    <row r="3" spans="1:82" ht="15" customHeight="1">
      <c r="A3" s="1"/>
      <c r="B3" s="1"/>
      <c r="C3" s="1"/>
      <c r="D3" s="1"/>
      <c r="E3" s="1"/>
      <c r="F3" s="1"/>
      <c r="G3" s="1"/>
      <c r="H3" s="1"/>
      <c r="I3" s="26"/>
      <c r="J3" s="26"/>
      <c r="K3" s="26"/>
      <c r="L3" s="26"/>
      <c r="M3" s="26"/>
      <c r="N3" s="92"/>
    </row>
    <row r="4" spans="1:82" ht="15" customHeight="1">
      <c r="A4" s="1"/>
      <c r="B4" s="267" t="s">
        <v>286</v>
      </c>
      <c r="C4" s="267"/>
      <c r="D4" s="267"/>
      <c r="E4" s="267"/>
      <c r="F4" s="1"/>
      <c r="G4" s="1"/>
      <c r="H4" s="1"/>
      <c r="I4" s="26"/>
      <c r="J4" s="1"/>
      <c r="K4" s="326"/>
      <c r="L4" s="326"/>
      <c r="M4" s="326"/>
      <c r="N4" s="92"/>
    </row>
    <row r="5" spans="1:82" ht="15" customHeight="1">
      <c r="A5" s="1"/>
      <c r="B5" s="203"/>
      <c r="C5" s="203"/>
      <c r="D5" s="203"/>
      <c r="E5" s="203"/>
      <c r="F5" s="1"/>
      <c r="G5" s="1"/>
      <c r="H5" s="1"/>
      <c r="I5" s="26"/>
      <c r="J5" s="1"/>
      <c r="K5" s="326"/>
      <c r="L5" s="326"/>
      <c r="M5" s="326"/>
      <c r="N5" s="92"/>
    </row>
    <row r="6" spans="1:82" ht="15" customHeight="1">
      <c r="A6" s="267" t="s">
        <v>287</v>
      </c>
      <c r="B6" s="203"/>
      <c r="C6" s="203"/>
      <c r="D6" s="203"/>
      <c r="E6" s="203"/>
      <c r="F6" s="1"/>
      <c r="G6" s="1"/>
      <c r="H6" s="1"/>
      <c r="I6" s="26"/>
      <c r="J6" s="1"/>
      <c r="K6" s="326"/>
      <c r="L6" s="326"/>
      <c r="M6" s="326"/>
      <c r="N6" s="92"/>
    </row>
    <row r="7" spans="1:82" ht="15" customHeight="1">
      <c r="A7" s="267" t="s">
        <v>288</v>
      </c>
      <c r="B7" s="203"/>
      <c r="C7" s="203"/>
      <c r="D7" s="203"/>
      <c r="E7" s="203"/>
      <c r="F7" s="1"/>
      <c r="G7" s="1"/>
      <c r="H7" s="1"/>
      <c r="I7" s="26"/>
      <c r="J7" s="1"/>
      <c r="K7" s="326"/>
      <c r="L7" s="326"/>
      <c r="M7" s="326"/>
      <c r="N7" s="92"/>
    </row>
    <row r="8" spans="1:82">
      <c r="A8" s="1"/>
      <c r="B8" s="1"/>
      <c r="C8" s="1"/>
      <c r="D8" s="1"/>
      <c r="E8" s="1"/>
      <c r="F8" s="1"/>
      <c r="G8" s="1"/>
      <c r="H8" s="1"/>
      <c r="I8" s="26"/>
      <c r="J8" s="25"/>
      <c r="K8" s="326"/>
      <c r="L8" s="326"/>
      <c r="M8" s="326"/>
      <c r="N8" s="92"/>
    </row>
    <row r="9" spans="1:82">
      <c r="I9" s="92"/>
      <c r="J9" s="93"/>
      <c r="K9" s="94"/>
      <c r="L9" s="94"/>
      <c r="M9" s="94"/>
      <c r="N9" s="92"/>
    </row>
    <row r="10" spans="1:82">
      <c r="H10" s="82"/>
      <c r="I10" s="82"/>
      <c r="J10" s="257"/>
      <c r="K10" s="258"/>
      <c r="L10" s="258"/>
      <c r="M10" s="258"/>
      <c r="N10" s="82"/>
      <c r="O10" s="82"/>
      <c r="P10" s="258"/>
      <c r="Q10" s="258"/>
      <c r="R10" s="258"/>
      <c r="S10" s="258"/>
      <c r="T10" s="258"/>
      <c r="U10" s="258"/>
      <c r="V10" s="258"/>
      <c r="W10" s="258"/>
      <c r="X10" s="258"/>
      <c r="Y10" s="258"/>
      <c r="Z10" s="258"/>
      <c r="AA10" s="258"/>
      <c r="AB10" s="258"/>
      <c r="AC10" s="258"/>
      <c r="AD10" s="258"/>
      <c r="AE10" s="258"/>
      <c r="AF10" s="258"/>
      <c r="AG10" s="258"/>
      <c r="AH10" s="258"/>
      <c r="AI10" s="258"/>
      <c r="AJ10" s="258"/>
      <c r="AK10" s="258"/>
      <c r="AL10" s="258"/>
      <c r="AM10" s="258"/>
      <c r="AN10" s="258"/>
      <c r="AO10" s="258"/>
      <c r="AP10" s="258"/>
      <c r="AQ10" s="258"/>
      <c r="AR10" s="258"/>
      <c r="AT10" s="258"/>
      <c r="AU10" s="258"/>
      <c r="AV10" s="258"/>
      <c r="AW10" s="258"/>
      <c r="AX10" s="258"/>
      <c r="AY10" s="258"/>
      <c r="AZ10" s="258"/>
      <c r="BA10" s="258"/>
      <c r="BB10" s="258"/>
      <c r="BC10" s="258"/>
      <c r="BD10" s="258"/>
      <c r="BE10" s="258"/>
      <c r="BF10" s="258"/>
      <c r="BG10" s="258"/>
      <c r="BH10" s="258"/>
      <c r="BI10" s="258"/>
      <c r="BJ10" s="258"/>
      <c r="BK10" s="258"/>
    </row>
    <row r="11" spans="1:82">
      <c r="G11" s="43" t="s">
        <v>289</v>
      </c>
      <c r="H11" s="106" t="s">
        <v>21</v>
      </c>
      <c r="I11" s="106" t="s">
        <v>27</v>
      </c>
      <c r="J11" s="106" t="s">
        <v>30</v>
      </c>
      <c r="K11" s="106" t="s">
        <v>33</v>
      </c>
      <c r="L11" s="106" t="s">
        <v>35</v>
      </c>
      <c r="M11" s="106" t="s">
        <v>37</v>
      </c>
      <c r="N11" s="108" t="s">
        <v>39</v>
      </c>
      <c r="O11" s="108" t="s">
        <v>43</v>
      </c>
      <c r="P11" s="108" t="s">
        <v>46</v>
      </c>
      <c r="Q11" s="108" t="s">
        <v>49</v>
      </c>
      <c r="R11" s="108" t="s">
        <v>52</v>
      </c>
      <c r="S11" s="108" t="s">
        <v>56</v>
      </c>
      <c r="T11" s="108" t="s">
        <v>60</v>
      </c>
      <c r="U11" s="108" t="s">
        <v>63</v>
      </c>
      <c r="V11" s="108" t="s">
        <v>65</v>
      </c>
      <c r="W11" s="108" t="s">
        <v>67</v>
      </c>
      <c r="X11" s="108" t="s">
        <v>74</v>
      </c>
      <c r="Y11" s="108" t="s">
        <v>77</v>
      </c>
      <c r="Z11" s="108" t="s">
        <v>80</v>
      </c>
      <c r="AA11" s="108" t="s">
        <v>83</v>
      </c>
      <c r="AB11" s="108" t="s">
        <v>86</v>
      </c>
      <c r="AC11" s="108" t="s">
        <v>88</v>
      </c>
      <c r="AD11" s="108" t="s">
        <v>91</v>
      </c>
      <c r="AE11" s="108" t="s">
        <v>94</v>
      </c>
      <c r="AF11" s="108" t="s">
        <v>96</v>
      </c>
      <c r="AG11" s="108" t="s">
        <v>98</v>
      </c>
      <c r="AH11" s="108" t="s">
        <v>100</v>
      </c>
      <c r="AI11" s="108" t="s">
        <v>102</v>
      </c>
      <c r="AJ11" s="108" t="s">
        <v>105</v>
      </c>
      <c r="AK11" s="108" t="s">
        <v>107</v>
      </c>
      <c r="AL11" s="108" t="s">
        <v>120</v>
      </c>
      <c r="AM11" s="108" t="s">
        <v>123</v>
      </c>
      <c r="AN11" s="108" t="s">
        <v>132</v>
      </c>
      <c r="AO11" s="108" t="s">
        <v>135</v>
      </c>
      <c r="AP11" s="108" t="s">
        <v>137</v>
      </c>
      <c r="AQ11" s="108" t="s">
        <v>140</v>
      </c>
      <c r="AR11" s="108" t="s">
        <v>142</v>
      </c>
      <c r="AS11" s="108" t="s">
        <v>144</v>
      </c>
      <c r="AT11" s="108" t="s">
        <v>153</v>
      </c>
      <c r="AU11" s="108" t="s">
        <v>155</v>
      </c>
      <c r="AV11" s="108" t="s">
        <v>159</v>
      </c>
      <c r="AW11" s="108" t="s">
        <v>161</v>
      </c>
      <c r="AX11" s="108" t="s">
        <v>164</v>
      </c>
      <c r="AY11" s="108" t="s">
        <v>167</v>
      </c>
      <c r="AZ11" s="108" t="s">
        <v>170</v>
      </c>
      <c r="BA11" s="108" t="s">
        <v>173</v>
      </c>
      <c r="BB11" s="108" t="s">
        <v>177</v>
      </c>
      <c r="BC11" s="108" t="s">
        <v>179</v>
      </c>
      <c r="BD11" s="108" t="s">
        <v>181</v>
      </c>
      <c r="BE11" s="108" t="s">
        <v>183</v>
      </c>
      <c r="BF11" s="108" t="s">
        <v>185</v>
      </c>
      <c r="BG11" s="108" t="s">
        <v>188</v>
      </c>
      <c r="BH11" s="108" t="s">
        <v>190</v>
      </c>
      <c r="BI11" s="108" t="s">
        <v>193</v>
      </c>
      <c r="BJ11" s="108" t="s">
        <v>196</v>
      </c>
      <c r="BK11" s="108" t="s">
        <v>199</v>
      </c>
      <c r="BL11" s="108" t="s">
        <v>202</v>
      </c>
      <c r="BM11" s="108" t="s">
        <v>204</v>
      </c>
      <c r="BN11" s="108" t="s">
        <v>206</v>
      </c>
      <c r="BO11" s="108" t="s">
        <v>208</v>
      </c>
      <c r="BP11" s="108" t="s">
        <v>217</v>
      </c>
      <c r="BQ11" s="108" t="s">
        <v>220</v>
      </c>
      <c r="BR11" s="108" t="s">
        <v>223</v>
      </c>
      <c r="BS11" s="108" t="s">
        <v>226</v>
      </c>
      <c r="BT11" s="108" t="s">
        <v>229</v>
      </c>
      <c r="BU11" s="108" t="s">
        <v>234</v>
      </c>
      <c r="BV11" s="108" t="s">
        <v>251</v>
      </c>
      <c r="BW11" s="108" t="s">
        <v>254</v>
      </c>
      <c r="BX11" s="108" t="s">
        <v>256</v>
      </c>
      <c r="BY11" s="108" t="s">
        <v>258</v>
      </c>
      <c r="BZ11" s="108" t="s">
        <v>262</v>
      </c>
      <c r="CA11" s="108" t="s">
        <v>264</v>
      </c>
      <c r="CB11" s="108" t="s">
        <v>277</v>
      </c>
      <c r="CC11" s="108" t="s">
        <v>279</v>
      </c>
      <c r="CD11" s="108" t="s">
        <v>282</v>
      </c>
    </row>
    <row r="12" spans="1:82" ht="38.25">
      <c r="G12" s="43" t="s">
        <v>290</v>
      </c>
      <c r="H12" s="179" t="s">
        <v>22</v>
      </c>
      <c r="I12" s="178" t="s">
        <v>28</v>
      </c>
      <c r="J12" s="179" t="s">
        <v>31</v>
      </c>
      <c r="K12" s="178" t="s">
        <v>28</v>
      </c>
      <c r="L12" s="178" t="s">
        <v>28</v>
      </c>
      <c r="M12" s="178" t="s">
        <v>28</v>
      </c>
      <c r="N12" s="176" t="s">
        <v>40</v>
      </c>
      <c r="O12" s="176" t="s">
        <v>44</v>
      </c>
      <c r="P12" s="178" t="s">
        <v>28</v>
      </c>
      <c r="Q12" s="176" t="s">
        <v>50</v>
      </c>
      <c r="R12" s="176" t="s">
        <v>53</v>
      </c>
      <c r="S12" s="176" t="s">
        <v>22</v>
      </c>
      <c r="T12" s="176" t="s">
        <v>61</v>
      </c>
      <c r="U12" s="178" t="s">
        <v>28</v>
      </c>
      <c r="V12" s="178" t="s">
        <v>28</v>
      </c>
      <c r="W12" s="178" t="s">
        <v>28</v>
      </c>
      <c r="X12" s="178" t="s">
        <v>28</v>
      </c>
      <c r="Y12" s="178" t="s">
        <v>28</v>
      </c>
      <c r="Z12" s="178" t="s">
        <v>28</v>
      </c>
      <c r="AA12" s="178" t="s">
        <v>28</v>
      </c>
      <c r="AB12" s="178" t="s">
        <v>28</v>
      </c>
      <c r="AC12" s="178" t="s">
        <v>28</v>
      </c>
      <c r="AD12" s="176" t="s">
        <v>92</v>
      </c>
      <c r="AE12" s="176" t="s">
        <v>92</v>
      </c>
      <c r="AF12" s="178" t="s">
        <v>28</v>
      </c>
      <c r="AG12" s="178" t="s">
        <v>28</v>
      </c>
      <c r="AH12" s="178" t="s">
        <v>28</v>
      </c>
      <c r="AI12" s="178" t="s">
        <v>28</v>
      </c>
      <c r="AJ12" s="178" t="s">
        <v>28</v>
      </c>
      <c r="AK12" s="178" t="s">
        <v>28</v>
      </c>
      <c r="AL12" s="176" t="s">
        <v>121</v>
      </c>
      <c r="AM12" s="176" t="s">
        <v>124</v>
      </c>
      <c r="AN12" s="176" t="s">
        <v>133</v>
      </c>
      <c r="AO12" s="178" t="s">
        <v>28</v>
      </c>
      <c r="AP12" s="178" t="s">
        <v>28</v>
      </c>
      <c r="AQ12" s="178" t="s">
        <v>28</v>
      </c>
      <c r="AR12" s="178" t="s">
        <v>28</v>
      </c>
      <c r="AS12" s="178" t="s">
        <v>28</v>
      </c>
      <c r="AT12" s="178" t="s">
        <v>28</v>
      </c>
      <c r="AU12" s="178" t="s">
        <v>28</v>
      </c>
      <c r="AV12" s="178" t="s">
        <v>28</v>
      </c>
      <c r="AW12" s="178" t="s">
        <v>28</v>
      </c>
      <c r="AX12" s="178" t="s">
        <v>28</v>
      </c>
      <c r="AY12" s="176" t="s">
        <v>168</v>
      </c>
      <c r="AZ12" s="178" t="s">
        <v>28</v>
      </c>
      <c r="BA12" s="176" t="s">
        <v>174</v>
      </c>
      <c r="BB12" s="178" t="s">
        <v>28</v>
      </c>
      <c r="BC12" s="178" t="s">
        <v>28</v>
      </c>
      <c r="BD12" s="178" t="s">
        <v>28</v>
      </c>
      <c r="BE12" s="178" t="s">
        <v>28</v>
      </c>
      <c r="BF12" s="178" t="s">
        <v>28</v>
      </c>
      <c r="BG12" s="178" t="s">
        <v>28</v>
      </c>
      <c r="BH12" s="178" t="s">
        <v>28</v>
      </c>
      <c r="BI12" s="178" t="s">
        <v>28</v>
      </c>
      <c r="BJ12" s="176" t="s">
        <v>291</v>
      </c>
      <c r="BK12" s="178" t="s">
        <v>28</v>
      </c>
      <c r="BL12" s="178" t="s">
        <v>28</v>
      </c>
      <c r="BM12" s="178" t="s">
        <v>28</v>
      </c>
      <c r="BN12" s="178" t="s">
        <v>28</v>
      </c>
      <c r="BO12" s="178" t="s">
        <v>28</v>
      </c>
      <c r="BP12" s="178" t="s">
        <v>28</v>
      </c>
      <c r="BQ12" s="178" t="s">
        <v>28</v>
      </c>
      <c r="BR12" s="178" t="s">
        <v>28</v>
      </c>
      <c r="BS12" s="178" t="s">
        <v>28</v>
      </c>
      <c r="BT12" s="176" t="s">
        <v>230</v>
      </c>
      <c r="BU12" s="202" t="s">
        <v>235</v>
      </c>
      <c r="BV12" s="178" t="s">
        <v>28</v>
      </c>
      <c r="BW12" s="178" t="s">
        <v>28</v>
      </c>
      <c r="BX12" s="178" t="s">
        <v>28</v>
      </c>
      <c r="BY12" s="176" t="s">
        <v>292</v>
      </c>
      <c r="BZ12" s="178" t="s">
        <v>28</v>
      </c>
      <c r="CA12" s="178" t="s">
        <v>28</v>
      </c>
      <c r="CB12" s="178" t="s">
        <v>28</v>
      </c>
      <c r="CC12" s="178" t="s">
        <v>28</v>
      </c>
      <c r="CD12" s="178" t="s">
        <v>28</v>
      </c>
    </row>
    <row r="13" spans="1:82" ht="51">
      <c r="A13" s="112" t="s">
        <v>607</v>
      </c>
      <c r="G13" s="64" t="s">
        <v>294</v>
      </c>
      <c r="H13" s="178" t="s">
        <v>295</v>
      </c>
      <c r="I13" s="178" t="s">
        <v>296</v>
      </c>
      <c r="J13" s="178" t="s">
        <v>295</v>
      </c>
      <c r="K13" s="178" t="s">
        <v>296</v>
      </c>
      <c r="L13" s="178" t="s">
        <v>297</v>
      </c>
      <c r="M13" s="178" t="s">
        <v>297</v>
      </c>
      <c r="N13" s="178" t="s">
        <v>296</v>
      </c>
      <c r="O13" s="178" t="s">
        <v>295</v>
      </c>
      <c r="P13" s="176" t="s">
        <v>298</v>
      </c>
      <c r="Q13" s="178" t="s">
        <v>295</v>
      </c>
      <c r="R13" s="202" t="s">
        <v>299</v>
      </c>
      <c r="S13" s="178" t="s">
        <v>295</v>
      </c>
      <c r="T13" s="178" t="s">
        <v>295</v>
      </c>
      <c r="U13" s="176" t="s">
        <v>300</v>
      </c>
      <c r="V13" s="176" t="s">
        <v>300</v>
      </c>
      <c r="W13" s="176" t="s">
        <v>301</v>
      </c>
      <c r="X13" s="178" t="s">
        <v>297</v>
      </c>
      <c r="Y13" s="178" t="s">
        <v>297</v>
      </c>
      <c r="Z13" s="176" t="s">
        <v>302</v>
      </c>
      <c r="AA13" s="176" t="s">
        <v>303</v>
      </c>
      <c r="AB13" s="178" t="s">
        <v>297</v>
      </c>
      <c r="AC13" s="178" t="s">
        <v>297</v>
      </c>
      <c r="AD13" s="178" t="s">
        <v>304</v>
      </c>
      <c r="AE13" s="178" t="s">
        <v>304</v>
      </c>
      <c r="AF13" s="178" t="s">
        <v>297</v>
      </c>
      <c r="AG13" s="178" t="s">
        <v>297</v>
      </c>
      <c r="AH13" s="178" t="s">
        <v>297</v>
      </c>
      <c r="AI13" s="178" t="s">
        <v>297</v>
      </c>
      <c r="AJ13" s="176" t="s">
        <v>305</v>
      </c>
      <c r="AK13" s="176" t="s">
        <v>306</v>
      </c>
      <c r="AL13" s="178" t="s">
        <v>297</v>
      </c>
      <c r="AM13" s="178" t="s">
        <v>297</v>
      </c>
      <c r="AN13" s="178" t="s">
        <v>307</v>
      </c>
      <c r="AO13" s="178" t="s">
        <v>297</v>
      </c>
      <c r="AP13" s="110" t="s">
        <v>308</v>
      </c>
      <c r="AQ13" s="176" t="s">
        <v>309</v>
      </c>
      <c r="AR13" s="176" t="s">
        <v>309</v>
      </c>
      <c r="AS13" s="178" t="s">
        <v>297</v>
      </c>
      <c r="AT13" s="178" t="s">
        <v>297</v>
      </c>
      <c r="AU13" s="178" t="s">
        <v>297</v>
      </c>
      <c r="AV13" s="176" t="s">
        <v>310</v>
      </c>
      <c r="AW13" s="111" t="s">
        <v>311</v>
      </c>
      <c r="AX13" s="115" t="s">
        <v>312</v>
      </c>
      <c r="AY13" s="178" t="s">
        <v>297</v>
      </c>
      <c r="AZ13" s="176" t="s">
        <v>313</v>
      </c>
      <c r="BA13" s="178" t="s">
        <v>297</v>
      </c>
      <c r="BB13" s="176" t="s">
        <v>314</v>
      </c>
      <c r="BC13" s="178" t="s">
        <v>297</v>
      </c>
      <c r="BD13" s="178" t="s">
        <v>297</v>
      </c>
      <c r="BE13" s="178" t="s">
        <v>297</v>
      </c>
      <c r="BF13" s="176" t="s">
        <v>315</v>
      </c>
      <c r="BG13" s="178" t="s">
        <v>297</v>
      </c>
      <c r="BH13" s="178" t="s">
        <v>297</v>
      </c>
      <c r="BI13" s="178" t="s">
        <v>297</v>
      </c>
      <c r="BJ13" s="178" t="s">
        <v>297</v>
      </c>
      <c r="BK13" s="178" t="s">
        <v>316</v>
      </c>
      <c r="BL13" s="178" t="s">
        <v>317</v>
      </c>
      <c r="BM13" s="178" t="s">
        <v>317</v>
      </c>
      <c r="BN13" s="178" t="s">
        <v>317</v>
      </c>
      <c r="BO13" s="178" t="s">
        <v>295</v>
      </c>
      <c r="BP13" s="178" t="s">
        <v>316</v>
      </c>
      <c r="BQ13" s="178" t="s">
        <v>297</v>
      </c>
      <c r="BR13" s="178" t="s">
        <v>297</v>
      </c>
      <c r="BS13" s="178" t="s">
        <v>297</v>
      </c>
      <c r="BT13" s="176" t="s">
        <v>318</v>
      </c>
      <c r="BU13" s="178" t="s">
        <v>297</v>
      </c>
      <c r="BV13" s="178" t="s">
        <v>297</v>
      </c>
      <c r="BW13" s="176" t="s">
        <v>318</v>
      </c>
      <c r="BX13" s="176" t="s">
        <v>318</v>
      </c>
      <c r="BY13" s="176" t="s">
        <v>318</v>
      </c>
      <c r="BZ13" s="178" t="s">
        <v>297</v>
      </c>
      <c r="CA13" s="178" t="s">
        <v>297</v>
      </c>
      <c r="CB13" s="176" t="s">
        <v>318</v>
      </c>
      <c r="CC13" s="176" t="s">
        <v>319</v>
      </c>
      <c r="CD13" s="178" t="s">
        <v>297</v>
      </c>
    </row>
    <row r="14" spans="1:82" ht="140.25">
      <c r="A14" s="43" t="s">
        <v>320</v>
      </c>
      <c r="B14" s="43" t="s">
        <v>321</v>
      </c>
      <c r="C14" s="43" t="s">
        <v>322</v>
      </c>
      <c r="D14" s="43" t="s">
        <v>323</v>
      </c>
      <c r="E14" s="43" t="s">
        <v>324</v>
      </c>
      <c r="F14" s="43" t="s">
        <v>25</v>
      </c>
      <c r="G14" s="43" t="s">
        <v>325</v>
      </c>
      <c r="H14" s="64" t="s">
        <v>24</v>
      </c>
      <c r="I14" s="64" t="s">
        <v>326</v>
      </c>
      <c r="J14" s="64" t="s">
        <v>32</v>
      </c>
      <c r="K14" s="64" t="s">
        <v>327</v>
      </c>
      <c r="L14" s="64" t="s">
        <v>328</v>
      </c>
      <c r="M14" s="64" t="s">
        <v>38</v>
      </c>
      <c r="N14" s="64" t="s">
        <v>41</v>
      </c>
      <c r="O14" s="37" t="s">
        <v>45</v>
      </c>
      <c r="P14" s="64" t="s">
        <v>329</v>
      </c>
      <c r="Q14" s="37" t="s">
        <v>51</v>
      </c>
      <c r="R14" s="37" t="s">
        <v>330</v>
      </c>
      <c r="S14" s="37" t="s">
        <v>57</v>
      </c>
      <c r="T14" s="38" t="s">
        <v>62</v>
      </c>
      <c r="U14" s="64" t="s">
        <v>331</v>
      </c>
      <c r="V14" s="64" t="s">
        <v>332</v>
      </c>
      <c r="W14" s="64" t="s">
        <v>68</v>
      </c>
      <c r="X14" s="64" t="s">
        <v>76</v>
      </c>
      <c r="Y14" s="37" t="s">
        <v>78</v>
      </c>
      <c r="Z14" s="37" t="s">
        <v>81</v>
      </c>
      <c r="AA14" s="64" t="s">
        <v>84</v>
      </c>
      <c r="AB14" s="64" t="s">
        <v>87</v>
      </c>
      <c r="AC14" s="64" t="s">
        <v>89</v>
      </c>
      <c r="AD14" s="64" t="s">
        <v>93</v>
      </c>
      <c r="AE14" s="64" t="s">
        <v>95</v>
      </c>
      <c r="AF14" s="64" t="s">
        <v>333</v>
      </c>
      <c r="AG14" s="64" t="s">
        <v>99</v>
      </c>
      <c r="AH14" s="64" t="s">
        <v>101</v>
      </c>
      <c r="AI14" s="64" t="s">
        <v>103</v>
      </c>
      <c r="AJ14" s="64" t="s">
        <v>106</v>
      </c>
      <c r="AK14" s="80" t="s">
        <v>108</v>
      </c>
      <c r="AL14" s="64" t="s">
        <v>122</v>
      </c>
      <c r="AM14" s="64" t="s">
        <v>125</v>
      </c>
      <c r="AN14" s="64" t="s">
        <v>134</v>
      </c>
      <c r="AO14" s="36" t="s">
        <v>136</v>
      </c>
      <c r="AP14" s="64" t="s">
        <v>138</v>
      </c>
      <c r="AQ14" s="38" t="s">
        <v>141</v>
      </c>
      <c r="AR14" s="37" t="s">
        <v>143</v>
      </c>
      <c r="AS14" s="64" t="s">
        <v>145</v>
      </c>
      <c r="AT14" s="64" t="s">
        <v>334</v>
      </c>
      <c r="AU14" s="64" t="s">
        <v>156</v>
      </c>
      <c r="AV14" s="80" t="s">
        <v>160</v>
      </c>
      <c r="AW14" s="64" t="s">
        <v>162</v>
      </c>
      <c r="AX14" s="64" t="s">
        <v>165</v>
      </c>
      <c r="AY14" s="64" t="s">
        <v>169</v>
      </c>
      <c r="AZ14" s="80" t="s">
        <v>171</v>
      </c>
      <c r="BA14" s="80" t="s">
        <v>175</v>
      </c>
      <c r="BB14" s="80" t="s">
        <v>178</v>
      </c>
      <c r="BC14" s="80" t="s">
        <v>180</v>
      </c>
      <c r="BD14" s="80" t="s">
        <v>182</v>
      </c>
      <c r="BE14" s="80" t="s">
        <v>335</v>
      </c>
      <c r="BF14" s="80" t="s">
        <v>336</v>
      </c>
      <c r="BG14" s="80" t="s">
        <v>189</v>
      </c>
      <c r="BH14" s="80" t="s">
        <v>191</v>
      </c>
      <c r="BI14" s="80" t="s">
        <v>194</v>
      </c>
      <c r="BJ14" s="80" t="s">
        <v>198</v>
      </c>
      <c r="BK14" s="80" t="s">
        <v>200</v>
      </c>
      <c r="BL14" s="80" t="s">
        <v>337</v>
      </c>
      <c r="BM14" s="80" t="s">
        <v>338</v>
      </c>
      <c r="BN14" s="80" t="s">
        <v>339</v>
      </c>
      <c r="BO14" s="80" t="s">
        <v>209</v>
      </c>
      <c r="BP14" s="80" t="s">
        <v>340</v>
      </c>
      <c r="BQ14" s="80" t="s">
        <v>221</v>
      </c>
      <c r="BR14" s="80" t="s">
        <v>224</v>
      </c>
      <c r="BS14" s="80" t="s">
        <v>341</v>
      </c>
      <c r="BT14" s="80" t="s">
        <v>231</v>
      </c>
      <c r="BU14" s="80" t="s">
        <v>342</v>
      </c>
      <c r="BV14" s="64" t="s">
        <v>343</v>
      </c>
      <c r="BW14" s="64" t="s">
        <v>344</v>
      </c>
      <c r="BX14" s="64" t="s">
        <v>345</v>
      </c>
      <c r="BY14" s="64" t="s">
        <v>260</v>
      </c>
      <c r="BZ14" s="64" t="s">
        <v>263</v>
      </c>
      <c r="CA14" s="64" t="s">
        <v>265</v>
      </c>
      <c r="CB14" s="64" t="s">
        <v>346</v>
      </c>
      <c r="CC14" s="64" t="s">
        <v>280</v>
      </c>
      <c r="CD14" s="64" t="s">
        <v>283</v>
      </c>
    </row>
    <row r="15" spans="1:82">
      <c r="A15" s="8" t="s">
        <v>347</v>
      </c>
      <c r="B15" s="8" t="s">
        <v>348</v>
      </c>
      <c r="C15" s="30" t="s">
        <v>349</v>
      </c>
      <c r="D15" s="8" t="s">
        <v>350</v>
      </c>
      <c r="E15" s="31">
        <v>1001</v>
      </c>
      <c r="F15" s="8" t="s">
        <v>348</v>
      </c>
      <c r="G15" s="9">
        <v>1101</v>
      </c>
      <c r="H15" s="10" t="s">
        <v>352</v>
      </c>
      <c r="I15" s="10" t="s">
        <v>352</v>
      </c>
      <c r="J15" s="10" t="s">
        <v>352</v>
      </c>
      <c r="K15" s="10" t="s">
        <v>352</v>
      </c>
      <c r="L15" s="10" t="s">
        <v>352</v>
      </c>
      <c r="M15" s="10" t="s">
        <v>352</v>
      </c>
      <c r="N15" s="10" t="s">
        <v>352</v>
      </c>
      <c r="O15" s="60">
        <v>1140.83</v>
      </c>
      <c r="P15" s="10" t="s">
        <v>352</v>
      </c>
      <c r="Q15" s="121">
        <v>510.59</v>
      </c>
      <c r="R15" s="123">
        <v>1.39</v>
      </c>
      <c r="S15" s="60">
        <v>362.36</v>
      </c>
      <c r="T15" s="10" t="s">
        <v>352</v>
      </c>
      <c r="U15" s="10" t="s">
        <v>352</v>
      </c>
      <c r="V15" s="10" t="s">
        <v>352</v>
      </c>
      <c r="W15" s="10" t="s">
        <v>352</v>
      </c>
      <c r="X15" s="10" t="s">
        <v>352</v>
      </c>
      <c r="Y15" s="10" t="s">
        <v>352</v>
      </c>
      <c r="Z15" s="10" t="s">
        <v>352</v>
      </c>
      <c r="AA15" s="10" t="s">
        <v>352</v>
      </c>
      <c r="AB15" s="10" t="s">
        <v>352</v>
      </c>
      <c r="AC15" s="10" t="s">
        <v>352</v>
      </c>
      <c r="AD15" s="10" t="s">
        <v>352</v>
      </c>
      <c r="AE15" s="10" t="s">
        <v>352</v>
      </c>
      <c r="AF15" s="10" t="s">
        <v>352</v>
      </c>
      <c r="AG15" s="10" t="s">
        <v>352</v>
      </c>
      <c r="AH15" s="10" t="s">
        <v>352</v>
      </c>
      <c r="AI15" s="10" t="s">
        <v>352</v>
      </c>
      <c r="AJ15" s="150">
        <v>3.58</v>
      </c>
      <c r="AK15" s="152">
        <v>153.49</v>
      </c>
      <c r="AL15" s="10" t="s">
        <v>352</v>
      </c>
      <c r="AM15" s="10" t="s">
        <v>352</v>
      </c>
      <c r="AN15" s="10" t="s">
        <v>352</v>
      </c>
      <c r="AO15" s="10" t="s">
        <v>352</v>
      </c>
      <c r="AP15" s="10" t="s">
        <v>352</v>
      </c>
      <c r="AQ15" s="160">
        <v>709.77</v>
      </c>
      <c r="AR15" s="161">
        <v>438.7</v>
      </c>
      <c r="AS15" s="10" t="s">
        <v>352</v>
      </c>
      <c r="AT15" s="122">
        <v>3.34</v>
      </c>
      <c r="AU15" s="122">
        <v>0.11</v>
      </c>
      <c r="AV15" s="61">
        <v>663.69617846693109</v>
      </c>
      <c r="AW15" s="61">
        <v>19.99704649091796</v>
      </c>
      <c r="AX15" s="131">
        <v>16.739999999999998</v>
      </c>
      <c r="AY15" s="10" t="s">
        <v>352</v>
      </c>
      <c r="AZ15" s="10" t="s">
        <v>352</v>
      </c>
      <c r="BA15" s="10" t="s">
        <v>352</v>
      </c>
      <c r="BB15" s="10" t="s">
        <v>352</v>
      </c>
      <c r="BC15" s="10" t="s">
        <v>352</v>
      </c>
      <c r="BD15" s="10" t="s">
        <v>352</v>
      </c>
      <c r="BE15" s="10" t="s">
        <v>352</v>
      </c>
      <c r="BF15" s="10" t="s">
        <v>352</v>
      </c>
      <c r="BG15" s="10" t="s">
        <v>352</v>
      </c>
      <c r="BH15" s="10" t="s">
        <v>352</v>
      </c>
      <c r="BI15" s="172">
        <v>44555</v>
      </c>
      <c r="BJ15" s="10" t="s">
        <v>352</v>
      </c>
      <c r="BK15" s="10" t="s">
        <v>352</v>
      </c>
      <c r="BL15" s="10" t="s">
        <v>352</v>
      </c>
      <c r="BM15" s="10" t="s">
        <v>352</v>
      </c>
      <c r="BN15" s="10" t="s">
        <v>352</v>
      </c>
      <c r="BO15" s="10" t="s">
        <v>352</v>
      </c>
      <c r="BP15" s="10" t="s">
        <v>352</v>
      </c>
      <c r="BQ15" s="10" t="s">
        <v>352</v>
      </c>
      <c r="BR15" s="10" t="s">
        <v>352</v>
      </c>
      <c r="BS15" s="10" t="s">
        <v>352</v>
      </c>
      <c r="BT15" s="187" t="s">
        <v>353</v>
      </c>
      <c r="BU15" s="131">
        <v>10.88</v>
      </c>
      <c r="BV15" s="10" t="s">
        <v>352</v>
      </c>
      <c r="BW15" s="10" t="s">
        <v>352</v>
      </c>
      <c r="BX15" s="10" t="s">
        <v>352</v>
      </c>
      <c r="BY15" s="10" t="s">
        <v>352</v>
      </c>
      <c r="BZ15" s="10" t="s">
        <v>352</v>
      </c>
      <c r="CA15" s="10" t="s">
        <v>352</v>
      </c>
      <c r="CB15" s="10" t="s">
        <v>352</v>
      </c>
      <c r="CC15" s="10" t="s">
        <v>352</v>
      </c>
      <c r="CD15" s="10" t="s">
        <v>352</v>
      </c>
    </row>
    <row r="16" spans="1:82">
      <c r="A16" s="3" t="s">
        <v>347</v>
      </c>
      <c r="B16" s="3" t="s">
        <v>348</v>
      </c>
      <c r="C16" s="27" t="s">
        <v>349</v>
      </c>
      <c r="D16" s="3" t="s">
        <v>350</v>
      </c>
      <c r="E16" s="29">
        <v>1001</v>
      </c>
      <c r="F16" s="3" t="s">
        <v>356</v>
      </c>
      <c r="G16" s="4">
        <v>1107</v>
      </c>
      <c r="H16" s="10" t="s">
        <v>352</v>
      </c>
      <c r="I16" s="10" t="s">
        <v>352</v>
      </c>
      <c r="J16" s="10" t="s">
        <v>352</v>
      </c>
      <c r="K16" s="10" t="s">
        <v>352</v>
      </c>
      <c r="L16" s="10" t="s">
        <v>352</v>
      </c>
      <c r="M16" s="10" t="s">
        <v>352</v>
      </c>
      <c r="N16" s="10" t="s">
        <v>352</v>
      </c>
      <c r="O16" s="60">
        <v>878.06</v>
      </c>
      <c r="P16" s="10" t="s">
        <v>352</v>
      </c>
      <c r="Q16" s="121">
        <v>578.79</v>
      </c>
      <c r="R16" s="123">
        <v>1.26</v>
      </c>
      <c r="S16" s="60">
        <v>395.25</v>
      </c>
      <c r="T16" s="10" t="s">
        <v>352</v>
      </c>
      <c r="U16" s="10" t="s">
        <v>352</v>
      </c>
      <c r="V16" s="10" t="s">
        <v>352</v>
      </c>
      <c r="W16" s="10" t="s">
        <v>352</v>
      </c>
      <c r="X16" s="10" t="s">
        <v>352</v>
      </c>
      <c r="Y16" s="10" t="s">
        <v>352</v>
      </c>
      <c r="Z16" s="10" t="s">
        <v>352</v>
      </c>
      <c r="AA16" s="10" t="s">
        <v>352</v>
      </c>
      <c r="AB16" s="10" t="s">
        <v>352</v>
      </c>
      <c r="AC16" s="10" t="s">
        <v>352</v>
      </c>
      <c r="AD16" s="10" t="s">
        <v>352</v>
      </c>
      <c r="AE16" s="10" t="s">
        <v>352</v>
      </c>
      <c r="AF16" s="10" t="s">
        <v>352</v>
      </c>
      <c r="AG16" s="10" t="s">
        <v>352</v>
      </c>
      <c r="AH16" s="10" t="s">
        <v>352</v>
      </c>
      <c r="AI16" s="10" t="s">
        <v>352</v>
      </c>
      <c r="AJ16" s="150">
        <v>6.92</v>
      </c>
      <c r="AK16" s="152">
        <v>162.31</v>
      </c>
      <c r="AL16" s="10" t="s">
        <v>352</v>
      </c>
      <c r="AM16" s="10" t="s">
        <v>352</v>
      </c>
      <c r="AN16" s="10" t="s">
        <v>352</v>
      </c>
      <c r="AO16" s="10" t="s">
        <v>352</v>
      </c>
      <c r="AP16" s="10" t="s">
        <v>352</v>
      </c>
      <c r="AQ16" s="160">
        <v>474.26</v>
      </c>
      <c r="AR16" s="161">
        <v>175.02</v>
      </c>
      <c r="AS16" s="10" t="s">
        <v>352</v>
      </c>
      <c r="AT16" s="122">
        <v>0.34</v>
      </c>
      <c r="AU16" s="122">
        <v>0</v>
      </c>
      <c r="AV16" s="61">
        <v>419.66809391878655</v>
      </c>
      <c r="AW16" s="61">
        <v>11.535473349794998</v>
      </c>
      <c r="AX16" s="131">
        <v>19.91</v>
      </c>
      <c r="AY16" s="10" t="s">
        <v>352</v>
      </c>
      <c r="AZ16" s="10" t="s">
        <v>352</v>
      </c>
      <c r="BA16" s="10" t="s">
        <v>352</v>
      </c>
      <c r="BB16" s="10" t="s">
        <v>352</v>
      </c>
      <c r="BC16" s="10" t="s">
        <v>352</v>
      </c>
      <c r="BD16" s="10" t="s">
        <v>352</v>
      </c>
      <c r="BE16" s="10" t="s">
        <v>352</v>
      </c>
      <c r="BF16" s="10" t="s">
        <v>352</v>
      </c>
      <c r="BG16" s="10" t="s">
        <v>352</v>
      </c>
      <c r="BH16" s="10" t="s">
        <v>352</v>
      </c>
      <c r="BI16" s="172">
        <v>18516</v>
      </c>
      <c r="BJ16" s="10" t="s">
        <v>352</v>
      </c>
      <c r="BK16" s="10" t="s">
        <v>352</v>
      </c>
      <c r="BL16" s="10" t="s">
        <v>352</v>
      </c>
      <c r="BM16" s="10" t="s">
        <v>352</v>
      </c>
      <c r="BN16" s="10" t="s">
        <v>352</v>
      </c>
      <c r="BO16" s="10" t="s">
        <v>352</v>
      </c>
      <c r="BP16" s="10" t="s">
        <v>352</v>
      </c>
      <c r="BQ16" s="10" t="s">
        <v>352</v>
      </c>
      <c r="BR16" s="10" t="s">
        <v>352</v>
      </c>
      <c r="BS16" s="10" t="s">
        <v>352</v>
      </c>
      <c r="BT16" s="188" t="s">
        <v>353</v>
      </c>
      <c r="BU16" s="131">
        <v>63.36</v>
      </c>
      <c r="BV16" s="10" t="s">
        <v>352</v>
      </c>
      <c r="BW16" s="10" t="s">
        <v>352</v>
      </c>
      <c r="BX16" s="10" t="s">
        <v>352</v>
      </c>
      <c r="BY16" s="10" t="s">
        <v>352</v>
      </c>
      <c r="BZ16" s="10" t="s">
        <v>352</v>
      </c>
      <c r="CA16" s="10" t="s">
        <v>352</v>
      </c>
      <c r="CB16" s="10" t="s">
        <v>352</v>
      </c>
      <c r="CC16" s="10" t="s">
        <v>352</v>
      </c>
      <c r="CD16" s="10" t="s">
        <v>352</v>
      </c>
    </row>
    <row r="17" spans="1:82">
      <c r="A17" s="3" t="s">
        <v>360</v>
      </c>
      <c r="B17" s="3" t="s">
        <v>360</v>
      </c>
      <c r="C17" s="27" t="s">
        <v>349</v>
      </c>
      <c r="D17" s="3" t="s">
        <v>360</v>
      </c>
      <c r="E17" s="29">
        <v>2101</v>
      </c>
      <c r="F17" s="3" t="s">
        <v>360</v>
      </c>
      <c r="G17" s="4">
        <v>2101</v>
      </c>
      <c r="H17" s="10" t="s">
        <v>352</v>
      </c>
      <c r="I17" s="10" t="s">
        <v>352</v>
      </c>
      <c r="J17" s="10" t="s">
        <v>352</v>
      </c>
      <c r="K17" s="10" t="s">
        <v>352</v>
      </c>
      <c r="L17" s="10" t="s">
        <v>352</v>
      </c>
      <c r="M17" s="10" t="s">
        <v>352</v>
      </c>
      <c r="N17" s="10" t="s">
        <v>352</v>
      </c>
      <c r="O17" s="60">
        <v>1249.44</v>
      </c>
      <c r="P17" s="10" t="s">
        <v>352</v>
      </c>
      <c r="Q17" s="121">
        <v>716.04</v>
      </c>
      <c r="R17" s="123">
        <v>1.24</v>
      </c>
      <c r="S17" s="60">
        <v>526.42999999999995</v>
      </c>
      <c r="T17" s="10" t="s">
        <v>352</v>
      </c>
      <c r="U17" s="10" t="s">
        <v>352</v>
      </c>
      <c r="V17" s="10" t="s">
        <v>352</v>
      </c>
      <c r="W17" s="10" t="s">
        <v>352</v>
      </c>
      <c r="X17" s="10" t="s">
        <v>352</v>
      </c>
      <c r="Y17" s="10" t="s">
        <v>352</v>
      </c>
      <c r="Z17" s="10" t="s">
        <v>352</v>
      </c>
      <c r="AA17" s="10" t="s">
        <v>352</v>
      </c>
      <c r="AB17" s="10" t="s">
        <v>352</v>
      </c>
      <c r="AC17" s="10" t="s">
        <v>352</v>
      </c>
      <c r="AD17" s="10" t="s">
        <v>352</v>
      </c>
      <c r="AE17" s="10" t="s">
        <v>352</v>
      </c>
      <c r="AF17" s="10" t="s">
        <v>352</v>
      </c>
      <c r="AG17" s="10" t="s">
        <v>352</v>
      </c>
      <c r="AH17" s="10" t="s">
        <v>352</v>
      </c>
      <c r="AI17" s="10" t="s">
        <v>352</v>
      </c>
      <c r="AJ17" s="150">
        <v>4.93</v>
      </c>
      <c r="AK17" s="152">
        <v>194.96</v>
      </c>
      <c r="AL17" s="10" t="s">
        <v>352</v>
      </c>
      <c r="AM17" s="10" t="s">
        <v>352</v>
      </c>
      <c r="AN17" s="10" t="s">
        <v>352</v>
      </c>
      <c r="AO17" s="10" t="s">
        <v>352</v>
      </c>
      <c r="AP17" s="10" t="s">
        <v>352</v>
      </c>
      <c r="AQ17" s="160">
        <v>682.54</v>
      </c>
      <c r="AR17" s="161">
        <v>488.26</v>
      </c>
      <c r="AS17" s="10" t="s">
        <v>352</v>
      </c>
      <c r="AT17" s="122">
        <v>3.88</v>
      </c>
      <c r="AU17" s="122">
        <v>0.19</v>
      </c>
      <c r="AV17" s="61">
        <v>809.59263560889576</v>
      </c>
      <c r="AW17" s="61">
        <v>22.104175230489165</v>
      </c>
      <c r="AX17" s="131">
        <v>17.559999999999999</v>
      </c>
      <c r="AY17" s="10" t="s">
        <v>352</v>
      </c>
      <c r="AZ17" s="10" t="s">
        <v>352</v>
      </c>
      <c r="BA17" s="10" t="s">
        <v>352</v>
      </c>
      <c r="BB17" s="10" t="s">
        <v>352</v>
      </c>
      <c r="BC17" s="10" t="s">
        <v>352</v>
      </c>
      <c r="BD17" s="10" t="s">
        <v>352</v>
      </c>
      <c r="BE17" s="10" t="s">
        <v>352</v>
      </c>
      <c r="BF17" s="10" t="s">
        <v>352</v>
      </c>
      <c r="BG17" s="10" t="s">
        <v>352</v>
      </c>
      <c r="BH17" s="10" t="s">
        <v>352</v>
      </c>
      <c r="BI17" s="172">
        <v>61651</v>
      </c>
      <c r="BJ17" s="10" t="s">
        <v>352</v>
      </c>
      <c r="BK17" s="10" t="s">
        <v>352</v>
      </c>
      <c r="BL17" s="10" t="s">
        <v>352</v>
      </c>
      <c r="BM17" s="10" t="s">
        <v>352</v>
      </c>
      <c r="BN17" s="10" t="s">
        <v>352</v>
      </c>
      <c r="BO17" s="10" t="s">
        <v>352</v>
      </c>
      <c r="BP17" s="10" t="s">
        <v>352</v>
      </c>
      <c r="BQ17" s="10" t="s">
        <v>352</v>
      </c>
      <c r="BR17" s="10" t="s">
        <v>352</v>
      </c>
      <c r="BS17" s="10" t="s">
        <v>352</v>
      </c>
      <c r="BT17" s="188" t="s">
        <v>353</v>
      </c>
      <c r="BU17" s="131">
        <v>16.329999999999998</v>
      </c>
      <c r="BV17" s="10" t="s">
        <v>352</v>
      </c>
      <c r="BW17" s="10" t="s">
        <v>352</v>
      </c>
      <c r="BX17" s="10" t="s">
        <v>352</v>
      </c>
      <c r="BY17" s="10" t="s">
        <v>352</v>
      </c>
      <c r="BZ17" s="10" t="s">
        <v>352</v>
      </c>
      <c r="CA17" s="10" t="s">
        <v>352</v>
      </c>
      <c r="CB17" s="10" t="s">
        <v>352</v>
      </c>
      <c r="CC17" s="10" t="s">
        <v>352</v>
      </c>
      <c r="CD17" s="10" t="s">
        <v>352</v>
      </c>
    </row>
    <row r="18" spans="1:82">
      <c r="A18" s="3" t="s">
        <v>360</v>
      </c>
      <c r="B18" s="3" t="s">
        <v>361</v>
      </c>
      <c r="C18" s="27" t="s">
        <v>349</v>
      </c>
      <c r="D18" s="3" t="s">
        <v>362</v>
      </c>
      <c r="E18" s="29">
        <v>2201</v>
      </c>
      <c r="F18" s="3" t="s">
        <v>362</v>
      </c>
      <c r="G18" s="4">
        <v>2201</v>
      </c>
      <c r="H18" s="10" t="s">
        <v>352</v>
      </c>
      <c r="I18" s="10" t="s">
        <v>352</v>
      </c>
      <c r="J18" s="10" t="s">
        <v>352</v>
      </c>
      <c r="K18" s="10" t="s">
        <v>352</v>
      </c>
      <c r="L18" s="10" t="s">
        <v>352</v>
      </c>
      <c r="M18" s="10" t="s">
        <v>352</v>
      </c>
      <c r="N18" s="10" t="s">
        <v>352</v>
      </c>
      <c r="O18" s="60">
        <v>1083.3599999999999</v>
      </c>
      <c r="P18" s="10" t="s">
        <v>352</v>
      </c>
      <c r="Q18" s="121">
        <v>677.06</v>
      </c>
      <c r="R18" s="123">
        <v>1.19</v>
      </c>
      <c r="S18" s="60">
        <v>555</v>
      </c>
      <c r="T18" s="10" t="s">
        <v>352</v>
      </c>
      <c r="U18" s="10" t="s">
        <v>352</v>
      </c>
      <c r="V18" s="10" t="s">
        <v>352</v>
      </c>
      <c r="W18" s="10" t="s">
        <v>352</v>
      </c>
      <c r="X18" s="10" t="s">
        <v>352</v>
      </c>
      <c r="Y18" s="10" t="s">
        <v>352</v>
      </c>
      <c r="Z18" s="10" t="s">
        <v>352</v>
      </c>
      <c r="AA18" s="10" t="s">
        <v>352</v>
      </c>
      <c r="AB18" s="10" t="s">
        <v>352</v>
      </c>
      <c r="AC18" s="10" t="s">
        <v>352</v>
      </c>
      <c r="AD18" s="10" t="s">
        <v>352</v>
      </c>
      <c r="AE18" s="10" t="s">
        <v>352</v>
      </c>
      <c r="AF18" s="10" t="s">
        <v>352</v>
      </c>
      <c r="AG18" s="10" t="s">
        <v>352</v>
      </c>
      <c r="AH18" s="10" t="s">
        <v>352</v>
      </c>
      <c r="AI18" s="10" t="s">
        <v>352</v>
      </c>
      <c r="AJ18" s="150">
        <v>6.83</v>
      </c>
      <c r="AK18" s="152">
        <v>218.56</v>
      </c>
      <c r="AL18" s="10" t="s">
        <v>352</v>
      </c>
      <c r="AM18" s="10" t="s">
        <v>352</v>
      </c>
      <c r="AN18" s="10" t="s">
        <v>352</v>
      </c>
      <c r="AO18" s="10" t="s">
        <v>352</v>
      </c>
      <c r="AP18" s="10" t="s">
        <v>352</v>
      </c>
      <c r="AQ18" s="160">
        <v>698.66</v>
      </c>
      <c r="AR18" s="161">
        <v>389.1</v>
      </c>
      <c r="AS18" s="10" t="s">
        <v>352</v>
      </c>
      <c r="AT18" s="122">
        <v>5.44</v>
      </c>
      <c r="AU18" s="122">
        <v>0.1</v>
      </c>
      <c r="AV18" s="61">
        <v>722.12793241306485</v>
      </c>
      <c r="AW18" s="61">
        <v>20.118632313382651</v>
      </c>
      <c r="AX18" s="131">
        <v>10.32</v>
      </c>
      <c r="AY18" s="10" t="s">
        <v>352</v>
      </c>
      <c r="AZ18" s="10" t="s">
        <v>352</v>
      </c>
      <c r="BA18" s="10" t="s">
        <v>352</v>
      </c>
      <c r="BB18" s="10" t="s">
        <v>352</v>
      </c>
      <c r="BC18" s="10" t="s">
        <v>352</v>
      </c>
      <c r="BD18" s="10" t="s">
        <v>352</v>
      </c>
      <c r="BE18" s="10" t="s">
        <v>352</v>
      </c>
      <c r="BF18" s="10" t="s">
        <v>352</v>
      </c>
      <c r="BG18" s="10" t="s">
        <v>352</v>
      </c>
      <c r="BH18" s="10" t="s">
        <v>352</v>
      </c>
      <c r="BI18" s="172">
        <v>30302</v>
      </c>
      <c r="BJ18" s="10" t="s">
        <v>352</v>
      </c>
      <c r="BK18" s="10" t="s">
        <v>352</v>
      </c>
      <c r="BL18" s="10" t="s">
        <v>352</v>
      </c>
      <c r="BM18" s="10" t="s">
        <v>352</v>
      </c>
      <c r="BN18" s="10" t="s">
        <v>352</v>
      </c>
      <c r="BO18" s="10" t="s">
        <v>352</v>
      </c>
      <c r="BP18" s="10" t="s">
        <v>352</v>
      </c>
      <c r="BQ18" s="10" t="s">
        <v>352</v>
      </c>
      <c r="BR18" s="10" t="s">
        <v>352</v>
      </c>
      <c r="BS18" s="10" t="s">
        <v>352</v>
      </c>
      <c r="BT18" s="188" t="s">
        <v>355</v>
      </c>
      <c r="BU18" s="131">
        <v>22.6</v>
      </c>
      <c r="BV18" s="10" t="s">
        <v>352</v>
      </c>
      <c r="BW18" s="10" t="s">
        <v>352</v>
      </c>
      <c r="BX18" s="10" t="s">
        <v>352</v>
      </c>
      <c r="BY18" s="10" t="s">
        <v>352</v>
      </c>
      <c r="BZ18" s="10" t="s">
        <v>352</v>
      </c>
      <c r="CA18" s="10" t="s">
        <v>352</v>
      </c>
      <c r="CB18" s="10" t="s">
        <v>352</v>
      </c>
      <c r="CC18" s="10" t="s">
        <v>352</v>
      </c>
      <c r="CD18" s="10" t="s">
        <v>352</v>
      </c>
    </row>
    <row r="19" spans="1:82">
      <c r="A19" s="3" t="s">
        <v>363</v>
      </c>
      <c r="B19" s="3" t="s">
        <v>364</v>
      </c>
      <c r="C19" s="27" t="s">
        <v>349</v>
      </c>
      <c r="D19" s="3" t="s">
        <v>365</v>
      </c>
      <c r="E19" s="29">
        <v>3001</v>
      </c>
      <c r="F19" s="3" t="s">
        <v>364</v>
      </c>
      <c r="G19" s="4">
        <v>3101</v>
      </c>
      <c r="H19" s="10" t="s">
        <v>352</v>
      </c>
      <c r="I19" s="10" t="s">
        <v>352</v>
      </c>
      <c r="J19" s="10" t="s">
        <v>352</v>
      </c>
      <c r="K19" s="10" t="s">
        <v>352</v>
      </c>
      <c r="L19" s="10" t="s">
        <v>352</v>
      </c>
      <c r="M19" s="10" t="s">
        <v>352</v>
      </c>
      <c r="N19" s="10" t="s">
        <v>352</v>
      </c>
      <c r="O19" s="60">
        <v>1270.29</v>
      </c>
      <c r="P19" s="10" t="s">
        <v>352</v>
      </c>
      <c r="Q19" s="121">
        <v>671.99</v>
      </c>
      <c r="R19" s="123">
        <v>1.29</v>
      </c>
      <c r="S19" s="60">
        <v>465.09</v>
      </c>
      <c r="T19" s="10" t="s">
        <v>352</v>
      </c>
      <c r="U19" s="10" t="s">
        <v>352</v>
      </c>
      <c r="V19" s="10" t="s">
        <v>352</v>
      </c>
      <c r="W19" s="10" t="s">
        <v>352</v>
      </c>
      <c r="X19" s="10" t="s">
        <v>352</v>
      </c>
      <c r="Y19" s="10" t="s">
        <v>352</v>
      </c>
      <c r="Z19" s="10" t="s">
        <v>352</v>
      </c>
      <c r="AA19" s="10" t="s">
        <v>352</v>
      </c>
      <c r="AB19" s="10" t="s">
        <v>352</v>
      </c>
      <c r="AC19" s="10" t="s">
        <v>352</v>
      </c>
      <c r="AD19" s="10" t="s">
        <v>352</v>
      </c>
      <c r="AE19" s="10" t="s">
        <v>352</v>
      </c>
      <c r="AF19" s="10" t="s">
        <v>352</v>
      </c>
      <c r="AG19" s="10" t="s">
        <v>352</v>
      </c>
      <c r="AH19" s="10" t="s">
        <v>352</v>
      </c>
      <c r="AI19" s="10" t="s">
        <v>352</v>
      </c>
      <c r="AJ19" s="150">
        <v>6.4</v>
      </c>
      <c r="AK19" s="152">
        <v>172.91</v>
      </c>
      <c r="AL19" s="10" t="s">
        <v>352</v>
      </c>
      <c r="AM19" s="10" t="s">
        <v>352</v>
      </c>
      <c r="AN19" s="10" t="s">
        <v>352</v>
      </c>
      <c r="AO19" s="10" t="s">
        <v>352</v>
      </c>
      <c r="AP19" s="10" t="s">
        <v>352</v>
      </c>
      <c r="AQ19" s="160">
        <v>650.16999999999996</v>
      </c>
      <c r="AR19" s="161">
        <v>395.62</v>
      </c>
      <c r="AS19" s="10" t="s">
        <v>352</v>
      </c>
      <c r="AT19" s="122">
        <v>14.04</v>
      </c>
      <c r="AU19" s="122">
        <v>0.28999999999999998</v>
      </c>
      <c r="AV19" s="61">
        <v>650.66695823310738</v>
      </c>
      <c r="AW19" s="61">
        <v>20.787583107250562</v>
      </c>
      <c r="AX19" s="131">
        <v>18.91</v>
      </c>
      <c r="AY19" s="10" t="s">
        <v>352</v>
      </c>
      <c r="AZ19" s="10" t="s">
        <v>352</v>
      </c>
      <c r="BA19" s="10" t="s">
        <v>352</v>
      </c>
      <c r="BB19" s="10" t="s">
        <v>352</v>
      </c>
      <c r="BC19" s="10" t="s">
        <v>352</v>
      </c>
      <c r="BD19" s="10" t="s">
        <v>352</v>
      </c>
      <c r="BE19" s="10" t="s">
        <v>352</v>
      </c>
      <c r="BF19" s="10" t="s">
        <v>352</v>
      </c>
      <c r="BG19" s="10" t="s">
        <v>352</v>
      </c>
      <c r="BH19" s="10" t="s">
        <v>352</v>
      </c>
      <c r="BI19" s="172">
        <v>13380</v>
      </c>
      <c r="BJ19" s="10" t="s">
        <v>352</v>
      </c>
      <c r="BK19" s="10" t="s">
        <v>352</v>
      </c>
      <c r="BL19" s="10" t="s">
        <v>352</v>
      </c>
      <c r="BM19" s="10" t="s">
        <v>352</v>
      </c>
      <c r="BN19" s="10" t="s">
        <v>352</v>
      </c>
      <c r="BO19" s="10" t="s">
        <v>352</v>
      </c>
      <c r="BP19" s="10" t="s">
        <v>352</v>
      </c>
      <c r="BQ19" s="10" t="s">
        <v>352</v>
      </c>
      <c r="BR19" s="10" t="s">
        <v>352</v>
      </c>
      <c r="BS19" s="10" t="s">
        <v>352</v>
      </c>
      <c r="BT19" s="188" t="s">
        <v>353</v>
      </c>
      <c r="BU19" s="131">
        <v>36.159999999999997</v>
      </c>
      <c r="BV19" s="10" t="s">
        <v>352</v>
      </c>
      <c r="BW19" s="10" t="s">
        <v>352</v>
      </c>
      <c r="BX19" s="10" t="s">
        <v>352</v>
      </c>
      <c r="BY19" s="10" t="s">
        <v>352</v>
      </c>
      <c r="BZ19" s="10" t="s">
        <v>352</v>
      </c>
      <c r="CA19" s="10" t="s">
        <v>352</v>
      </c>
      <c r="CB19" s="10" t="s">
        <v>352</v>
      </c>
      <c r="CC19" s="10" t="s">
        <v>352</v>
      </c>
      <c r="CD19" s="10" t="s">
        <v>352</v>
      </c>
    </row>
    <row r="20" spans="1:82">
      <c r="A20" s="3" t="s">
        <v>363</v>
      </c>
      <c r="B20" s="3" t="s">
        <v>364</v>
      </c>
      <c r="C20" s="27" t="s">
        <v>349</v>
      </c>
      <c r="D20" s="3" t="s">
        <v>365</v>
      </c>
      <c r="E20" s="29">
        <v>3001</v>
      </c>
      <c r="F20" s="3" t="s">
        <v>366</v>
      </c>
      <c r="G20" s="4">
        <v>3103</v>
      </c>
      <c r="H20" s="10" t="s">
        <v>352</v>
      </c>
      <c r="I20" s="10" t="s">
        <v>352</v>
      </c>
      <c r="J20" s="10" t="s">
        <v>352</v>
      </c>
      <c r="K20" s="10" t="s">
        <v>352</v>
      </c>
      <c r="L20" s="10" t="s">
        <v>352</v>
      </c>
      <c r="M20" s="10" t="s">
        <v>352</v>
      </c>
      <c r="N20" s="10" t="s">
        <v>352</v>
      </c>
      <c r="O20" s="60">
        <v>1576.59</v>
      </c>
      <c r="P20" s="10" t="s">
        <v>352</v>
      </c>
      <c r="Q20" s="121">
        <v>720.58</v>
      </c>
      <c r="R20" s="123">
        <v>0.85</v>
      </c>
      <c r="S20" s="60">
        <v>540.25</v>
      </c>
      <c r="T20" s="10" t="s">
        <v>352</v>
      </c>
      <c r="U20" s="10" t="s">
        <v>352</v>
      </c>
      <c r="V20" s="10" t="s">
        <v>352</v>
      </c>
      <c r="W20" s="10" t="s">
        <v>352</v>
      </c>
      <c r="X20" s="10" t="s">
        <v>352</v>
      </c>
      <c r="Y20" s="10" t="s">
        <v>352</v>
      </c>
      <c r="Z20" s="10" t="s">
        <v>352</v>
      </c>
      <c r="AA20" s="10" t="s">
        <v>352</v>
      </c>
      <c r="AB20" s="10" t="s">
        <v>352</v>
      </c>
      <c r="AC20" s="10" t="s">
        <v>352</v>
      </c>
      <c r="AD20" s="10" t="s">
        <v>352</v>
      </c>
      <c r="AE20" s="10" t="s">
        <v>352</v>
      </c>
      <c r="AF20" s="10" t="s">
        <v>352</v>
      </c>
      <c r="AG20" s="10" t="s">
        <v>352</v>
      </c>
      <c r="AH20" s="10" t="s">
        <v>352</v>
      </c>
      <c r="AI20" s="10" t="s">
        <v>352</v>
      </c>
      <c r="AJ20" s="150">
        <v>6.99</v>
      </c>
      <c r="AK20" s="152">
        <v>181.67</v>
      </c>
      <c r="AL20" s="10" t="s">
        <v>352</v>
      </c>
      <c r="AM20" s="10" t="s">
        <v>352</v>
      </c>
      <c r="AN20" s="10" t="s">
        <v>352</v>
      </c>
      <c r="AO20" s="10" t="s">
        <v>352</v>
      </c>
      <c r="AP20" s="10" t="s">
        <v>352</v>
      </c>
      <c r="AQ20" s="160">
        <v>534.23</v>
      </c>
      <c r="AR20" s="161">
        <v>3361.3</v>
      </c>
      <c r="AS20" s="10" t="s">
        <v>352</v>
      </c>
      <c r="AT20" s="122">
        <v>21.22</v>
      </c>
      <c r="AU20" s="122">
        <v>0.55000000000000004</v>
      </c>
      <c r="AV20" s="61">
        <v>102.65486725663716</v>
      </c>
      <c r="AW20" s="61">
        <v>2.4315259921743992</v>
      </c>
      <c r="AX20" s="131">
        <v>23.63</v>
      </c>
      <c r="AY20" s="10" t="s">
        <v>352</v>
      </c>
      <c r="AZ20" s="10" t="s">
        <v>352</v>
      </c>
      <c r="BA20" s="10" t="s">
        <v>352</v>
      </c>
      <c r="BB20" s="10" t="s">
        <v>352</v>
      </c>
      <c r="BC20" s="10" t="s">
        <v>352</v>
      </c>
      <c r="BD20" s="10" t="s">
        <v>352</v>
      </c>
      <c r="BE20" s="10" t="s">
        <v>352</v>
      </c>
      <c r="BF20" s="10" t="s">
        <v>352</v>
      </c>
      <c r="BG20" s="10" t="s">
        <v>352</v>
      </c>
      <c r="BH20" s="10" t="s">
        <v>352</v>
      </c>
      <c r="BI20" s="172" t="s">
        <v>351</v>
      </c>
      <c r="BJ20" s="10" t="s">
        <v>352</v>
      </c>
      <c r="BK20" s="10" t="s">
        <v>352</v>
      </c>
      <c r="BL20" s="10" t="s">
        <v>352</v>
      </c>
      <c r="BM20" s="10" t="s">
        <v>352</v>
      </c>
      <c r="BN20" s="10" t="s">
        <v>352</v>
      </c>
      <c r="BO20" s="10" t="s">
        <v>352</v>
      </c>
      <c r="BP20" s="10" t="s">
        <v>352</v>
      </c>
      <c r="BQ20" s="10" t="s">
        <v>352</v>
      </c>
      <c r="BR20" s="10" t="s">
        <v>352</v>
      </c>
      <c r="BS20" s="10" t="s">
        <v>352</v>
      </c>
      <c r="BT20" s="188" t="s">
        <v>355</v>
      </c>
      <c r="BU20" s="131">
        <v>23.49</v>
      </c>
      <c r="BV20" s="10" t="s">
        <v>352</v>
      </c>
      <c r="BW20" s="10" t="s">
        <v>352</v>
      </c>
      <c r="BX20" s="10" t="s">
        <v>352</v>
      </c>
      <c r="BY20" s="10" t="s">
        <v>352</v>
      </c>
      <c r="BZ20" s="10" t="s">
        <v>352</v>
      </c>
      <c r="CA20" s="10" t="s">
        <v>352</v>
      </c>
      <c r="CB20" s="10" t="s">
        <v>352</v>
      </c>
      <c r="CC20" s="10" t="s">
        <v>352</v>
      </c>
      <c r="CD20" s="10" t="s">
        <v>352</v>
      </c>
    </row>
    <row r="21" spans="1:82">
      <c r="A21" s="3" t="s">
        <v>363</v>
      </c>
      <c r="B21" s="5" t="s">
        <v>367</v>
      </c>
      <c r="C21" s="27" t="s">
        <v>349</v>
      </c>
      <c r="D21" s="5" t="s">
        <v>368</v>
      </c>
      <c r="E21" s="29">
        <v>3301</v>
      </c>
      <c r="F21" s="5" t="s">
        <v>368</v>
      </c>
      <c r="G21" s="4">
        <v>3301</v>
      </c>
      <c r="H21" s="10" t="s">
        <v>352</v>
      </c>
      <c r="I21" s="10" t="s">
        <v>352</v>
      </c>
      <c r="J21" s="10" t="s">
        <v>352</v>
      </c>
      <c r="K21" s="10" t="s">
        <v>352</v>
      </c>
      <c r="L21" s="10" t="s">
        <v>352</v>
      </c>
      <c r="M21" s="10" t="s">
        <v>352</v>
      </c>
      <c r="N21" s="10" t="s">
        <v>352</v>
      </c>
      <c r="O21" s="60">
        <v>1119.8699999999999</v>
      </c>
      <c r="P21" s="10" t="s">
        <v>352</v>
      </c>
      <c r="Q21" s="121">
        <v>702.06</v>
      </c>
      <c r="R21" s="123">
        <v>1.35</v>
      </c>
      <c r="S21" s="60">
        <v>462.77</v>
      </c>
      <c r="T21" s="10" t="s">
        <v>352</v>
      </c>
      <c r="U21" s="10" t="s">
        <v>352</v>
      </c>
      <c r="V21" s="10" t="s">
        <v>352</v>
      </c>
      <c r="W21" s="10" t="s">
        <v>352</v>
      </c>
      <c r="X21" s="10" t="s">
        <v>352</v>
      </c>
      <c r="Y21" s="10" t="s">
        <v>352</v>
      </c>
      <c r="Z21" s="10" t="s">
        <v>352</v>
      </c>
      <c r="AA21" s="10" t="s">
        <v>352</v>
      </c>
      <c r="AB21" s="10" t="s">
        <v>352</v>
      </c>
      <c r="AC21" s="10" t="s">
        <v>352</v>
      </c>
      <c r="AD21" s="10" t="s">
        <v>352</v>
      </c>
      <c r="AE21" s="10" t="s">
        <v>352</v>
      </c>
      <c r="AF21" s="10" t="s">
        <v>352</v>
      </c>
      <c r="AG21" s="10" t="s">
        <v>352</v>
      </c>
      <c r="AH21" s="10" t="s">
        <v>352</v>
      </c>
      <c r="AI21" s="10" t="s">
        <v>352</v>
      </c>
      <c r="AJ21" s="150">
        <v>8.77</v>
      </c>
      <c r="AK21" s="152">
        <v>482.38</v>
      </c>
      <c r="AL21" s="10" t="s">
        <v>352</v>
      </c>
      <c r="AM21" s="10" t="s">
        <v>352</v>
      </c>
      <c r="AN21" s="10" t="s">
        <v>352</v>
      </c>
      <c r="AO21" s="10" t="s">
        <v>352</v>
      </c>
      <c r="AP21" s="10" t="s">
        <v>352</v>
      </c>
      <c r="AQ21" s="160">
        <v>633.08000000000004</v>
      </c>
      <c r="AR21" s="161">
        <v>425.1</v>
      </c>
      <c r="AS21" s="10" t="s">
        <v>352</v>
      </c>
      <c r="AT21" s="122">
        <v>12.25</v>
      </c>
      <c r="AU21" s="122">
        <v>0.23</v>
      </c>
      <c r="AV21" s="61">
        <v>419.06954204022287</v>
      </c>
      <c r="AW21" s="61">
        <v>12.134926064305636</v>
      </c>
      <c r="AX21" s="131">
        <v>33.18</v>
      </c>
      <c r="AY21" s="10" t="s">
        <v>352</v>
      </c>
      <c r="AZ21" s="10" t="s">
        <v>352</v>
      </c>
      <c r="BA21" s="10" t="s">
        <v>352</v>
      </c>
      <c r="BB21" s="10" t="s">
        <v>352</v>
      </c>
      <c r="BC21" s="10" t="s">
        <v>352</v>
      </c>
      <c r="BD21" s="10" t="s">
        <v>352</v>
      </c>
      <c r="BE21" s="10" t="s">
        <v>352</v>
      </c>
      <c r="BF21" s="10" t="s">
        <v>352</v>
      </c>
      <c r="BG21" s="10" t="s">
        <v>352</v>
      </c>
      <c r="BH21" s="10" t="s">
        <v>352</v>
      </c>
      <c r="BI21" s="172" t="s">
        <v>351</v>
      </c>
      <c r="BJ21" s="10" t="s">
        <v>352</v>
      </c>
      <c r="BK21" s="10" t="s">
        <v>352</v>
      </c>
      <c r="BL21" s="10" t="s">
        <v>352</v>
      </c>
      <c r="BM21" s="10" t="s">
        <v>352</v>
      </c>
      <c r="BN21" s="10" t="s">
        <v>352</v>
      </c>
      <c r="BO21" s="10" t="s">
        <v>352</v>
      </c>
      <c r="BP21" s="10" t="s">
        <v>352</v>
      </c>
      <c r="BQ21" s="10" t="s">
        <v>352</v>
      </c>
      <c r="BR21" s="10" t="s">
        <v>352</v>
      </c>
      <c r="BS21" s="10" t="s">
        <v>352</v>
      </c>
      <c r="BT21" s="188" t="s">
        <v>355</v>
      </c>
      <c r="BU21" s="131">
        <v>56.72</v>
      </c>
      <c r="BV21" s="10" t="s">
        <v>352</v>
      </c>
      <c r="BW21" s="10" t="s">
        <v>352</v>
      </c>
      <c r="BX21" s="10" t="s">
        <v>352</v>
      </c>
      <c r="BY21" s="10" t="s">
        <v>352</v>
      </c>
      <c r="BZ21" s="10" t="s">
        <v>352</v>
      </c>
      <c r="CA21" s="10" t="s">
        <v>352</v>
      </c>
      <c r="CB21" s="10" t="s">
        <v>352</v>
      </c>
      <c r="CC21" s="10" t="s">
        <v>352</v>
      </c>
      <c r="CD21" s="10" t="s">
        <v>352</v>
      </c>
    </row>
    <row r="22" spans="1:82">
      <c r="A22" s="3" t="s">
        <v>369</v>
      </c>
      <c r="B22" s="3" t="s">
        <v>370</v>
      </c>
      <c r="C22" s="27" t="s">
        <v>349</v>
      </c>
      <c r="D22" s="3" t="s">
        <v>371</v>
      </c>
      <c r="E22" s="29">
        <v>4001</v>
      </c>
      <c r="F22" s="3" t="s">
        <v>372</v>
      </c>
      <c r="G22" s="4">
        <v>4101</v>
      </c>
      <c r="H22" s="10" t="s">
        <v>352</v>
      </c>
      <c r="I22" s="10" t="s">
        <v>352</v>
      </c>
      <c r="J22" s="10" t="s">
        <v>352</v>
      </c>
      <c r="K22" s="10" t="s">
        <v>352</v>
      </c>
      <c r="L22" s="10" t="s">
        <v>352</v>
      </c>
      <c r="M22" s="10" t="s">
        <v>352</v>
      </c>
      <c r="N22" s="10" t="s">
        <v>352</v>
      </c>
      <c r="O22" s="60">
        <v>1211.26</v>
      </c>
      <c r="P22" s="10" t="s">
        <v>352</v>
      </c>
      <c r="Q22" s="121">
        <v>749.57</v>
      </c>
      <c r="R22" s="123">
        <v>1.44</v>
      </c>
      <c r="S22" s="60">
        <v>473.79</v>
      </c>
      <c r="T22" s="10" t="s">
        <v>352</v>
      </c>
      <c r="U22" s="10" t="s">
        <v>352</v>
      </c>
      <c r="V22" s="10" t="s">
        <v>352</v>
      </c>
      <c r="W22" s="10" t="s">
        <v>352</v>
      </c>
      <c r="X22" s="10" t="s">
        <v>352</v>
      </c>
      <c r="Y22" s="10" t="s">
        <v>352</v>
      </c>
      <c r="Z22" s="10" t="s">
        <v>352</v>
      </c>
      <c r="AA22" s="10" t="s">
        <v>352</v>
      </c>
      <c r="AB22" s="10" t="s">
        <v>352</v>
      </c>
      <c r="AC22" s="10" t="s">
        <v>352</v>
      </c>
      <c r="AD22" s="10" t="s">
        <v>352</v>
      </c>
      <c r="AE22" s="10" t="s">
        <v>352</v>
      </c>
      <c r="AF22" s="10" t="s">
        <v>352</v>
      </c>
      <c r="AG22" s="10" t="s">
        <v>352</v>
      </c>
      <c r="AH22" s="10" t="s">
        <v>352</v>
      </c>
      <c r="AI22" s="10" t="s">
        <v>352</v>
      </c>
      <c r="AJ22" s="150">
        <v>2.8</v>
      </c>
      <c r="AK22" s="152">
        <v>218.3</v>
      </c>
      <c r="AL22" s="10" t="s">
        <v>352</v>
      </c>
      <c r="AM22" s="10" t="s">
        <v>352</v>
      </c>
      <c r="AN22" s="10" t="s">
        <v>352</v>
      </c>
      <c r="AO22" s="10" t="s">
        <v>352</v>
      </c>
      <c r="AP22" s="10" t="s">
        <v>352</v>
      </c>
      <c r="AQ22" s="160">
        <v>691.05</v>
      </c>
      <c r="AR22" s="161">
        <v>391.06</v>
      </c>
      <c r="AS22" s="10" t="s">
        <v>352</v>
      </c>
      <c r="AT22" s="122">
        <v>25.38</v>
      </c>
      <c r="AU22" s="122">
        <v>0.8</v>
      </c>
      <c r="AV22" s="61">
        <v>636.34980276480439</v>
      </c>
      <c r="AW22" s="61">
        <v>21.775563174928703</v>
      </c>
      <c r="AX22" s="131">
        <v>7.81</v>
      </c>
      <c r="AY22" s="10" t="s">
        <v>352</v>
      </c>
      <c r="AZ22" s="10" t="s">
        <v>352</v>
      </c>
      <c r="BA22" s="10" t="s">
        <v>352</v>
      </c>
      <c r="BB22" s="10" t="s">
        <v>352</v>
      </c>
      <c r="BC22" s="10" t="s">
        <v>352</v>
      </c>
      <c r="BD22" s="10" t="s">
        <v>352</v>
      </c>
      <c r="BE22" s="10" t="s">
        <v>352</v>
      </c>
      <c r="BF22" s="10" t="s">
        <v>352</v>
      </c>
      <c r="BG22" s="10" t="s">
        <v>352</v>
      </c>
      <c r="BH22" s="10" t="s">
        <v>352</v>
      </c>
      <c r="BI22" s="172">
        <v>12143</v>
      </c>
      <c r="BJ22" s="10" t="s">
        <v>352</v>
      </c>
      <c r="BK22" s="10" t="s">
        <v>352</v>
      </c>
      <c r="BL22" s="10" t="s">
        <v>352</v>
      </c>
      <c r="BM22" s="10" t="s">
        <v>352</v>
      </c>
      <c r="BN22" s="10" t="s">
        <v>352</v>
      </c>
      <c r="BO22" s="10" t="s">
        <v>352</v>
      </c>
      <c r="BP22" s="10" t="s">
        <v>352</v>
      </c>
      <c r="BQ22" s="10" t="s">
        <v>352</v>
      </c>
      <c r="BR22" s="10" t="s">
        <v>352</v>
      </c>
      <c r="BS22" s="10" t="s">
        <v>352</v>
      </c>
      <c r="BT22" s="188" t="s">
        <v>353</v>
      </c>
      <c r="BU22" s="131">
        <v>29.16</v>
      </c>
      <c r="BV22" s="10" t="s">
        <v>352</v>
      </c>
      <c r="BW22" s="10" t="s">
        <v>352</v>
      </c>
      <c r="BX22" s="10" t="s">
        <v>352</v>
      </c>
      <c r="BY22" s="10" t="s">
        <v>352</v>
      </c>
      <c r="BZ22" s="10" t="s">
        <v>352</v>
      </c>
      <c r="CA22" s="10" t="s">
        <v>352</v>
      </c>
      <c r="CB22" s="10" t="s">
        <v>352</v>
      </c>
      <c r="CC22" s="10" t="s">
        <v>352</v>
      </c>
      <c r="CD22" s="10" t="s">
        <v>352</v>
      </c>
    </row>
    <row r="23" spans="1:82">
      <c r="A23" s="3" t="s">
        <v>369</v>
      </c>
      <c r="B23" s="3" t="s">
        <v>370</v>
      </c>
      <c r="C23" s="27" t="s">
        <v>349</v>
      </c>
      <c r="D23" s="3" t="s">
        <v>371</v>
      </c>
      <c r="E23" s="29">
        <v>4001</v>
      </c>
      <c r="F23" s="3" t="s">
        <v>369</v>
      </c>
      <c r="G23" s="4">
        <v>4102</v>
      </c>
      <c r="H23" s="10" t="s">
        <v>352</v>
      </c>
      <c r="I23" s="10" t="s">
        <v>352</v>
      </c>
      <c r="J23" s="10" t="s">
        <v>352</v>
      </c>
      <c r="K23" s="10" t="s">
        <v>352</v>
      </c>
      <c r="L23" s="10" t="s">
        <v>352</v>
      </c>
      <c r="M23" s="10" t="s">
        <v>352</v>
      </c>
      <c r="N23" s="10" t="s">
        <v>352</v>
      </c>
      <c r="O23" s="60">
        <v>1500.41</v>
      </c>
      <c r="P23" s="10" t="s">
        <v>352</v>
      </c>
      <c r="Q23" s="121">
        <v>643.04999999999995</v>
      </c>
      <c r="R23" s="123">
        <v>1.1499999999999999</v>
      </c>
      <c r="S23" s="60">
        <v>422.76</v>
      </c>
      <c r="T23" s="10" t="s">
        <v>352</v>
      </c>
      <c r="U23" s="10" t="s">
        <v>352</v>
      </c>
      <c r="V23" s="10" t="s">
        <v>352</v>
      </c>
      <c r="W23" s="10" t="s">
        <v>352</v>
      </c>
      <c r="X23" s="10" t="s">
        <v>352</v>
      </c>
      <c r="Y23" s="10" t="s">
        <v>352</v>
      </c>
      <c r="Z23" s="10" t="s">
        <v>352</v>
      </c>
      <c r="AA23" s="10" t="s">
        <v>352</v>
      </c>
      <c r="AB23" s="10" t="s">
        <v>352</v>
      </c>
      <c r="AC23" s="10" t="s">
        <v>352</v>
      </c>
      <c r="AD23" s="10" t="s">
        <v>352</v>
      </c>
      <c r="AE23" s="10" t="s">
        <v>352</v>
      </c>
      <c r="AF23" s="10" t="s">
        <v>352</v>
      </c>
      <c r="AG23" s="10" t="s">
        <v>352</v>
      </c>
      <c r="AH23" s="10" t="s">
        <v>352</v>
      </c>
      <c r="AI23" s="10" t="s">
        <v>352</v>
      </c>
      <c r="AJ23" s="150">
        <v>5.45</v>
      </c>
      <c r="AK23" s="152">
        <v>201.76</v>
      </c>
      <c r="AL23" s="10" t="s">
        <v>352</v>
      </c>
      <c r="AM23" s="10" t="s">
        <v>352</v>
      </c>
      <c r="AN23" s="10" t="s">
        <v>352</v>
      </c>
      <c r="AO23" s="10" t="s">
        <v>352</v>
      </c>
      <c r="AP23" s="10" t="s">
        <v>352</v>
      </c>
      <c r="AQ23" s="160">
        <v>658.01</v>
      </c>
      <c r="AR23" s="161">
        <v>402.85</v>
      </c>
      <c r="AS23" s="10" t="s">
        <v>352</v>
      </c>
      <c r="AT23" s="122">
        <v>16.8</v>
      </c>
      <c r="AU23" s="122">
        <v>0.31</v>
      </c>
      <c r="AV23" s="61">
        <v>620.7939812950799</v>
      </c>
      <c r="AW23" s="61">
        <v>21.019728513837226</v>
      </c>
      <c r="AX23" s="131">
        <v>10.56</v>
      </c>
      <c r="AY23" s="10" t="s">
        <v>352</v>
      </c>
      <c r="AZ23" s="10" t="s">
        <v>352</v>
      </c>
      <c r="BA23" s="10" t="s">
        <v>352</v>
      </c>
      <c r="BB23" s="10" t="s">
        <v>352</v>
      </c>
      <c r="BC23" s="10" t="s">
        <v>352</v>
      </c>
      <c r="BD23" s="10" t="s">
        <v>352</v>
      </c>
      <c r="BE23" s="10" t="s">
        <v>352</v>
      </c>
      <c r="BF23" s="10" t="s">
        <v>352</v>
      </c>
      <c r="BG23" s="10" t="s">
        <v>352</v>
      </c>
      <c r="BH23" s="10" t="s">
        <v>352</v>
      </c>
      <c r="BI23" s="172">
        <v>11844</v>
      </c>
      <c r="BJ23" s="10" t="s">
        <v>352</v>
      </c>
      <c r="BK23" s="10" t="s">
        <v>352</v>
      </c>
      <c r="BL23" s="10" t="s">
        <v>352</v>
      </c>
      <c r="BM23" s="10" t="s">
        <v>352</v>
      </c>
      <c r="BN23" s="10" t="s">
        <v>352</v>
      </c>
      <c r="BO23" s="10" t="s">
        <v>352</v>
      </c>
      <c r="BP23" s="10" t="s">
        <v>352</v>
      </c>
      <c r="BQ23" s="10" t="s">
        <v>352</v>
      </c>
      <c r="BR23" s="10" t="s">
        <v>352</v>
      </c>
      <c r="BS23" s="10" t="s">
        <v>352</v>
      </c>
      <c r="BT23" s="188" t="s">
        <v>353</v>
      </c>
      <c r="BU23" s="131">
        <v>43.67</v>
      </c>
      <c r="BV23" s="10" t="s">
        <v>352</v>
      </c>
      <c r="BW23" s="10" t="s">
        <v>352</v>
      </c>
      <c r="BX23" s="10" t="s">
        <v>352</v>
      </c>
      <c r="BY23" s="10" t="s">
        <v>352</v>
      </c>
      <c r="BZ23" s="10" t="s">
        <v>352</v>
      </c>
      <c r="CA23" s="10" t="s">
        <v>352</v>
      </c>
      <c r="CB23" s="10" t="s">
        <v>352</v>
      </c>
      <c r="CC23" s="10" t="s">
        <v>352</v>
      </c>
      <c r="CD23" s="10" t="s">
        <v>352</v>
      </c>
    </row>
    <row r="24" spans="1:82">
      <c r="A24" s="3" t="s">
        <v>369</v>
      </c>
      <c r="B24" s="3" t="s">
        <v>373</v>
      </c>
      <c r="C24" s="27" t="s">
        <v>349</v>
      </c>
      <c r="D24" s="3" t="s">
        <v>374</v>
      </c>
      <c r="E24" s="29">
        <v>4301</v>
      </c>
      <c r="F24" s="6" t="s">
        <v>374</v>
      </c>
      <c r="G24" s="4">
        <v>4301</v>
      </c>
      <c r="H24" s="10" t="s">
        <v>352</v>
      </c>
      <c r="I24" s="10" t="s">
        <v>352</v>
      </c>
      <c r="J24" s="10" t="s">
        <v>352</v>
      </c>
      <c r="K24" s="10" t="s">
        <v>352</v>
      </c>
      <c r="L24" s="10" t="s">
        <v>352</v>
      </c>
      <c r="M24" s="10" t="s">
        <v>352</v>
      </c>
      <c r="N24" s="10" t="s">
        <v>352</v>
      </c>
      <c r="O24" s="60">
        <v>996.27</v>
      </c>
      <c r="P24" s="10" t="s">
        <v>352</v>
      </c>
      <c r="Q24" s="121">
        <v>654.88</v>
      </c>
      <c r="R24" s="123">
        <v>1.43</v>
      </c>
      <c r="S24" s="60">
        <v>426.49</v>
      </c>
      <c r="T24" s="10" t="s">
        <v>352</v>
      </c>
      <c r="U24" s="10" t="s">
        <v>352</v>
      </c>
      <c r="V24" s="10" t="s">
        <v>352</v>
      </c>
      <c r="W24" s="10" t="s">
        <v>352</v>
      </c>
      <c r="X24" s="10" t="s">
        <v>352</v>
      </c>
      <c r="Y24" s="10" t="s">
        <v>352</v>
      </c>
      <c r="Z24" s="10" t="s">
        <v>352</v>
      </c>
      <c r="AA24" s="10" t="s">
        <v>352</v>
      </c>
      <c r="AB24" s="10" t="s">
        <v>352</v>
      </c>
      <c r="AC24" s="10" t="s">
        <v>352</v>
      </c>
      <c r="AD24" s="10" t="s">
        <v>352</v>
      </c>
      <c r="AE24" s="10" t="s">
        <v>352</v>
      </c>
      <c r="AF24" s="10" t="s">
        <v>352</v>
      </c>
      <c r="AG24" s="10" t="s">
        <v>352</v>
      </c>
      <c r="AH24" s="10" t="s">
        <v>352</v>
      </c>
      <c r="AI24" s="10" t="s">
        <v>352</v>
      </c>
      <c r="AJ24" s="150">
        <v>6.6</v>
      </c>
      <c r="AK24" s="152">
        <v>263.05</v>
      </c>
      <c r="AL24" s="10" t="s">
        <v>352</v>
      </c>
      <c r="AM24" s="10" t="s">
        <v>352</v>
      </c>
      <c r="AN24" s="10" t="s">
        <v>352</v>
      </c>
      <c r="AO24" s="10" t="s">
        <v>352</v>
      </c>
      <c r="AP24" s="10" t="s">
        <v>352</v>
      </c>
      <c r="AQ24" s="160">
        <v>557.54999999999995</v>
      </c>
      <c r="AR24" s="161">
        <v>724.66</v>
      </c>
      <c r="AS24" s="10" t="s">
        <v>352</v>
      </c>
      <c r="AT24" s="122">
        <v>24.87</v>
      </c>
      <c r="AU24" s="122">
        <v>0.43</v>
      </c>
      <c r="AV24" s="61">
        <v>382.89236778662763</v>
      </c>
      <c r="AW24" s="61">
        <v>10.346419942442008</v>
      </c>
      <c r="AX24" s="131">
        <v>11.31</v>
      </c>
      <c r="AY24" s="10" t="s">
        <v>352</v>
      </c>
      <c r="AZ24" s="10" t="s">
        <v>352</v>
      </c>
      <c r="BA24" s="10" t="s">
        <v>352</v>
      </c>
      <c r="BB24" s="10" t="s">
        <v>352</v>
      </c>
      <c r="BC24" s="10" t="s">
        <v>352</v>
      </c>
      <c r="BD24" s="10" t="s">
        <v>352</v>
      </c>
      <c r="BE24" s="10" t="s">
        <v>352</v>
      </c>
      <c r="BF24" s="10" t="s">
        <v>352</v>
      </c>
      <c r="BG24" s="10" t="s">
        <v>352</v>
      </c>
      <c r="BH24" s="10" t="s">
        <v>352</v>
      </c>
      <c r="BI24" s="172" t="s">
        <v>351</v>
      </c>
      <c r="BJ24" s="10" t="s">
        <v>352</v>
      </c>
      <c r="BK24" s="10" t="s">
        <v>352</v>
      </c>
      <c r="BL24" s="10" t="s">
        <v>352</v>
      </c>
      <c r="BM24" s="10" t="s">
        <v>352</v>
      </c>
      <c r="BN24" s="10" t="s">
        <v>352</v>
      </c>
      <c r="BO24" s="10" t="s">
        <v>352</v>
      </c>
      <c r="BP24" s="10" t="s">
        <v>352</v>
      </c>
      <c r="BQ24" s="10" t="s">
        <v>352</v>
      </c>
      <c r="BR24" s="10" t="s">
        <v>352</v>
      </c>
      <c r="BS24" s="10" t="s">
        <v>352</v>
      </c>
      <c r="BT24" s="188" t="s">
        <v>353</v>
      </c>
      <c r="BU24" s="131">
        <v>63.68</v>
      </c>
      <c r="BV24" s="10" t="s">
        <v>352</v>
      </c>
      <c r="BW24" s="10" t="s">
        <v>352</v>
      </c>
      <c r="BX24" s="10" t="s">
        <v>352</v>
      </c>
      <c r="BY24" s="10" t="s">
        <v>352</v>
      </c>
      <c r="BZ24" s="10" t="s">
        <v>352</v>
      </c>
      <c r="CA24" s="10" t="s">
        <v>352</v>
      </c>
      <c r="CB24" s="10" t="s">
        <v>352</v>
      </c>
      <c r="CC24" s="10" t="s">
        <v>352</v>
      </c>
      <c r="CD24" s="10" t="s">
        <v>352</v>
      </c>
    </row>
    <row r="25" spans="1:82">
      <c r="A25" s="3" t="s">
        <v>375</v>
      </c>
      <c r="B25" s="3" t="s">
        <v>375</v>
      </c>
      <c r="C25" s="27" t="s">
        <v>376</v>
      </c>
      <c r="D25" s="3" t="s">
        <v>376</v>
      </c>
      <c r="E25" s="29">
        <v>5001</v>
      </c>
      <c r="F25" s="3" t="s">
        <v>375</v>
      </c>
      <c r="G25" s="4">
        <v>5101</v>
      </c>
      <c r="H25" s="10" t="s">
        <v>352</v>
      </c>
      <c r="I25" s="10" t="s">
        <v>352</v>
      </c>
      <c r="J25" s="10" t="s">
        <v>352</v>
      </c>
      <c r="K25" s="10" t="s">
        <v>352</v>
      </c>
      <c r="L25" s="10" t="s">
        <v>352</v>
      </c>
      <c r="M25" s="10" t="s">
        <v>352</v>
      </c>
      <c r="N25" s="10" t="s">
        <v>352</v>
      </c>
      <c r="O25" s="60">
        <v>1160.27</v>
      </c>
      <c r="P25" s="10" t="s">
        <v>352</v>
      </c>
      <c r="Q25" s="121">
        <v>695.41</v>
      </c>
      <c r="R25" s="123">
        <v>1.28</v>
      </c>
      <c r="S25" s="60">
        <v>557.08000000000004</v>
      </c>
      <c r="T25" s="10" t="s">
        <v>352</v>
      </c>
      <c r="U25" s="10" t="s">
        <v>352</v>
      </c>
      <c r="V25" s="10" t="s">
        <v>352</v>
      </c>
      <c r="W25" s="10" t="s">
        <v>352</v>
      </c>
      <c r="X25" s="10" t="s">
        <v>352</v>
      </c>
      <c r="Y25" s="10" t="s">
        <v>352</v>
      </c>
      <c r="Z25" s="10" t="s">
        <v>352</v>
      </c>
      <c r="AA25" s="10" t="s">
        <v>352</v>
      </c>
      <c r="AB25" s="10" t="s">
        <v>352</v>
      </c>
      <c r="AC25" s="10" t="s">
        <v>352</v>
      </c>
      <c r="AD25" s="10" t="s">
        <v>352</v>
      </c>
      <c r="AE25" s="10" t="s">
        <v>352</v>
      </c>
      <c r="AF25" s="10" t="s">
        <v>352</v>
      </c>
      <c r="AG25" s="10" t="s">
        <v>352</v>
      </c>
      <c r="AH25" s="10" t="s">
        <v>352</v>
      </c>
      <c r="AI25" s="10" t="s">
        <v>352</v>
      </c>
      <c r="AJ25" s="150">
        <v>2.2200000000000002</v>
      </c>
      <c r="AK25" s="152">
        <v>170.71</v>
      </c>
      <c r="AL25" s="10" t="s">
        <v>352</v>
      </c>
      <c r="AM25" s="10" t="s">
        <v>352</v>
      </c>
      <c r="AN25" s="10" t="s">
        <v>352</v>
      </c>
      <c r="AO25" s="10" t="s">
        <v>352</v>
      </c>
      <c r="AP25" s="10" t="s">
        <v>352</v>
      </c>
      <c r="AQ25" s="160">
        <v>671</v>
      </c>
      <c r="AR25" s="161">
        <v>386.74</v>
      </c>
      <c r="AS25" s="10" t="s">
        <v>352</v>
      </c>
      <c r="AT25" s="122">
        <v>37.25</v>
      </c>
      <c r="AU25" s="122">
        <v>2.25</v>
      </c>
      <c r="AV25" s="61">
        <v>556.80149850655596</v>
      </c>
      <c r="AW25" s="61">
        <v>20.900953973623199</v>
      </c>
      <c r="AX25" s="131">
        <v>11.32</v>
      </c>
      <c r="AY25" s="10" t="s">
        <v>352</v>
      </c>
      <c r="AZ25" s="10" t="s">
        <v>352</v>
      </c>
      <c r="BA25" s="10" t="s">
        <v>352</v>
      </c>
      <c r="BB25" s="10" t="s">
        <v>352</v>
      </c>
      <c r="BC25" s="10" t="s">
        <v>352</v>
      </c>
      <c r="BD25" s="10" t="s">
        <v>352</v>
      </c>
      <c r="BE25" s="10" t="s">
        <v>352</v>
      </c>
      <c r="BF25" s="10" t="s">
        <v>352</v>
      </c>
      <c r="BG25" s="10" t="s">
        <v>352</v>
      </c>
      <c r="BH25" s="10" t="s">
        <v>352</v>
      </c>
      <c r="BI25" s="172">
        <v>14314</v>
      </c>
      <c r="BJ25" s="10" t="s">
        <v>352</v>
      </c>
      <c r="BK25" s="10" t="s">
        <v>352</v>
      </c>
      <c r="BL25" s="10" t="s">
        <v>352</v>
      </c>
      <c r="BM25" s="10" t="s">
        <v>352</v>
      </c>
      <c r="BN25" s="10" t="s">
        <v>352</v>
      </c>
      <c r="BO25" s="10" t="s">
        <v>352</v>
      </c>
      <c r="BP25" s="10" t="s">
        <v>352</v>
      </c>
      <c r="BQ25" s="10" t="s">
        <v>352</v>
      </c>
      <c r="BR25" s="10" t="s">
        <v>352</v>
      </c>
      <c r="BS25" s="10" t="s">
        <v>352</v>
      </c>
      <c r="BT25" s="188" t="s">
        <v>353</v>
      </c>
      <c r="BU25" s="131">
        <v>40.380000000000003</v>
      </c>
      <c r="BV25" s="10" t="s">
        <v>352</v>
      </c>
      <c r="BW25" s="10" t="s">
        <v>352</v>
      </c>
      <c r="BX25" s="10" t="s">
        <v>352</v>
      </c>
      <c r="BY25" s="10" t="s">
        <v>352</v>
      </c>
      <c r="BZ25" s="10" t="s">
        <v>352</v>
      </c>
      <c r="CA25" s="10" t="s">
        <v>352</v>
      </c>
      <c r="CB25" s="10" t="s">
        <v>352</v>
      </c>
      <c r="CC25" s="10" t="s">
        <v>352</v>
      </c>
      <c r="CD25" s="10" t="s">
        <v>352</v>
      </c>
    </row>
    <row r="26" spans="1:82">
      <c r="A26" s="3" t="s">
        <v>375</v>
      </c>
      <c r="B26" s="3" t="s">
        <v>375</v>
      </c>
      <c r="C26" s="27" t="s">
        <v>376</v>
      </c>
      <c r="D26" s="3" t="s">
        <v>376</v>
      </c>
      <c r="E26" s="29">
        <v>5001</v>
      </c>
      <c r="F26" s="3" t="s">
        <v>377</v>
      </c>
      <c r="G26" s="4">
        <v>5102</v>
      </c>
      <c r="H26" s="10" t="s">
        <v>352</v>
      </c>
      <c r="I26" s="10" t="s">
        <v>352</v>
      </c>
      <c r="J26" s="10" t="s">
        <v>352</v>
      </c>
      <c r="K26" s="10" t="s">
        <v>352</v>
      </c>
      <c r="L26" s="10" t="s">
        <v>352</v>
      </c>
      <c r="M26" s="10" t="s">
        <v>352</v>
      </c>
      <c r="N26" s="10" t="s">
        <v>352</v>
      </c>
      <c r="O26" s="58" t="s">
        <v>351</v>
      </c>
      <c r="P26" s="10" t="s">
        <v>352</v>
      </c>
      <c r="Q26" s="121">
        <v>571.44000000000005</v>
      </c>
      <c r="R26" s="123">
        <v>1.45</v>
      </c>
      <c r="S26" s="60">
        <v>486.63</v>
      </c>
      <c r="T26" s="10" t="s">
        <v>352</v>
      </c>
      <c r="U26" s="10" t="s">
        <v>352</v>
      </c>
      <c r="V26" s="10" t="s">
        <v>352</v>
      </c>
      <c r="W26" s="10" t="s">
        <v>352</v>
      </c>
      <c r="X26" s="10" t="s">
        <v>352</v>
      </c>
      <c r="Y26" s="10" t="s">
        <v>352</v>
      </c>
      <c r="Z26" s="10" t="s">
        <v>352</v>
      </c>
      <c r="AA26" s="10" t="s">
        <v>352</v>
      </c>
      <c r="AB26" s="10" t="s">
        <v>352</v>
      </c>
      <c r="AC26" s="10" t="s">
        <v>352</v>
      </c>
      <c r="AD26" s="10" t="s">
        <v>352</v>
      </c>
      <c r="AE26" s="10" t="s">
        <v>352</v>
      </c>
      <c r="AF26" s="10" t="s">
        <v>352</v>
      </c>
      <c r="AG26" s="10" t="s">
        <v>352</v>
      </c>
      <c r="AH26" s="10" t="s">
        <v>352</v>
      </c>
      <c r="AI26" s="10" t="s">
        <v>352</v>
      </c>
      <c r="AJ26" s="150">
        <v>20.57</v>
      </c>
      <c r="AK26" s="152">
        <v>462.8</v>
      </c>
      <c r="AL26" s="10" t="s">
        <v>352</v>
      </c>
      <c r="AM26" s="10" t="s">
        <v>352</v>
      </c>
      <c r="AN26" s="10" t="s">
        <v>352</v>
      </c>
      <c r="AO26" s="10" t="s">
        <v>352</v>
      </c>
      <c r="AP26" s="10" t="s">
        <v>352</v>
      </c>
      <c r="AQ26" s="160">
        <v>821.23</v>
      </c>
      <c r="AR26" s="161">
        <v>1375.45</v>
      </c>
      <c r="AS26" s="10" t="s">
        <v>352</v>
      </c>
      <c r="AT26" s="122">
        <v>41.2</v>
      </c>
      <c r="AU26" s="122">
        <v>1.71</v>
      </c>
      <c r="AV26" s="61">
        <v>416.25544267053698</v>
      </c>
      <c r="AW26" s="61">
        <v>9.8320191978059643</v>
      </c>
      <c r="AX26" s="131">
        <v>1.65</v>
      </c>
      <c r="AY26" s="10" t="s">
        <v>352</v>
      </c>
      <c r="AZ26" s="10" t="s">
        <v>352</v>
      </c>
      <c r="BA26" s="10" t="s">
        <v>352</v>
      </c>
      <c r="BB26" s="10" t="s">
        <v>352</v>
      </c>
      <c r="BC26" s="10" t="s">
        <v>352</v>
      </c>
      <c r="BD26" s="10" t="s">
        <v>352</v>
      </c>
      <c r="BE26" s="10" t="s">
        <v>352</v>
      </c>
      <c r="BF26" s="10" t="s">
        <v>352</v>
      </c>
      <c r="BG26" s="10" t="s">
        <v>352</v>
      </c>
      <c r="BH26" s="10" t="s">
        <v>352</v>
      </c>
      <c r="BI26" s="172" t="s">
        <v>351</v>
      </c>
      <c r="BJ26" s="10" t="s">
        <v>352</v>
      </c>
      <c r="BK26" s="10" t="s">
        <v>352</v>
      </c>
      <c r="BL26" s="10" t="s">
        <v>352</v>
      </c>
      <c r="BM26" s="10" t="s">
        <v>352</v>
      </c>
      <c r="BN26" s="10" t="s">
        <v>352</v>
      </c>
      <c r="BO26" s="10" t="s">
        <v>352</v>
      </c>
      <c r="BP26" s="10" t="s">
        <v>352</v>
      </c>
      <c r="BQ26" s="10" t="s">
        <v>352</v>
      </c>
      <c r="BR26" s="10" t="s">
        <v>352</v>
      </c>
      <c r="BS26" s="10" t="s">
        <v>352</v>
      </c>
      <c r="BT26" s="188" t="s">
        <v>353</v>
      </c>
      <c r="BU26" s="131">
        <v>19.68</v>
      </c>
      <c r="BV26" s="10" t="s">
        <v>352</v>
      </c>
      <c r="BW26" s="10" t="s">
        <v>352</v>
      </c>
      <c r="BX26" s="10" t="s">
        <v>352</v>
      </c>
      <c r="BY26" s="10" t="s">
        <v>352</v>
      </c>
      <c r="BZ26" s="10" t="s">
        <v>352</v>
      </c>
      <c r="CA26" s="10" t="s">
        <v>352</v>
      </c>
      <c r="CB26" s="10" t="s">
        <v>352</v>
      </c>
      <c r="CC26" s="10" t="s">
        <v>352</v>
      </c>
      <c r="CD26" s="10" t="s">
        <v>352</v>
      </c>
    </row>
    <row r="27" spans="1:82">
      <c r="A27" s="3" t="s">
        <v>375</v>
      </c>
      <c r="B27" s="3" t="s">
        <v>375</v>
      </c>
      <c r="C27" s="27" t="s">
        <v>376</v>
      </c>
      <c r="D27" s="3" t="s">
        <v>376</v>
      </c>
      <c r="E27" s="29">
        <v>5001</v>
      </c>
      <c r="F27" s="3" t="s">
        <v>378</v>
      </c>
      <c r="G27" s="4">
        <v>5103</v>
      </c>
      <c r="H27" s="10" t="s">
        <v>352</v>
      </c>
      <c r="I27" s="10" t="s">
        <v>352</v>
      </c>
      <c r="J27" s="10" t="s">
        <v>352</v>
      </c>
      <c r="K27" s="10" t="s">
        <v>352</v>
      </c>
      <c r="L27" s="10" t="s">
        <v>352</v>
      </c>
      <c r="M27" s="10" t="s">
        <v>352</v>
      </c>
      <c r="N27" s="10" t="s">
        <v>352</v>
      </c>
      <c r="O27" s="60">
        <v>1898.67</v>
      </c>
      <c r="P27" s="10" t="s">
        <v>352</v>
      </c>
      <c r="Q27" s="121">
        <v>784.66</v>
      </c>
      <c r="R27" s="123">
        <v>1.05</v>
      </c>
      <c r="S27" s="60">
        <v>655.64</v>
      </c>
      <c r="T27" s="10" t="s">
        <v>352</v>
      </c>
      <c r="U27" s="10" t="s">
        <v>352</v>
      </c>
      <c r="V27" s="10" t="s">
        <v>352</v>
      </c>
      <c r="W27" s="10" t="s">
        <v>352</v>
      </c>
      <c r="X27" s="10" t="s">
        <v>352</v>
      </c>
      <c r="Y27" s="10" t="s">
        <v>352</v>
      </c>
      <c r="Z27" s="10" t="s">
        <v>352</v>
      </c>
      <c r="AA27" s="10" t="s">
        <v>352</v>
      </c>
      <c r="AB27" s="10" t="s">
        <v>352</v>
      </c>
      <c r="AC27" s="10" t="s">
        <v>352</v>
      </c>
      <c r="AD27" s="10" t="s">
        <v>352</v>
      </c>
      <c r="AE27" s="10" t="s">
        <v>352</v>
      </c>
      <c r="AF27" s="10" t="s">
        <v>352</v>
      </c>
      <c r="AG27" s="10" t="s">
        <v>352</v>
      </c>
      <c r="AH27" s="10" t="s">
        <v>352</v>
      </c>
      <c r="AI27" s="10" t="s">
        <v>352</v>
      </c>
      <c r="AJ27" s="150">
        <v>2.1800000000000002</v>
      </c>
      <c r="AK27" s="152">
        <v>220.1</v>
      </c>
      <c r="AL27" s="10" t="s">
        <v>352</v>
      </c>
      <c r="AM27" s="10" t="s">
        <v>352</v>
      </c>
      <c r="AN27" s="10" t="s">
        <v>352</v>
      </c>
      <c r="AO27" s="10" t="s">
        <v>352</v>
      </c>
      <c r="AP27" s="10" t="s">
        <v>352</v>
      </c>
      <c r="AQ27" s="160">
        <v>1098.98</v>
      </c>
      <c r="AR27" s="161">
        <v>828.36</v>
      </c>
      <c r="AS27" s="10" t="s">
        <v>352</v>
      </c>
      <c r="AT27" s="122">
        <v>42.42</v>
      </c>
      <c r="AU27" s="122">
        <v>1.34</v>
      </c>
      <c r="AV27" s="61">
        <v>658.90846910179073</v>
      </c>
      <c r="AW27" s="61">
        <v>30.229466756739086</v>
      </c>
      <c r="AX27" s="131">
        <v>7.48</v>
      </c>
      <c r="AY27" s="10" t="s">
        <v>352</v>
      </c>
      <c r="AZ27" s="10" t="s">
        <v>352</v>
      </c>
      <c r="BA27" s="10" t="s">
        <v>352</v>
      </c>
      <c r="BB27" s="10" t="s">
        <v>352</v>
      </c>
      <c r="BC27" s="10" t="s">
        <v>352</v>
      </c>
      <c r="BD27" s="10" t="s">
        <v>352</v>
      </c>
      <c r="BE27" s="10" t="s">
        <v>352</v>
      </c>
      <c r="BF27" s="10" t="s">
        <v>352</v>
      </c>
      <c r="BG27" s="10" t="s">
        <v>352</v>
      </c>
      <c r="BH27" s="10" t="s">
        <v>352</v>
      </c>
      <c r="BI27" s="172" t="s">
        <v>351</v>
      </c>
      <c r="BJ27" s="10" t="s">
        <v>352</v>
      </c>
      <c r="BK27" s="10" t="s">
        <v>352</v>
      </c>
      <c r="BL27" s="10" t="s">
        <v>352</v>
      </c>
      <c r="BM27" s="10" t="s">
        <v>352</v>
      </c>
      <c r="BN27" s="10" t="s">
        <v>352</v>
      </c>
      <c r="BO27" s="10" t="s">
        <v>352</v>
      </c>
      <c r="BP27" s="10" t="s">
        <v>352</v>
      </c>
      <c r="BQ27" s="10" t="s">
        <v>352</v>
      </c>
      <c r="BR27" s="10" t="s">
        <v>352</v>
      </c>
      <c r="BS27" s="10" t="s">
        <v>352</v>
      </c>
      <c r="BT27" s="188" t="s">
        <v>353</v>
      </c>
      <c r="BU27" s="131">
        <v>13.68</v>
      </c>
      <c r="BV27" s="10" t="s">
        <v>352</v>
      </c>
      <c r="BW27" s="10" t="s">
        <v>352</v>
      </c>
      <c r="BX27" s="10" t="s">
        <v>352</v>
      </c>
      <c r="BY27" s="10" t="s">
        <v>352</v>
      </c>
      <c r="BZ27" s="10" t="s">
        <v>352</v>
      </c>
      <c r="CA27" s="10" t="s">
        <v>352</v>
      </c>
      <c r="CB27" s="10" t="s">
        <v>352</v>
      </c>
      <c r="CC27" s="10" t="s">
        <v>352</v>
      </c>
      <c r="CD27" s="10" t="s">
        <v>352</v>
      </c>
    </row>
    <row r="28" spans="1:82">
      <c r="A28" s="3" t="s">
        <v>375</v>
      </c>
      <c r="B28" s="3" t="s">
        <v>375</v>
      </c>
      <c r="C28" s="27" t="s">
        <v>376</v>
      </c>
      <c r="D28" s="3" t="s">
        <v>376</v>
      </c>
      <c r="E28" s="29">
        <v>5001</v>
      </c>
      <c r="F28" s="3" t="s">
        <v>379</v>
      </c>
      <c r="G28" s="4">
        <v>5105</v>
      </c>
      <c r="H28" s="10" t="s">
        <v>352</v>
      </c>
      <c r="I28" s="10" t="s">
        <v>352</v>
      </c>
      <c r="J28" s="10" t="s">
        <v>352</v>
      </c>
      <c r="K28" s="10" t="s">
        <v>352</v>
      </c>
      <c r="L28" s="10" t="s">
        <v>352</v>
      </c>
      <c r="M28" s="10" t="s">
        <v>352</v>
      </c>
      <c r="N28" s="10" t="s">
        <v>352</v>
      </c>
      <c r="O28" s="60">
        <v>1481.5</v>
      </c>
      <c r="P28" s="10" t="s">
        <v>352</v>
      </c>
      <c r="Q28" s="121">
        <v>1010.41</v>
      </c>
      <c r="R28" s="123">
        <v>1.4</v>
      </c>
      <c r="S28" s="60">
        <v>1048.07</v>
      </c>
      <c r="T28" s="10" t="s">
        <v>352</v>
      </c>
      <c r="U28" s="10" t="s">
        <v>352</v>
      </c>
      <c r="V28" s="10" t="s">
        <v>352</v>
      </c>
      <c r="W28" s="10" t="s">
        <v>352</v>
      </c>
      <c r="X28" s="10" t="s">
        <v>352</v>
      </c>
      <c r="Y28" s="10" t="s">
        <v>352</v>
      </c>
      <c r="Z28" s="10" t="s">
        <v>352</v>
      </c>
      <c r="AA28" s="10" t="s">
        <v>352</v>
      </c>
      <c r="AB28" s="10" t="s">
        <v>352</v>
      </c>
      <c r="AC28" s="10" t="s">
        <v>352</v>
      </c>
      <c r="AD28" s="10" t="s">
        <v>352</v>
      </c>
      <c r="AE28" s="10" t="s">
        <v>352</v>
      </c>
      <c r="AF28" s="10" t="s">
        <v>352</v>
      </c>
      <c r="AG28" s="10" t="s">
        <v>352</v>
      </c>
      <c r="AH28" s="10" t="s">
        <v>352</v>
      </c>
      <c r="AI28" s="10" t="s">
        <v>352</v>
      </c>
      <c r="AJ28" s="150">
        <v>39.86</v>
      </c>
      <c r="AK28" s="152">
        <v>323.85000000000002</v>
      </c>
      <c r="AL28" s="10" t="s">
        <v>352</v>
      </c>
      <c r="AM28" s="10" t="s">
        <v>352</v>
      </c>
      <c r="AN28" s="10" t="s">
        <v>352</v>
      </c>
      <c r="AO28" s="10" t="s">
        <v>352</v>
      </c>
      <c r="AP28" s="10" t="s">
        <v>352</v>
      </c>
      <c r="AQ28" s="160">
        <v>1453.5</v>
      </c>
      <c r="AR28" s="161">
        <v>869.95</v>
      </c>
      <c r="AS28" s="10" t="s">
        <v>352</v>
      </c>
      <c r="AT28" s="122">
        <v>57.72</v>
      </c>
      <c r="AU28" s="122">
        <v>2.23</v>
      </c>
      <c r="AV28" s="61">
        <v>42.102593367573398</v>
      </c>
      <c r="AW28" s="61">
        <v>3.308255692292362</v>
      </c>
      <c r="AX28" s="131">
        <v>11.38</v>
      </c>
      <c r="AY28" s="10" t="s">
        <v>352</v>
      </c>
      <c r="AZ28" s="10" t="s">
        <v>352</v>
      </c>
      <c r="BA28" s="10" t="s">
        <v>352</v>
      </c>
      <c r="BB28" s="10" t="s">
        <v>352</v>
      </c>
      <c r="BC28" s="10" t="s">
        <v>352</v>
      </c>
      <c r="BD28" s="10" t="s">
        <v>352</v>
      </c>
      <c r="BE28" s="10" t="s">
        <v>352</v>
      </c>
      <c r="BF28" s="10" t="s">
        <v>352</v>
      </c>
      <c r="BG28" s="10" t="s">
        <v>352</v>
      </c>
      <c r="BH28" s="10" t="s">
        <v>352</v>
      </c>
      <c r="BI28" s="172" t="s">
        <v>351</v>
      </c>
      <c r="BJ28" s="10" t="s">
        <v>352</v>
      </c>
      <c r="BK28" s="10" t="s">
        <v>352</v>
      </c>
      <c r="BL28" s="10" t="s">
        <v>352</v>
      </c>
      <c r="BM28" s="10" t="s">
        <v>352</v>
      </c>
      <c r="BN28" s="10" t="s">
        <v>352</v>
      </c>
      <c r="BO28" s="10" t="s">
        <v>352</v>
      </c>
      <c r="BP28" s="10" t="s">
        <v>352</v>
      </c>
      <c r="BQ28" s="10" t="s">
        <v>352</v>
      </c>
      <c r="BR28" s="10" t="s">
        <v>352</v>
      </c>
      <c r="BS28" s="10" t="s">
        <v>352</v>
      </c>
      <c r="BT28" s="188" t="s">
        <v>355</v>
      </c>
      <c r="BU28" s="131">
        <v>23.35</v>
      </c>
      <c r="BV28" s="10" t="s">
        <v>352</v>
      </c>
      <c r="BW28" s="10" t="s">
        <v>352</v>
      </c>
      <c r="BX28" s="10" t="s">
        <v>352</v>
      </c>
      <c r="BY28" s="10" t="s">
        <v>352</v>
      </c>
      <c r="BZ28" s="10" t="s">
        <v>352</v>
      </c>
      <c r="CA28" s="10" t="s">
        <v>352</v>
      </c>
      <c r="CB28" s="10" t="s">
        <v>352</v>
      </c>
      <c r="CC28" s="10" t="s">
        <v>352</v>
      </c>
      <c r="CD28" s="10" t="s">
        <v>352</v>
      </c>
    </row>
    <row r="29" spans="1:82">
      <c r="A29" s="3" t="s">
        <v>375</v>
      </c>
      <c r="B29" s="3" t="s">
        <v>375</v>
      </c>
      <c r="C29" s="27" t="s">
        <v>376</v>
      </c>
      <c r="D29" s="3" t="s">
        <v>376</v>
      </c>
      <c r="E29" s="29">
        <v>5001</v>
      </c>
      <c r="F29" s="3" t="s">
        <v>380</v>
      </c>
      <c r="G29" s="4">
        <v>5107</v>
      </c>
      <c r="H29" s="10" t="s">
        <v>352</v>
      </c>
      <c r="I29" s="10" t="s">
        <v>352</v>
      </c>
      <c r="J29" s="10" t="s">
        <v>352</v>
      </c>
      <c r="K29" s="10" t="s">
        <v>352</v>
      </c>
      <c r="L29" s="10" t="s">
        <v>352</v>
      </c>
      <c r="M29" s="10" t="s">
        <v>352</v>
      </c>
      <c r="N29" s="10" t="s">
        <v>352</v>
      </c>
      <c r="O29" s="60">
        <v>3292.77</v>
      </c>
      <c r="P29" s="10" t="s">
        <v>352</v>
      </c>
      <c r="Q29" s="121">
        <v>1033.72</v>
      </c>
      <c r="R29" s="123">
        <v>1.7</v>
      </c>
      <c r="S29" s="60">
        <v>569.91999999999996</v>
      </c>
      <c r="T29" s="10" t="s">
        <v>352</v>
      </c>
      <c r="U29" s="10" t="s">
        <v>352</v>
      </c>
      <c r="V29" s="10" t="s">
        <v>352</v>
      </c>
      <c r="W29" s="10" t="s">
        <v>352</v>
      </c>
      <c r="X29" s="10" t="s">
        <v>352</v>
      </c>
      <c r="Y29" s="10" t="s">
        <v>352</v>
      </c>
      <c r="Z29" s="10" t="s">
        <v>352</v>
      </c>
      <c r="AA29" s="10" t="s">
        <v>352</v>
      </c>
      <c r="AB29" s="10" t="s">
        <v>352</v>
      </c>
      <c r="AC29" s="10" t="s">
        <v>352</v>
      </c>
      <c r="AD29" s="10" t="s">
        <v>352</v>
      </c>
      <c r="AE29" s="10" t="s">
        <v>352</v>
      </c>
      <c r="AF29" s="10" t="s">
        <v>352</v>
      </c>
      <c r="AG29" s="10" t="s">
        <v>352</v>
      </c>
      <c r="AH29" s="10" t="s">
        <v>352</v>
      </c>
      <c r="AI29" s="10" t="s">
        <v>352</v>
      </c>
      <c r="AJ29" s="150">
        <v>5.53</v>
      </c>
      <c r="AK29" s="152">
        <v>354.23</v>
      </c>
      <c r="AL29" s="10" t="s">
        <v>352</v>
      </c>
      <c r="AM29" s="10" t="s">
        <v>352</v>
      </c>
      <c r="AN29" s="10" t="s">
        <v>352</v>
      </c>
      <c r="AO29" s="10" t="s">
        <v>352</v>
      </c>
      <c r="AP29" s="10" t="s">
        <v>352</v>
      </c>
      <c r="AQ29" s="160">
        <v>795.35</v>
      </c>
      <c r="AR29" s="161">
        <v>648.77</v>
      </c>
      <c r="AS29" s="10" t="s">
        <v>352</v>
      </c>
      <c r="AT29" s="122">
        <v>42.14</v>
      </c>
      <c r="AU29" s="122">
        <v>0.86</v>
      </c>
      <c r="AV29" s="61">
        <v>228.56029106029104</v>
      </c>
      <c r="AW29" s="61">
        <v>9.7357132973571332</v>
      </c>
      <c r="AX29" s="131">
        <v>18.29</v>
      </c>
      <c r="AY29" s="10" t="s">
        <v>352</v>
      </c>
      <c r="AZ29" s="10" t="s">
        <v>352</v>
      </c>
      <c r="BA29" s="10" t="s">
        <v>352</v>
      </c>
      <c r="BB29" s="10" t="s">
        <v>352</v>
      </c>
      <c r="BC29" s="10" t="s">
        <v>352</v>
      </c>
      <c r="BD29" s="10" t="s">
        <v>352</v>
      </c>
      <c r="BE29" s="10" t="s">
        <v>352</v>
      </c>
      <c r="BF29" s="10" t="s">
        <v>352</v>
      </c>
      <c r="BG29" s="10" t="s">
        <v>352</v>
      </c>
      <c r="BH29" s="10" t="s">
        <v>352</v>
      </c>
      <c r="BI29" s="172" t="s">
        <v>351</v>
      </c>
      <c r="BJ29" s="10" t="s">
        <v>352</v>
      </c>
      <c r="BK29" s="10" t="s">
        <v>352</v>
      </c>
      <c r="BL29" s="10" t="s">
        <v>352</v>
      </c>
      <c r="BM29" s="10" t="s">
        <v>352</v>
      </c>
      <c r="BN29" s="10" t="s">
        <v>352</v>
      </c>
      <c r="BO29" s="10" t="s">
        <v>352</v>
      </c>
      <c r="BP29" s="10" t="s">
        <v>352</v>
      </c>
      <c r="BQ29" s="10" t="s">
        <v>352</v>
      </c>
      <c r="BR29" s="10" t="s">
        <v>352</v>
      </c>
      <c r="BS29" s="10" t="s">
        <v>352</v>
      </c>
      <c r="BT29" s="188" t="s">
        <v>355</v>
      </c>
      <c r="BU29" s="131">
        <v>71.09</v>
      </c>
      <c r="BV29" s="10" t="s">
        <v>352</v>
      </c>
      <c r="BW29" s="10" t="s">
        <v>352</v>
      </c>
      <c r="BX29" s="10" t="s">
        <v>352</v>
      </c>
      <c r="BY29" s="10" t="s">
        <v>352</v>
      </c>
      <c r="BZ29" s="10" t="s">
        <v>352</v>
      </c>
      <c r="CA29" s="10" t="s">
        <v>352</v>
      </c>
      <c r="CB29" s="10" t="s">
        <v>352</v>
      </c>
      <c r="CC29" s="10" t="s">
        <v>352</v>
      </c>
      <c r="CD29" s="10" t="s">
        <v>352</v>
      </c>
    </row>
    <row r="30" spans="1:82">
      <c r="A30" s="3" t="s">
        <v>375</v>
      </c>
      <c r="B30" s="3" t="s">
        <v>375</v>
      </c>
      <c r="C30" s="27" t="s">
        <v>376</v>
      </c>
      <c r="D30" s="3" t="s">
        <v>376</v>
      </c>
      <c r="E30" s="29">
        <v>5001</v>
      </c>
      <c r="F30" s="3" t="s">
        <v>381</v>
      </c>
      <c r="G30" s="4">
        <v>5109</v>
      </c>
      <c r="H30" s="10" t="s">
        <v>352</v>
      </c>
      <c r="I30" s="10" t="s">
        <v>352</v>
      </c>
      <c r="J30" s="10" t="s">
        <v>352</v>
      </c>
      <c r="K30" s="10" t="s">
        <v>352</v>
      </c>
      <c r="L30" s="10" t="s">
        <v>352</v>
      </c>
      <c r="M30" s="10" t="s">
        <v>352</v>
      </c>
      <c r="N30" s="10" t="s">
        <v>352</v>
      </c>
      <c r="O30" s="60">
        <v>1376.16</v>
      </c>
      <c r="P30" s="10" t="s">
        <v>352</v>
      </c>
      <c r="Q30" s="121">
        <v>640.74</v>
      </c>
      <c r="R30" s="123">
        <v>1.18</v>
      </c>
      <c r="S30" s="60">
        <v>552.14</v>
      </c>
      <c r="T30" s="10" t="s">
        <v>352</v>
      </c>
      <c r="U30" s="10" t="s">
        <v>352</v>
      </c>
      <c r="V30" s="10" t="s">
        <v>352</v>
      </c>
      <c r="W30" s="10" t="s">
        <v>352</v>
      </c>
      <c r="X30" s="10" t="s">
        <v>352</v>
      </c>
      <c r="Y30" s="10" t="s">
        <v>352</v>
      </c>
      <c r="Z30" s="10" t="s">
        <v>352</v>
      </c>
      <c r="AA30" s="10" t="s">
        <v>352</v>
      </c>
      <c r="AB30" s="10" t="s">
        <v>352</v>
      </c>
      <c r="AC30" s="10" t="s">
        <v>352</v>
      </c>
      <c r="AD30" s="10" t="s">
        <v>352</v>
      </c>
      <c r="AE30" s="10" t="s">
        <v>352</v>
      </c>
      <c r="AF30" s="10" t="s">
        <v>352</v>
      </c>
      <c r="AG30" s="10" t="s">
        <v>352</v>
      </c>
      <c r="AH30" s="10" t="s">
        <v>352</v>
      </c>
      <c r="AI30" s="10" t="s">
        <v>352</v>
      </c>
      <c r="AJ30" s="150">
        <v>4.43</v>
      </c>
      <c r="AK30" s="152">
        <v>169.36</v>
      </c>
      <c r="AL30" s="10" t="s">
        <v>352</v>
      </c>
      <c r="AM30" s="10" t="s">
        <v>352</v>
      </c>
      <c r="AN30" s="10" t="s">
        <v>352</v>
      </c>
      <c r="AO30" s="10" t="s">
        <v>352</v>
      </c>
      <c r="AP30" s="10" t="s">
        <v>352</v>
      </c>
      <c r="AQ30" s="160">
        <v>753.12</v>
      </c>
      <c r="AR30" s="161">
        <v>466.98</v>
      </c>
      <c r="AS30" s="10" t="s">
        <v>352</v>
      </c>
      <c r="AT30" s="122">
        <v>48.22</v>
      </c>
      <c r="AU30" s="122">
        <v>4.3099999999999996</v>
      </c>
      <c r="AV30" s="61">
        <v>607.74983454665789</v>
      </c>
      <c r="AW30" s="61">
        <v>25.411834375198893</v>
      </c>
      <c r="AX30" s="131">
        <v>6.55</v>
      </c>
      <c r="AY30" s="10" t="s">
        <v>352</v>
      </c>
      <c r="AZ30" s="10" t="s">
        <v>352</v>
      </c>
      <c r="BA30" s="10" t="s">
        <v>352</v>
      </c>
      <c r="BB30" s="10" t="s">
        <v>352</v>
      </c>
      <c r="BC30" s="10" t="s">
        <v>352</v>
      </c>
      <c r="BD30" s="10" t="s">
        <v>352</v>
      </c>
      <c r="BE30" s="10" t="s">
        <v>352</v>
      </c>
      <c r="BF30" s="10" t="s">
        <v>352</v>
      </c>
      <c r="BG30" s="10" t="s">
        <v>352</v>
      </c>
      <c r="BH30" s="10" t="s">
        <v>352</v>
      </c>
      <c r="BI30" s="172">
        <v>20345</v>
      </c>
      <c r="BJ30" s="10" t="s">
        <v>352</v>
      </c>
      <c r="BK30" s="10" t="s">
        <v>352</v>
      </c>
      <c r="BL30" s="10" t="s">
        <v>352</v>
      </c>
      <c r="BM30" s="10" t="s">
        <v>352</v>
      </c>
      <c r="BN30" s="10" t="s">
        <v>352</v>
      </c>
      <c r="BO30" s="10" t="s">
        <v>352</v>
      </c>
      <c r="BP30" s="10" t="s">
        <v>352</v>
      </c>
      <c r="BQ30" s="10" t="s">
        <v>352</v>
      </c>
      <c r="BR30" s="10" t="s">
        <v>352</v>
      </c>
      <c r="BS30" s="10" t="s">
        <v>352</v>
      </c>
      <c r="BT30" s="188" t="s">
        <v>355</v>
      </c>
      <c r="BU30" s="131">
        <v>11.3</v>
      </c>
      <c r="BV30" s="10" t="s">
        <v>352</v>
      </c>
      <c r="BW30" s="10" t="s">
        <v>352</v>
      </c>
      <c r="BX30" s="10" t="s">
        <v>352</v>
      </c>
      <c r="BY30" s="10" t="s">
        <v>352</v>
      </c>
      <c r="BZ30" s="10" t="s">
        <v>352</v>
      </c>
      <c r="CA30" s="10" t="s">
        <v>352</v>
      </c>
      <c r="CB30" s="10" t="s">
        <v>352</v>
      </c>
      <c r="CC30" s="10" t="s">
        <v>352</v>
      </c>
      <c r="CD30" s="10" t="s">
        <v>352</v>
      </c>
    </row>
    <row r="31" spans="1:82">
      <c r="A31" s="3" t="s">
        <v>375</v>
      </c>
      <c r="B31" s="5" t="s">
        <v>382</v>
      </c>
      <c r="C31" s="27" t="s">
        <v>349</v>
      </c>
      <c r="D31" s="5" t="s">
        <v>383</v>
      </c>
      <c r="E31" s="29">
        <v>5301</v>
      </c>
      <c r="F31" s="7" t="s">
        <v>382</v>
      </c>
      <c r="G31" s="4">
        <v>5301</v>
      </c>
      <c r="H31" s="10" t="s">
        <v>352</v>
      </c>
      <c r="I31" s="10" t="s">
        <v>352</v>
      </c>
      <c r="J31" s="10" t="s">
        <v>352</v>
      </c>
      <c r="K31" s="10" t="s">
        <v>352</v>
      </c>
      <c r="L31" s="10" t="s">
        <v>352</v>
      </c>
      <c r="M31" s="10" t="s">
        <v>352</v>
      </c>
      <c r="N31" s="10" t="s">
        <v>352</v>
      </c>
      <c r="O31" s="60">
        <v>1584.22</v>
      </c>
      <c r="P31" s="10" t="s">
        <v>352</v>
      </c>
      <c r="Q31" s="121">
        <v>803.09</v>
      </c>
      <c r="R31" s="123">
        <v>1.42</v>
      </c>
      <c r="S31" s="60">
        <v>843.9</v>
      </c>
      <c r="T31" s="10" t="s">
        <v>352</v>
      </c>
      <c r="U31" s="10" t="s">
        <v>352</v>
      </c>
      <c r="V31" s="10" t="s">
        <v>352</v>
      </c>
      <c r="W31" s="10" t="s">
        <v>352</v>
      </c>
      <c r="X31" s="10" t="s">
        <v>352</v>
      </c>
      <c r="Y31" s="10" t="s">
        <v>352</v>
      </c>
      <c r="Z31" s="10" t="s">
        <v>352</v>
      </c>
      <c r="AA31" s="10" t="s">
        <v>352</v>
      </c>
      <c r="AB31" s="10" t="s">
        <v>352</v>
      </c>
      <c r="AC31" s="10" t="s">
        <v>352</v>
      </c>
      <c r="AD31" s="10" t="s">
        <v>352</v>
      </c>
      <c r="AE31" s="10" t="s">
        <v>352</v>
      </c>
      <c r="AF31" s="10" t="s">
        <v>352</v>
      </c>
      <c r="AG31" s="10" t="s">
        <v>352</v>
      </c>
      <c r="AH31" s="10" t="s">
        <v>352</v>
      </c>
      <c r="AI31" s="10" t="s">
        <v>352</v>
      </c>
      <c r="AJ31" s="150">
        <v>2.94</v>
      </c>
      <c r="AK31" s="152">
        <v>333.37</v>
      </c>
      <c r="AL31" s="10" t="s">
        <v>352</v>
      </c>
      <c r="AM31" s="10" t="s">
        <v>352</v>
      </c>
      <c r="AN31" s="10" t="s">
        <v>352</v>
      </c>
      <c r="AO31" s="10" t="s">
        <v>352</v>
      </c>
      <c r="AP31" s="10" t="s">
        <v>352</v>
      </c>
      <c r="AQ31" s="160">
        <v>761.92</v>
      </c>
      <c r="AR31" s="161">
        <v>497.97</v>
      </c>
      <c r="AS31" s="10" t="s">
        <v>352</v>
      </c>
      <c r="AT31" s="122">
        <v>30.49</v>
      </c>
      <c r="AU31" s="122">
        <v>1.91</v>
      </c>
      <c r="AV31" s="61">
        <v>660.89247915676708</v>
      </c>
      <c r="AW31" s="61">
        <v>22.467801389276431</v>
      </c>
      <c r="AX31" s="131">
        <v>9.9</v>
      </c>
      <c r="AY31" s="10" t="s">
        <v>352</v>
      </c>
      <c r="AZ31" s="10" t="s">
        <v>352</v>
      </c>
      <c r="BA31" s="10" t="s">
        <v>352</v>
      </c>
      <c r="BB31" s="10" t="s">
        <v>352</v>
      </c>
      <c r="BC31" s="10" t="s">
        <v>352</v>
      </c>
      <c r="BD31" s="10" t="s">
        <v>352</v>
      </c>
      <c r="BE31" s="10" t="s">
        <v>352</v>
      </c>
      <c r="BF31" s="10" t="s">
        <v>352</v>
      </c>
      <c r="BG31" s="10" t="s">
        <v>352</v>
      </c>
      <c r="BH31" s="10" t="s">
        <v>352</v>
      </c>
      <c r="BI31" s="172" t="s">
        <v>351</v>
      </c>
      <c r="BJ31" s="10" t="s">
        <v>352</v>
      </c>
      <c r="BK31" s="10" t="s">
        <v>352</v>
      </c>
      <c r="BL31" s="10" t="s">
        <v>352</v>
      </c>
      <c r="BM31" s="10" t="s">
        <v>352</v>
      </c>
      <c r="BN31" s="10" t="s">
        <v>352</v>
      </c>
      <c r="BO31" s="10" t="s">
        <v>352</v>
      </c>
      <c r="BP31" s="10" t="s">
        <v>352</v>
      </c>
      <c r="BQ31" s="10" t="s">
        <v>352</v>
      </c>
      <c r="BR31" s="10" t="s">
        <v>352</v>
      </c>
      <c r="BS31" s="10" t="s">
        <v>352</v>
      </c>
      <c r="BT31" s="188" t="s">
        <v>355</v>
      </c>
      <c r="BU31" s="131">
        <v>51.51</v>
      </c>
      <c r="BV31" s="10" t="s">
        <v>352</v>
      </c>
      <c r="BW31" s="10" t="s">
        <v>352</v>
      </c>
      <c r="BX31" s="10" t="s">
        <v>352</v>
      </c>
      <c r="BY31" s="10" t="s">
        <v>352</v>
      </c>
      <c r="BZ31" s="10" t="s">
        <v>352</v>
      </c>
      <c r="CA31" s="10" t="s">
        <v>352</v>
      </c>
      <c r="CB31" s="10" t="s">
        <v>352</v>
      </c>
      <c r="CC31" s="10" t="s">
        <v>352</v>
      </c>
      <c r="CD31" s="10" t="s">
        <v>352</v>
      </c>
    </row>
    <row r="32" spans="1:82">
      <c r="A32" s="3" t="s">
        <v>375</v>
      </c>
      <c r="B32" s="5" t="s">
        <v>382</v>
      </c>
      <c r="C32" s="27" t="s">
        <v>349</v>
      </c>
      <c r="D32" s="5" t="s">
        <v>383</v>
      </c>
      <c r="E32" s="29">
        <v>5301</v>
      </c>
      <c r="F32" s="7" t="s">
        <v>384</v>
      </c>
      <c r="G32" s="4">
        <v>5304</v>
      </c>
      <c r="H32" s="10" t="s">
        <v>352</v>
      </c>
      <c r="I32" s="10" t="s">
        <v>352</v>
      </c>
      <c r="J32" s="10" t="s">
        <v>352</v>
      </c>
      <c r="K32" s="10" t="s">
        <v>352</v>
      </c>
      <c r="L32" s="10" t="s">
        <v>352</v>
      </c>
      <c r="M32" s="10" t="s">
        <v>352</v>
      </c>
      <c r="N32" s="10" t="s">
        <v>352</v>
      </c>
      <c r="O32" s="60">
        <v>1600.7</v>
      </c>
      <c r="P32" s="10" t="s">
        <v>352</v>
      </c>
      <c r="Q32" s="121">
        <v>964.21</v>
      </c>
      <c r="R32" s="123">
        <v>0.52</v>
      </c>
      <c r="S32" s="60">
        <v>868.23</v>
      </c>
      <c r="T32" s="10" t="s">
        <v>352</v>
      </c>
      <c r="U32" s="10" t="s">
        <v>352</v>
      </c>
      <c r="V32" s="10" t="s">
        <v>352</v>
      </c>
      <c r="W32" s="10" t="s">
        <v>352</v>
      </c>
      <c r="X32" s="10" t="s">
        <v>352</v>
      </c>
      <c r="Y32" s="10" t="s">
        <v>352</v>
      </c>
      <c r="Z32" s="10" t="s">
        <v>352</v>
      </c>
      <c r="AA32" s="10" t="s">
        <v>352</v>
      </c>
      <c r="AB32" s="10" t="s">
        <v>352</v>
      </c>
      <c r="AC32" s="10" t="s">
        <v>352</v>
      </c>
      <c r="AD32" s="10" t="s">
        <v>352</v>
      </c>
      <c r="AE32" s="10" t="s">
        <v>352</v>
      </c>
      <c r="AF32" s="10" t="s">
        <v>352</v>
      </c>
      <c r="AG32" s="10" t="s">
        <v>352</v>
      </c>
      <c r="AH32" s="10" t="s">
        <v>352</v>
      </c>
      <c r="AI32" s="10" t="s">
        <v>352</v>
      </c>
      <c r="AJ32" s="150">
        <v>4.84</v>
      </c>
      <c r="AK32" s="152">
        <v>285.81</v>
      </c>
      <c r="AL32" s="10" t="s">
        <v>352</v>
      </c>
      <c r="AM32" s="10" t="s">
        <v>352</v>
      </c>
      <c r="AN32" s="10" t="s">
        <v>352</v>
      </c>
      <c r="AO32" s="10" t="s">
        <v>352</v>
      </c>
      <c r="AP32" s="10" t="s">
        <v>352</v>
      </c>
      <c r="AQ32" s="160">
        <v>731.75</v>
      </c>
      <c r="AR32" s="161">
        <v>703.61</v>
      </c>
      <c r="AS32" s="10" t="s">
        <v>352</v>
      </c>
      <c r="AT32" s="122">
        <v>55.14</v>
      </c>
      <c r="AU32" s="122">
        <v>4.76</v>
      </c>
      <c r="AV32" s="61">
        <v>559.23183711244792</v>
      </c>
      <c r="AW32" s="61">
        <v>11.708569490868575</v>
      </c>
      <c r="AX32" s="131">
        <v>13.94</v>
      </c>
      <c r="AY32" s="10" t="s">
        <v>352</v>
      </c>
      <c r="AZ32" s="10" t="s">
        <v>352</v>
      </c>
      <c r="BA32" s="10" t="s">
        <v>352</v>
      </c>
      <c r="BB32" s="10" t="s">
        <v>352</v>
      </c>
      <c r="BC32" s="10" t="s">
        <v>352</v>
      </c>
      <c r="BD32" s="10" t="s">
        <v>352</v>
      </c>
      <c r="BE32" s="10" t="s">
        <v>352</v>
      </c>
      <c r="BF32" s="10" t="s">
        <v>352</v>
      </c>
      <c r="BG32" s="10" t="s">
        <v>352</v>
      </c>
      <c r="BH32" s="10" t="s">
        <v>352</v>
      </c>
      <c r="BI32" s="172" t="s">
        <v>351</v>
      </c>
      <c r="BJ32" s="10" t="s">
        <v>352</v>
      </c>
      <c r="BK32" s="10" t="s">
        <v>352</v>
      </c>
      <c r="BL32" s="10" t="s">
        <v>352</v>
      </c>
      <c r="BM32" s="10" t="s">
        <v>352</v>
      </c>
      <c r="BN32" s="10" t="s">
        <v>352</v>
      </c>
      <c r="BO32" s="10" t="s">
        <v>352</v>
      </c>
      <c r="BP32" s="10" t="s">
        <v>352</v>
      </c>
      <c r="BQ32" s="10" t="s">
        <v>352</v>
      </c>
      <c r="BR32" s="10" t="s">
        <v>352</v>
      </c>
      <c r="BS32" s="10" t="s">
        <v>352</v>
      </c>
      <c r="BT32" s="188" t="s">
        <v>353</v>
      </c>
      <c r="BU32" s="131">
        <v>60.13</v>
      </c>
      <c r="BV32" s="10" t="s">
        <v>352</v>
      </c>
      <c r="BW32" s="10" t="s">
        <v>352</v>
      </c>
      <c r="BX32" s="10" t="s">
        <v>352</v>
      </c>
      <c r="BY32" s="10" t="s">
        <v>352</v>
      </c>
      <c r="BZ32" s="10" t="s">
        <v>352</v>
      </c>
      <c r="CA32" s="10" t="s">
        <v>352</v>
      </c>
      <c r="CB32" s="10" t="s">
        <v>352</v>
      </c>
      <c r="CC32" s="10" t="s">
        <v>352</v>
      </c>
      <c r="CD32" s="10" t="s">
        <v>352</v>
      </c>
    </row>
    <row r="33" spans="1:82">
      <c r="A33" s="3" t="s">
        <v>375</v>
      </c>
      <c r="B33" s="5" t="s">
        <v>385</v>
      </c>
      <c r="C33" s="27" t="s">
        <v>349</v>
      </c>
      <c r="D33" s="5" t="s">
        <v>386</v>
      </c>
      <c r="E33" s="29">
        <v>5501</v>
      </c>
      <c r="F33" s="7" t="s">
        <v>385</v>
      </c>
      <c r="G33" s="4">
        <v>5501</v>
      </c>
      <c r="H33" s="10" t="s">
        <v>352</v>
      </c>
      <c r="I33" s="10" t="s">
        <v>352</v>
      </c>
      <c r="J33" s="10" t="s">
        <v>352</v>
      </c>
      <c r="K33" s="10" t="s">
        <v>352</v>
      </c>
      <c r="L33" s="10" t="s">
        <v>352</v>
      </c>
      <c r="M33" s="10" t="s">
        <v>352</v>
      </c>
      <c r="N33" s="10" t="s">
        <v>352</v>
      </c>
      <c r="O33" s="60">
        <v>959.5</v>
      </c>
      <c r="P33" s="10" t="s">
        <v>352</v>
      </c>
      <c r="Q33" s="121">
        <v>718.33</v>
      </c>
      <c r="R33" s="123">
        <v>1.43</v>
      </c>
      <c r="S33" s="60">
        <v>686.28</v>
      </c>
      <c r="T33" s="10" t="s">
        <v>352</v>
      </c>
      <c r="U33" s="10" t="s">
        <v>352</v>
      </c>
      <c r="V33" s="10" t="s">
        <v>352</v>
      </c>
      <c r="W33" s="10" t="s">
        <v>352</v>
      </c>
      <c r="X33" s="10" t="s">
        <v>352</v>
      </c>
      <c r="Y33" s="10" t="s">
        <v>352</v>
      </c>
      <c r="Z33" s="10" t="s">
        <v>352</v>
      </c>
      <c r="AA33" s="10" t="s">
        <v>352</v>
      </c>
      <c r="AB33" s="10" t="s">
        <v>352</v>
      </c>
      <c r="AC33" s="10" t="s">
        <v>352</v>
      </c>
      <c r="AD33" s="10" t="s">
        <v>352</v>
      </c>
      <c r="AE33" s="10" t="s">
        <v>352</v>
      </c>
      <c r="AF33" s="10" t="s">
        <v>352</v>
      </c>
      <c r="AG33" s="10" t="s">
        <v>352</v>
      </c>
      <c r="AH33" s="10" t="s">
        <v>352</v>
      </c>
      <c r="AI33" s="10" t="s">
        <v>352</v>
      </c>
      <c r="AJ33" s="150">
        <v>4.0999999999999996</v>
      </c>
      <c r="AK33" s="152">
        <v>248.02</v>
      </c>
      <c r="AL33" s="10" t="s">
        <v>352</v>
      </c>
      <c r="AM33" s="10" t="s">
        <v>352</v>
      </c>
      <c r="AN33" s="10" t="s">
        <v>352</v>
      </c>
      <c r="AO33" s="10" t="s">
        <v>352</v>
      </c>
      <c r="AP33" s="10" t="s">
        <v>352</v>
      </c>
      <c r="AQ33" s="160">
        <v>744.84</v>
      </c>
      <c r="AR33" s="161">
        <v>569.58000000000004</v>
      </c>
      <c r="AS33" s="10" t="s">
        <v>352</v>
      </c>
      <c r="AT33" s="122">
        <v>34.25</v>
      </c>
      <c r="AU33" s="122">
        <v>2.41</v>
      </c>
      <c r="AV33" s="61">
        <v>653.95777043930752</v>
      </c>
      <c r="AW33" s="61">
        <v>20.092854507440659</v>
      </c>
      <c r="AX33" s="131">
        <v>6.24</v>
      </c>
      <c r="AY33" s="10" t="s">
        <v>352</v>
      </c>
      <c r="AZ33" s="10" t="s">
        <v>352</v>
      </c>
      <c r="BA33" s="10" t="s">
        <v>352</v>
      </c>
      <c r="BB33" s="10" t="s">
        <v>352</v>
      </c>
      <c r="BC33" s="10" t="s">
        <v>352</v>
      </c>
      <c r="BD33" s="10" t="s">
        <v>352</v>
      </c>
      <c r="BE33" s="10" t="s">
        <v>352</v>
      </c>
      <c r="BF33" s="10" t="s">
        <v>352</v>
      </c>
      <c r="BG33" s="10" t="s">
        <v>352</v>
      </c>
      <c r="BH33" s="10" t="s">
        <v>352</v>
      </c>
      <c r="BI33" s="172" t="s">
        <v>351</v>
      </c>
      <c r="BJ33" s="10" t="s">
        <v>352</v>
      </c>
      <c r="BK33" s="10" t="s">
        <v>352</v>
      </c>
      <c r="BL33" s="10" t="s">
        <v>352</v>
      </c>
      <c r="BM33" s="10" t="s">
        <v>352</v>
      </c>
      <c r="BN33" s="10" t="s">
        <v>352</v>
      </c>
      <c r="BO33" s="10" t="s">
        <v>352</v>
      </c>
      <c r="BP33" s="10" t="s">
        <v>352</v>
      </c>
      <c r="BQ33" s="10" t="s">
        <v>352</v>
      </c>
      <c r="BR33" s="10" t="s">
        <v>352</v>
      </c>
      <c r="BS33" s="10" t="s">
        <v>352</v>
      </c>
      <c r="BT33" s="188" t="s">
        <v>355</v>
      </c>
      <c r="BU33" s="131">
        <v>45.07</v>
      </c>
      <c r="BV33" s="10" t="s">
        <v>352</v>
      </c>
      <c r="BW33" s="10" t="s">
        <v>352</v>
      </c>
      <c r="BX33" s="10" t="s">
        <v>352</v>
      </c>
      <c r="BY33" s="10" t="s">
        <v>352</v>
      </c>
      <c r="BZ33" s="10" t="s">
        <v>352</v>
      </c>
      <c r="CA33" s="10" t="s">
        <v>352</v>
      </c>
      <c r="CB33" s="10" t="s">
        <v>352</v>
      </c>
      <c r="CC33" s="10" t="s">
        <v>352</v>
      </c>
      <c r="CD33" s="10" t="s">
        <v>352</v>
      </c>
    </row>
    <row r="34" spans="1:82">
      <c r="A34" s="3" t="s">
        <v>375</v>
      </c>
      <c r="B34" s="5" t="s">
        <v>385</v>
      </c>
      <c r="C34" s="27" t="s">
        <v>349</v>
      </c>
      <c r="D34" s="5" t="s">
        <v>386</v>
      </c>
      <c r="E34" s="29">
        <v>5501</v>
      </c>
      <c r="F34" s="7" t="s">
        <v>387</v>
      </c>
      <c r="G34" s="4">
        <v>5502</v>
      </c>
      <c r="H34" s="10" t="s">
        <v>352</v>
      </c>
      <c r="I34" s="10" t="s">
        <v>352</v>
      </c>
      <c r="J34" s="10" t="s">
        <v>352</v>
      </c>
      <c r="K34" s="10" t="s">
        <v>352</v>
      </c>
      <c r="L34" s="10" t="s">
        <v>352</v>
      </c>
      <c r="M34" s="10" t="s">
        <v>352</v>
      </c>
      <c r="N34" s="10" t="s">
        <v>352</v>
      </c>
      <c r="O34" s="60">
        <v>977.34</v>
      </c>
      <c r="P34" s="10" t="s">
        <v>352</v>
      </c>
      <c r="Q34" s="121">
        <v>669</v>
      </c>
      <c r="R34" s="123">
        <v>1.46</v>
      </c>
      <c r="S34" s="60">
        <v>624.9</v>
      </c>
      <c r="T34" s="10" t="s">
        <v>352</v>
      </c>
      <c r="U34" s="10" t="s">
        <v>352</v>
      </c>
      <c r="V34" s="10" t="s">
        <v>352</v>
      </c>
      <c r="W34" s="10" t="s">
        <v>352</v>
      </c>
      <c r="X34" s="10" t="s">
        <v>352</v>
      </c>
      <c r="Y34" s="10" t="s">
        <v>352</v>
      </c>
      <c r="Z34" s="10" t="s">
        <v>352</v>
      </c>
      <c r="AA34" s="10" t="s">
        <v>352</v>
      </c>
      <c r="AB34" s="10" t="s">
        <v>352</v>
      </c>
      <c r="AC34" s="10" t="s">
        <v>352</v>
      </c>
      <c r="AD34" s="10" t="s">
        <v>352</v>
      </c>
      <c r="AE34" s="10" t="s">
        <v>352</v>
      </c>
      <c r="AF34" s="10" t="s">
        <v>352</v>
      </c>
      <c r="AG34" s="10" t="s">
        <v>352</v>
      </c>
      <c r="AH34" s="10" t="s">
        <v>352</v>
      </c>
      <c r="AI34" s="10" t="s">
        <v>352</v>
      </c>
      <c r="AJ34" s="150">
        <v>1.87</v>
      </c>
      <c r="AK34" s="152">
        <v>203.39</v>
      </c>
      <c r="AL34" s="10" t="s">
        <v>352</v>
      </c>
      <c r="AM34" s="10" t="s">
        <v>352</v>
      </c>
      <c r="AN34" s="10" t="s">
        <v>352</v>
      </c>
      <c r="AO34" s="10" t="s">
        <v>352</v>
      </c>
      <c r="AP34" s="10" t="s">
        <v>352</v>
      </c>
      <c r="AQ34" s="160">
        <v>667.46</v>
      </c>
      <c r="AR34" s="161">
        <v>434.1</v>
      </c>
      <c r="AS34" s="10" t="s">
        <v>352</v>
      </c>
      <c r="AT34" s="122">
        <v>32.92</v>
      </c>
      <c r="AU34" s="122">
        <v>2.0499999999999998</v>
      </c>
      <c r="AV34" s="61">
        <v>612.59964570416287</v>
      </c>
      <c r="AW34" s="61">
        <v>20.648989569144071</v>
      </c>
      <c r="AX34" s="131">
        <v>10.039999999999999</v>
      </c>
      <c r="AY34" s="10" t="s">
        <v>352</v>
      </c>
      <c r="AZ34" s="10" t="s">
        <v>352</v>
      </c>
      <c r="BA34" s="10" t="s">
        <v>352</v>
      </c>
      <c r="BB34" s="10" t="s">
        <v>352</v>
      </c>
      <c r="BC34" s="10" t="s">
        <v>352</v>
      </c>
      <c r="BD34" s="10" t="s">
        <v>352</v>
      </c>
      <c r="BE34" s="10" t="s">
        <v>352</v>
      </c>
      <c r="BF34" s="10" t="s">
        <v>352</v>
      </c>
      <c r="BG34" s="10" t="s">
        <v>352</v>
      </c>
      <c r="BH34" s="10" t="s">
        <v>352</v>
      </c>
      <c r="BI34" s="172" t="s">
        <v>351</v>
      </c>
      <c r="BJ34" s="10" t="s">
        <v>352</v>
      </c>
      <c r="BK34" s="10" t="s">
        <v>352</v>
      </c>
      <c r="BL34" s="10" t="s">
        <v>352</v>
      </c>
      <c r="BM34" s="10" t="s">
        <v>352</v>
      </c>
      <c r="BN34" s="10" t="s">
        <v>352</v>
      </c>
      <c r="BO34" s="10" t="s">
        <v>352</v>
      </c>
      <c r="BP34" s="10" t="s">
        <v>352</v>
      </c>
      <c r="BQ34" s="10" t="s">
        <v>352</v>
      </c>
      <c r="BR34" s="10" t="s">
        <v>352</v>
      </c>
      <c r="BS34" s="10" t="s">
        <v>352</v>
      </c>
      <c r="BT34" s="188" t="s">
        <v>355</v>
      </c>
      <c r="BU34" s="131">
        <v>57.79</v>
      </c>
      <c r="BV34" s="10" t="s">
        <v>352</v>
      </c>
      <c r="BW34" s="10" t="s">
        <v>352</v>
      </c>
      <c r="BX34" s="10" t="s">
        <v>352</v>
      </c>
      <c r="BY34" s="10" t="s">
        <v>352</v>
      </c>
      <c r="BZ34" s="10" t="s">
        <v>352</v>
      </c>
      <c r="CA34" s="10" t="s">
        <v>352</v>
      </c>
      <c r="CB34" s="10" t="s">
        <v>352</v>
      </c>
      <c r="CC34" s="10" t="s">
        <v>352</v>
      </c>
      <c r="CD34" s="10" t="s">
        <v>352</v>
      </c>
    </row>
    <row r="35" spans="1:82">
      <c r="A35" s="3" t="s">
        <v>375</v>
      </c>
      <c r="B35" s="5" t="s">
        <v>385</v>
      </c>
      <c r="C35" s="27" t="s">
        <v>349</v>
      </c>
      <c r="D35" s="5" t="s">
        <v>386</v>
      </c>
      <c r="E35" s="29">
        <v>5501</v>
      </c>
      <c r="F35" s="7" t="s">
        <v>388</v>
      </c>
      <c r="G35" s="4">
        <v>5503</v>
      </c>
      <c r="H35" s="10" t="s">
        <v>352</v>
      </c>
      <c r="I35" s="10" t="s">
        <v>352</v>
      </c>
      <c r="J35" s="10" t="s">
        <v>352</v>
      </c>
      <c r="K35" s="10" t="s">
        <v>352</v>
      </c>
      <c r="L35" s="10" t="s">
        <v>352</v>
      </c>
      <c r="M35" s="10" t="s">
        <v>352</v>
      </c>
      <c r="N35" s="10" t="s">
        <v>352</v>
      </c>
      <c r="O35" s="60">
        <v>2356.42</v>
      </c>
      <c r="P35" s="10" t="s">
        <v>352</v>
      </c>
      <c r="Q35" s="121">
        <v>1070.4100000000001</v>
      </c>
      <c r="R35" s="123">
        <v>1.41</v>
      </c>
      <c r="S35" s="60">
        <v>960.65</v>
      </c>
      <c r="T35" s="10" t="s">
        <v>352</v>
      </c>
      <c r="U35" s="10" t="s">
        <v>352</v>
      </c>
      <c r="V35" s="10" t="s">
        <v>352</v>
      </c>
      <c r="W35" s="10" t="s">
        <v>352</v>
      </c>
      <c r="X35" s="10" t="s">
        <v>352</v>
      </c>
      <c r="Y35" s="10" t="s">
        <v>352</v>
      </c>
      <c r="Z35" s="10" t="s">
        <v>352</v>
      </c>
      <c r="AA35" s="10" t="s">
        <v>352</v>
      </c>
      <c r="AB35" s="10" t="s">
        <v>352</v>
      </c>
      <c r="AC35" s="10" t="s">
        <v>352</v>
      </c>
      <c r="AD35" s="10" t="s">
        <v>352</v>
      </c>
      <c r="AE35" s="10" t="s">
        <v>352</v>
      </c>
      <c r="AF35" s="10" t="s">
        <v>352</v>
      </c>
      <c r="AG35" s="10" t="s">
        <v>352</v>
      </c>
      <c r="AH35" s="10" t="s">
        <v>352</v>
      </c>
      <c r="AI35" s="10" t="s">
        <v>352</v>
      </c>
      <c r="AJ35" s="150">
        <v>36.65</v>
      </c>
      <c r="AK35" s="152">
        <v>513.12</v>
      </c>
      <c r="AL35" s="10" t="s">
        <v>352</v>
      </c>
      <c r="AM35" s="10" t="s">
        <v>352</v>
      </c>
      <c r="AN35" s="10" t="s">
        <v>352</v>
      </c>
      <c r="AO35" s="10" t="s">
        <v>352</v>
      </c>
      <c r="AP35" s="10" t="s">
        <v>352</v>
      </c>
      <c r="AQ35" s="160">
        <v>737.31</v>
      </c>
      <c r="AR35" s="161">
        <v>1510.88</v>
      </c>
      <c r="AS35" s="10" t="s">
        <v>352</v>
      </c>
      <c r="AT35" s="122">
        <v>57.03</v>
      </c>
      <c r="AU35" s="122">
        <v>2.92</v>
      </c>
      <c r="AV35" s="61">
        <v>100.19175455417066</v>
      </c>
      <c r="AW35" s="61">
        <v>2.1885962615843759</v>
      </c>
      <c r="AX35" s="131">
        <v>8.1999999999999993</v>
      </c>
      <c r="AY35" s="10" t="s">
        <v>352</v>
      </c>
      <c r="AZ35" s="10" t="s">
        <v>352</v>
      </c>
      <c r="BA35" s="10" t="s">
        <v>352</v>
      </c>
      <c r="BB35" s="10" t="s">
        <v>352</v>
      </c>
      <c r="BC35" s="10" t="s">
        <v>352</v>
      </c>
      <c r="BD35" s="10" t="s">
        <v>352</v>
      </c>
      <c r="BE35" s="10" t="s">
        <v>352</v>
      </c>
      <c r="BF35" s="10" t="s">
        <v>352</v>
      </c>
      <c r="BG35" s="10" t="s">
        <v>352</v>
      </c>
      <c r="BH35" s="10" t="s">
        <v>352</v>
      </c>
      <c r="BI35" s="172" t="s">
        <v>351</v>
      </c>
      <c r="BJ35" s="10" t="s">
        <v>352</v>
      </c>
      <c r="BK35" s="10" t="s">
        <v>352</v>
      </c>
      <c r="BL35" s="10" t="s">
        <v>352</v>
      </c>
      <c r="BM35" s="10" t="s">
        <v>352</v>
      </c>
      <c r="BN35" s="10" t="s">
        <v>352</v>
      </c>
      <c r="BO35" s="10" t="s">
        <v>352</v>
      </c>
      <c r="BP35" s="10" t="s">
        <v>352</v>
      </c>
      <c r="BQ35" s="10" t="s">
        <v>352</v>
      </c>
      <c r="BR35" s="10" t="s">
        <v>352</v>
      </c>
      <c r="BS35" s="10" t="s">
        <v>352</v>
      </c>
      <c r="BT35" s="188" t="s">
        <v>355</v>
      </c>
      <c r="BU35" s="131">
        <v>48.13</v>
      </c>
      <c r="BV35" s="10" t="s">
        <v>352</v>
      </c>
      <c r="BW35" s="10" t="s">
        <v>352</v>
      </c>
      <c r="BX35" s="10" t="s">
        <v>352</v>
      </c>
      <c r="BY35" s="10" t="s">
        <v>352</v>
      </c>
      <c r="BZ35" s="10" t="s">
        <v>352</v>
      </c>
      <c r="CA35" s="10" t="s">
        <v>352</v>
      </c>
      <c r="CB35" s="10" t="s">
        <v>352</v>
      </c>
      <c r="CC35" s="10" t="s">
        <v>352</v>
      </c>
      <c r="CD35" s="10" t="s">
        <v>352</v>
      </c>
    </row>
    <row r="36" spans="1:82">
      <c r="A36" s="3" t="s">
        <v>375</v>
      </c>
      <c r="B36" s="5" t="s">
        <v>385</v>
      </c>
      <c r="C36" s="27" t="s">
        <v>349</v>
      </c>
      <c r="D36" s="5" t="s">
        <v>386</v>
      </c>
      <c r="E36" s="29">
        <v>5501</v>
      </c>
      <c r="F36" s="7" t="s">
        <v>389</v>
      </c>
      <c r="G36" s="4">
        <v>5504</v>
      </c>
      <c r="H36" s="10" t="s">
        <v>352</v>
      </c>
      <c r="I36" s="10" t="s">
        <v>352</v>
      </c>
      <c r="J36" s="10" t="s">
        <v>352</v>
      </c>
      <c r="K36" s="10" t="s">
        <v>352</v>
      </c>
      <c r="L36" s="10" t="s">
        <v>352</v>
      </c>
      <c r="M36" s="10" t="s">
        <v>352</v>
      </c>
      <c r="N36" s="10" t="s">
        <v>352</v>
      </c>
      <c r="O36" s="60">
        <v>1391.25</v>
      </c>
      <c r="P36" s="10" t="s">
        <v>352</v>
      </c>
      <c r="Q36" s="121">
        <v>851.02</v>
      </c>
      <c r="R36" s="123">
        <v>0.67</v>
      </c>
      <c r="S36" s="60">
        <v>722.55</v>
      </c>
      <c r="T36" s="10" t="s">
        <v>352</v>
      </c>
      <c r="U36" s="10" t="s">
        <v>352</v>
      </c>
      <c r="V36" s="10" t="s">
        <v>352</v>
      </c>
      <c r="W36" s="10" t="s">
        <v>352</v>
      </c>
      <c r="X36" s="10" t="s">
        <v>352</v>
      </c>
      <c r="Y36" s="10" t="s">
        <v>352</v>
      </c>
      <c r="Z36" s="10" t="s">
        <v>352</v>
      </c>
      <c r="AA36" s="10" t="s">
        <v>352</v>
      </c>
      <c r="AB36" s="10" t="s">
        <v>352</v>
      </c>
      <c r="AC36" s="10" t="s">
        <v>352</v>
      </c>
      <c r="AD36" s="10" t="s">
        <v>352</v>
      </c>
      <c r="AE36" s="10" t="s">
        <v>352</v>
      </c>
      <c r="AF36" s="10" t="s">
        <v>352</v>
      </c>
      <c r="AG36" s="10" t="s">
        <v>352</v>
      </c>
      <c r="AH36" s="10" t="s">
        <v>352</v>
      </c>
      <c r="AI36" s="10" t="s">
        <v>352</v>
      </c>
      <c r="AJ36" s="150">
        <v>3.95</v>
      </c>
      <c r="AK36" s="152">
        <v>47.39</v>
      </c>
      <c r="AL36" s="10" t="s">
        <v>352</v>
      </c>
      <c r="AM36" s="10" t="s">
        <v>352</v>
      </c>
      <c r="AN36" s="10" t="s">
        <v>352</v>
      </c>
      <c r="AO36" s="10" t="s">
        <v>352</v>
      </c>
      <c r="AP36" s="10" t="s">
        <v>352</v>
      </c>
      <c r="AQ36" s="160">
        <v>750.34</v>
      </c>
      <c r="AR36" s="161">
        <v>724.4</v>
      </c>
      <c r="AS36" s="10" t="s">
        <v>352</v>
      </c>
      <c r="AT36" s="122">
        <v>59.44</v>
      </c>
      <c r="AU36" s="122">
        <v>10.15</v>
      </c>
      <c r="AV36" s="61">
        <v>599.59682499685016</v>
      </c>
      <c r="AW36" s="61">
        <v>18.79467635559417</v>
      </c>
      <c r="AX36" s="131">
        <v>6.97</v>
      </c>
      <c r="AY36" s="10" t="s">
        <v>352</v>
      </c>
      <c r="AZ36" s="10" t="s">
        <v>352</v>
      </c>
      <c r="BA36" s="10" t="s">
        <v>352</v>
      </c>
      <c r="BB36" s="10" t="s">
        <v>352</v>
      </c>
      <c r="BC36" s="10" t="s">
        <v>352</v>
      </c>
      <c r="BD36" s="10" t="s">
        <v>352</v>
      </c>
      <c r="BE36" s="10" t="s">
        <v>352</v>
      </c>
      <c r="BF36" s="10" t="s">
        <v>352</v>
      </c>
      <c r="BG36" s="10" t="s">
        <v>352</v>
      </c>
      <c r="BH36" s="10" t="s">
        <v>352</v>
      </c>
      <c r="BI36" s="172" t="s">
        <v>351</v>
      </c>
      <c r="BJ36" s="10" t="s">
        <v>352</v>
      </c>
      <c r="BK36" s="10" t="s">
        <v>352</v>
      </c>
      <c r="BL36" s="10" t="s">
        <v>352</v>
      </c>
      <c r="BM36" s="10" t="s">
        <v>352</v>
      </c>
      <c r="BN36" s="10" t="s">
        <v>352</v>
      </c>
      <c r="BO36" s="10" t="s">
        <v>352</v>
      </c>
      <c r="BP36" s="10" t="s">
        <v>352</v>
      </c>
      <c r="BQ36" s="10" t="s">
        <v>352</v>
      </c>
      <c r="BR36" s="10" t="s">
        <v>352</v>
      </c>
      <c r="BS36" s="10" t="s">
        <v>352</v>
      </c>
      <c r="BT36" s="188" t="s">
        <v>355</v>
      </c>
      <c r="BU36" s="131">
        <v>44.41</v>
      </c>
      <c r="BV36" s="10" t="s">
        <v>352</v>
      </c>
      <c r="BW36" s="10" t="s">
        <v>352</v>
      </c>
      <c r="BX36" s="10" t="s">
        <v>352</v>
      </c>
      <c r="BY36" s="10" t="s">
        <v>352</v>
      </c>
      <c r="BZ36" s="10" t="s">
        <v>352</v>
      </c>
      <c r="CA36" s="10" t="s">
        <v>352</v>
      </c>
      <c r="CB36" s="10" t="s">
        <v>352</v>
      </c>
      <c r="CC36" s="10" t="s">
        <v>352</v>
      </c>
      <c r="CD36" s="10" t="s">
        <v>352</v>
      </c>
    </row>
    <row r="37" spans="1:82">
      <c r="A37" s="3" t="s">
        <v>375</v>
      </c>
      <c r="B37" s="3" t="s">
        <v>390</v>
      </c>
      <c r="C37" s="27" t="s">
        <v>349</v>
      </c>
      <c r="D37" s="3" t="s">
        <v>391</v>
      </c>
      <c r="E37" s="29">
        <v>5601</v>
      </c>
      <c r="F37" s="6" t="s">
        <v>390</v>
      </c>
      <c r="G37" s="4">
        <v>5601</v>
      </c>
      <c r="H37" s="10" t="s">
        <v>352</v>
      </c>
      <c r="I37" s="10" t="s">
        <v>352</v>
      </c>
      <c r="J37" s="10" t="s">
        <v>352</v>
      </c>
      <c r="K37" s="10" t="s">
        <v>352</v>
      </c>
      <c r="L37" s="10" t="s">
        <v>352</v>
      </c>
      <c r="M37" s="10" t="s">
        <v>352</v>
      </c>
      <c r="N37" s="10" t="s">
        <v>352</v>
      </c>
      <c r="O37" s="60">
        <v>1014.06</v>
      </c>
      <c r="P37" s="10" t="s">
        <v>352</v>
      </c>
      <c r="Q37" s="121">
        <v>577.21</v>
      </c>
      <c r="R37" s="123">
        <v>1.44</v>
      </c>
      <c r="S37" s="60">
        <v>428.24</v>
      </c>
      <c r="T37" s="10" t="s">
        <v>352</v>
      </c>
      <c r="U37" s="10" t="s">
        <v>352</v>
      </c>
      <c r="V37" s="10" t="s">
        <v>352</v>
      </c>
      <c r="W37" s="10" t="s">
        <v>352</v>
      </c>
      <c r="X37" s="10" t="s">
        <v>352</v>
      </c>
      <c r="Y37" s="10" t="s">
        <v>352</v>
      </c>
      <c r="Z37" s="10" t="s">
        <v>352</v>
      </c>
      <c r="AA37" s="10" t="s">
        <v>352</v>
      </c>
      <c r="AB37" s="10" t="s">
        <v>352</v>
      </c>
      <c r="AC37" s="10" t="s">
        <v>352</v>
      </c>
      <c r="AD37" s="10" t="s">
        <v>352</v>
      </c>
      <c r="AE37" s="10" t="s">
        <v>352</v>
      </c>
      <c r="AF37" s="10" t="s">
        <v>352</v>
      </c>
      <c r="AG37" s="10" t="s">
        <v>352</v>
      </c>
      <c r="AH37" s="10" t="s">
        <v>352</v>
      </c>
      <c r="AI37" s="10" t="s">
        <v>352</v>
      </c>
      <c r="AJ37" s="150">
        <v>3.1</v>
      </c>
      <c r="AK37" s="152">
        <v>134.35</v>
      </c>
      <c r="AL37" s="10" t="s">
        <v>352</v>
      </c>
      <c r="AM37" s="10" t="s">
        <v>352</v>
      </c>
      <c r="AN37" s="10" t="s">
        <v>352</v>
      </c>
      <c r="AO37" s="10" t="s">
        <v>352</v>
      </c>
      <c r="AP37" s="10" t="s">
        <v>352</v>
      </c>
      <c r="AQ37" s="160">
        <v>679.9</v>
      </c>
      <c r="AR37" s="161">
        <v>616.42999999999995</v>
      </c>
      <c r="AS37" s="10" t="s">
        <v>352</v>
      </c>
      <c r="AT37" s="122">
        <v>25.38</v>
      </c>
      <c r="AU37" s="122">
        <v>0.56000000000000005</v>
      </c>
      <c r="AV37" s="61">
        <v>531.83485078401611</v>
      </c>
      <c r="AW37" s="61">
        <v>17.386136976674489</v>
      </c>
      <c r="AX37" s="131">
        <v>10.26</v>
      </c>
      <c r="AY37" s="10" t="s">
        <v>352</v>
      </c>
      <c r="AZ37" s="10" t="s">
        <v>352</v>
      </c>
      <c r="BA37" s="10" t="s">
        <v>352</v>
      </c>
      <c r="BB37" s="10" t="s">
        <v>352</v>
      </c>
      <c r="BC37" s="10" t="s">
        <v>352</v>
      </c>
      <c r="BD37" s="10" t="s">
        <v>352</v>
      </c>
      <c r="BE37" s="10" t="s">
        <v>352</v>
      </c>
      <c r="BF37" s="10" t="s">
        <v>352</v>
      </c>
      <c r="BG37" s="10" t="s">
        <v>352</v>
      </c>
      <c r="BH37" s="10" t="s">
        <v>352</v>
      </c>
      <c r="BI37" s="172" t="s">
        <v>351</v>
      </c>
      <c r="BJ37" s="10" t="s">
        <v>352</v>
      </c>
      <c r="BK37" s="10" t="s">
        <v>352</v>
      </c>
      <c r="BL37" s="10" t="s">
        <v>352</v>
      </c>
      <c r="BM37" s="10" t="s">
        <v>352</v>
      </c>
      <c r="BN37" s="10" t="s">
        <v>352</v>
      </c>
      <c r="BO37" s="10" t="s">
        <v>352</v>
      </c>
      <c r="BP37" s="10" t="s">
        <v>352</v>
      </c>
      <c r="BQ37" s="10" t="s">
        <v>352</v>
      </c>
      <c r="BR37" s="10" t="s">
        <v>352</v>
      </c>
      <c r="BS37" s="10" t="s">
        <v>352</v>
      </c>
      <c r="BT37" s="188" t="s">
        <v>353</v>
      </c>
      <c r="BU37" s="131">
        <v>48.68</v>
      </c>
      <c r="BV37" s="10" t="s">
        <v>352</v>
      </c>
      <c r="BW37" s="10" t="s">
        <v>352</v>
      </c>
      <c r="BX37" s="10" t="s">
        <v>352</v>
      </c>
      <c r="BY37" s="10" t="s">
        <v>352</v>
      </c>
      <c r="BZ37" s="10" t="s">
        <v>352</v>
      </c>
      <c r="CA37" s="10" t="s">
        <v>352</v>
      </c>
      <c r="CB37" s="10" t="s">
        <v>352</v>
      </c>
      <c r="CC37" s="10" t="s">
        <v>352</v>
      </c>
      <c r="CD37" s="10" t="s">
        <v>352</v>
      </c>
    </row>
    <row r="38" spans="1:82">
      <c r="A38" s="3" t="s">
        <v>375</v>
      </c>
      <c r="B38" s="3" t="s">
        <v>390</v>
      </c>
      <c r="C38" s="27" t="s">
        <v>349</v>
      </c>
      <c r="D38" s="3" t="s">
        <v>391</v>
      </c>
      <c r="E38" s="29">
        <v>5601</v>
      </c>
      <c r="F38" s="6" t="s">
        <v>392</v>
      </c>
      <c r="G38" s="4">
        <v>5603</v>
      </c>
      <c r="H38" s="10" t="s">
        <v>352</v>
      </c>
      <c r="I38" s="10" t="s">
        <v>352</v>
      </c>
      <c r="J38" s="10" t="s">
        <v>352</v>
      </c>
      <c r="K38" s="10" t="s">
        <v>352</v>
      </c>
      <c r="L38" s="10" t="s">
        <v>352</v>
      </c>
      <c r="M38" s="10" t="s">
        <v>352</v>
      </c>
      <c r="N38" s="10" t="s">
        <v>352</v>
      </c>
      <c r="O38" s="60">
        <v>1573.09</v>
      </c>
      <c r="P38" s="10" t="s">
        <v>352</v>
      </c>
      <c r="Q38" s="121">
        <v>926.82</v>
      </c>
      <c r="R38" s="123">
        <v>1.47</v>
      </c>
      <c r="S38" s="60">
        <v>695.03</v>
      </c>
      <c r="T38" s="10" t="s">
        <v>352</v>
      </c>
      <c r="U38" s="10" t="s">
        <v>352</v>
      </c>
      <c r="V38" s="10" t="s">
        <v>352</v>
      </c>
      <c r="W38" s="10" t="s">
        <v>352</v>
      </c>
      <c r="X38" s="10" t="s">
        <v>352</v>
      </c>
      <c r="Y38" s="10" t="s">
        <v>352</v>
      </c>
      <c r="Z38" s="10" t="s">
        <v>352</v>
      </c>
      <c r="AA38" s="10" t="s">
        <v>352</v>
      </c>
      <c r="AB38" s="10" t="s">
        <v>352</v>
      </c>
      <c r="AC38" s="10" t="s">
        <v>352</v>
      </c>
      <c r="AD38" s="10" t="s">
        <v>352</v>
      </c>
      <c r="AE38" s="10" t="s">
        <v>352</v>
      </c>
      <c r="AF38" s="10" t="s">
        <v>352</v>
      </c>
      <c r="AG38" s="10" t="s">
        <v>352</v>
      </c>
      <c r="AH38" s="10" t="s">
        <v>352</v>
      </c>
      <c r="AI38" s="10" t="s">
        <v>352</v>
      </c>
      <c r="AJ38" s="150">
        <v>11.83</v>
      </c>
      <c r="AK38" s="152">
        <v>528.45000000000005</v>
      </c>
      <c r="AL38" s="10" t="s">
        <v>352</v>
      </c>
      <c r="AM38" s="10" t="s">
        <v>352</v>
      </c>
      <c r="AN38" s="10" t="s">
        <v>352</v>
      </c>
      <c r="AO38" s="10" t="s">
        <v>352</v>
      </c>
      <c r="AP38" s="10" t="s">
        <v>352</v>
      </c>
      <c r="AQ38" s="160">
        <v>785.49</v>
      </c>
      <c r="AR38" s="161">
        <v>450.88</v>
      </c>
      <c r="AS38" s="10" t="s">
        <v>352</v>
      </c>
      <c r="AT38" s="122">
        <v>36.630000000000003</v>
      </c>
      <c r="AU38" s="122">
        <v>0.77</v>
      </c>
      <c r="AV38" s="61">
        <v>229.96699669966998</v>
      </c>
      <c r="AW38" s="61">
        <v>13.73979571715897</v>
      </c>
      <c r="AX38" s="131">
        <v>14.83</v>
      </c>
      <c r="AY38" s="10" t="s">
        <v>352</v>
      </c>
      <c r="AZ38" s="10" t="s">
        <v>352</v>
      </c>
      <c r="BA38" s="10" t="s">
        <v>352</v>
      </c>
      <c r="BB38" s="10" t="s">
        <v>352</v>
      </c>
      <c r="BC38" s="10" t="s">
        <v>352</v>
      </c>
      <c r="BD38" s="10" t="s">
        <v>352</v>
      </c>
      <c r="BE38" s="10" t="s">
        <v>352</v>
      </c>
      <c r="BF38" s="10" t="s">
        <v>352</v>
      </c>
      <c r="BG38" s="10" t="s">
        <v>352</v>
      </c>
      <c r="BH38" s="10" t="s">
        <v>352</v>
      </c>
      <c r="BI38" s="172" t="s">
        <v>351</v>
      </c>
      <c r="BJ38" s="10" t="s">
        <v>352</v>
      </c>
      <c r="BK38" s="10" t="s">
        <v>352</v>
      </c>
      <c r="BL38" s="10" t="s">
        <v>352</v>
      </c>
      <c r="BM38" s="10" t="s">
        <v>352</v>
      </c>
      <c r="BN38" s="10" t="s">
        <v>352</v>
      </c>
      <c r="BO38" s="10" t="s">
        <v>352</v>
      </c>
      <c r="BP38" s="10" t="s">
        <v>352</v>
      </c>
      <c r="BQ38" s="10" t="s">
        <v>352</v>
      </c>
      <c r="BR38" s="10" t="s">
        <v>352</v>
      </c>
      <c r="BS38" s="10" t="s">
        <v>352</v>
      </c>
      <c r="BT38" s="188" t="s">
        <v>355</v>
      </c>
      <c r="BU38" s="131">
        <v>58.19</v>
      </c>
      <c r="BV38" s="10" t="s">
        <v>352</v>
      </c>
      <c r="BW38" s="10" t="s">
        <v>352</v>
      </c>
      <c r="BX38" s="10" t="s">
        <v>352</v>
      </c>
      <c r="BY38" s="10" t="s">
        <v>352</v>
      </c>
      <c r="BZ38" s="10" t="s">
        <v>352</v>
      </c>
      <c r="CA38" s="10" t="s">
        <v>352</v>
      </c>
      <c r="CB38" s="10" t="s">
        <v>352</v>
      </c>
      <c r="CC38" s="10" t="s">
        <v>352</v>
      </c>
      <c r="CD38" s="10" t="s">
        <v>352</v>
      </c>
    </row>
    <row r="39" spans="1:82">
      <c r="A39" s="3" t="s">
        <v>375</v>
      </c>
      <c r="B39" s="3" t="s">
        <v>390</v>
      </c>
      <c r="C39" s="27" t="s">
        <v>349</v>
      </c>
      <c r="D39" s="3" t="s">
        <v>391</v>
      </c>
      <c r="E39" s="29">
        <v>5601</v>
      </c>
      <c r="F39" s="6" t="s">
        <v>393</v>
      </c>
      <c r="G39" s="4">
        <v>5606</v>
      </c>
      <c r="H39" s="10" t="s">
        <v>352</v>
      </c>
      <c r="I39" s="10" t="s">
        <v>352</v>
      </c>
      <c r="J39" s="10" t="s">
        <v>352</v>
      </c>
      <c r="K39" s="10" t="s">
        <v>352</v>
      </c>
      <c r="L39" s="10" t="s">
        <v>352</v>
      </c>
      <c r="M39" s="10" t="s">
        <v>352</v>
      </c>
      <c r="N39" s="10" t="s">
        <v>352</v>
      </c>
      <c r="O39" s="60">
        <v>1608.29</v>
      </c>
      <c r="P39" s="10" t="s">
        <v>352</v>
      </c>
      <c r="Q39" s="121">
        <v>1500.16</v>
      </c>
      <c r="R39" s="123">
        <v>1.85</v>
      </c>
      <c r="S39" s="60">
        <v>1079.68</v>
      </c>
      <c r="T39" s="10" t="s">
        <v>352</v>
      </c>
      <c r="U39" s="10" t="s">
        <v>352</v>
      </c>
      <c r="V39" s="10" t="s">
        <v>352</v>
      </c>
      <c r="W39" s="10" t="s">
        <v>352</v>
      </c>
      <c r="X39" s="10" t="s">
        <v>352</v>
      </c>
      <c r="Y39" s="10" t="s">
        <v>352</v>
      </c>
      <c r="Z39" s="10" t="s">
        <v>352</v>
      </c>
      <c r="AA39" s="10" t="s">
        <v>352</v>
      </c>
      <c r="AB39" s="10" t="s">
        <v>352</v>
      </c>
      <c r="AC39" s="10" t="s">
        <v>352</v>
      </c>
      <c r="AD39" s="10" t="s">
        <v>352</v>
      </c>
      <c r="AE39" s="10" t="s">
        <v>352</v>
      </c>
      <c r="AF39" s="10" t="s">
        <v>352</v>
      </c>
      <c r="AG39" s="10" t="s">
        <v>352</v>
      </c>
      <c r="AH39" s="10" t="s">
        <v>352</v>
      </c>
      <c r="AI39" s="10" t="s">
        <v>352</v>
      </c>
      <c r="AJ39" s="150">
        <v>0</v>
      </c>
      <c r="AK39" s="152">
        <v>75.41</v>
      </c>
      <c r="AL39" s="10" t="s">
        <v>352</v>
      </c>
      <c r="AM39" s="10" t="s">
        <v>352</v>
      </c>
      <c r="AN39" s="10" t="s">
        <v>352</v>
      </c>
      <c r="AO39" s="10" t="s">
        <v>352</v>
      </c>
      <c r="AP39" s="10" t="s">
        <v>352</v>
      </c>
      <c r="AQ39" s="160">
        <v>1655.43</v>
      </c>
      <c r="AR39" s="161">
        <v>2594.1999999999998</v>
      </c>
      <c r="AS39" s="10" t="s">
        <v>352</v>
      </c>
      <c r="AT39" s="122">
        <v>79.75</v>
      </c>
      <c r="AU39" s="122">
        <v>14.95</v>
      </c>
      <c r="AV39" s="61">
        <v>491.10961062345262</v>
      </c>
      <c r="AW39" s="61">
        <v>18.28389475448299</v>
      </c>
      <c r="AX39" s="131">
        <v>10.23</v>
      </c>
      <c r="AY39" s="10" t="s">
        <v>352</v>
      </c>
      <c r="AZ39" s="10" t="s">
        <v>352</v>
      </c>
      <c r="BA39" s="10" t="s">
        <v>352</v>
      </c>
      <c r="BB39" s="10" t="s">
        <v>352</v>
      </c>
      <c r="BC39" s="10" t="s">
        <v>352</v>
      </c>
      <c r="BD39" s="10" t="s">
        <v>352</v>
      </c>
      <c r="BE39" s="10" t="s">
        <v>352</v>
      </c>
      <c r="BF39" s="10" t="s">
        <v>352</v>
      </c>
      <c r="BG39" s="10" t="s">
        <v>352</v>
      </c>
      <c r="BH39" s="10" t="s">
        <v>352</v>
      </c>
      <c r="BI39" s="172" t="s">
        <v>351</v>
      </c>
      <c r="BJ39" s="10" t="s">
        <v>352</v>
      </c>
      <c r="BK39" s="10" t="s">
        <v>352</v>
      </c>
      <c r="BL39" s="10" t="s">
        <v>352</v>
      </c>
      <c r="BM39" s="10" t="s">
        <v>352</v>
      </c>
      <c r="BN39" s="10" t="s">
        <v>352</v>
      </c>
      <c r="BO39" s="10" t="s">
        <v>352</v>
      </c>
      <c r="BP39" s="10" t="s">
        <v>352</v>
      </c>
      <c r="BQ39" s="10" t="s">
        <v>352</v>
      </c>
      <c r="BR39" s="10" t="s">
        <v>352</v>
      </c>
      <c r="BS39" s="10" t="s">
        <v>352</v>
      </c>
      <c r="BT39" s="188" t="s">
        <v>355</v>
      </c>
      <c r="BU39" s="131">
        <v>8.26</v>
      </c>
      <c r="BV39" s="10" t="s">
        <v>352</v>
      </c>
      <c r="BW39" s="10" t="s">
        <v>352</v>
      </c>
      <c r="BX39" s="10" t="s">
        <v>352</v>
      </c>
      <c r="BY39" s="10" t="s">
        <v>352</v>
      </c>
      <c r="BZ39" s="10" t="s">
        <v>352</v>
      </c>
      <c r="CA39" s="10" t="s">
        <v>352</v>
      </c>
      <c r="CB39" s="10" t="s">
        <v>352</v>
      </c>
      <c r="CC39" s="10" t="s">
        <v>352</v>
      </c>
      <c r="CD39" s="10" t="s">
        <v>352</v>
      </c>
    </row>
    <row r="40" spans="1:82">
      <c r="A40" s="3" t="s">
        <v>375</v>
      </c>
      <c r="B40" s="5" t="s">
        <v>394</v>
      </c>
      <c r="C40" s="27" t="s">
        <v>349</v>
      </c>
      <c r="D40" s="5" t="s">
        <v>395</v>
      </c>
      <c r="E40" s="29">
        <v>5701</v>
      </c>
      <c r="F40" s="7" t="s">
        <v>395</v>
      </c>
      <c r="G40" s="4">
        <v>5701</v>
      </c>
      <c r="H40" s="10" t="s">
        <v>352</v>
      </c>
      <c r="I40" s="10" t="s">
        <v>352</v>
      </c>
      <c r="J40" s="10" t="s">
        <v>352</v>
      </c>
      <c r="K40" s="10" t="s">
        <v>352</v>
      </c>
      <c r="L40" s="10" t="s">
        <v>352</v>
      </c>
      <c r="M40" s="10" t="s">
        <v>352</v>
      </c>
      <c r="N40" s="10" t="s">
        <v>352</v>
      </c>
      <c r="O40" s="60">
        <v>1528.56</v>
      </c>
      <c r="P40" s="10" t="s">
        <v>352</v>
      </c>
      <c r="Q40" s="121">
        <v>687.92</v>
      </c>
      <c r="R40" s="123">
        <v>1.32</v>
      </c>
      <c r="S40" s="60">
        <v>694.82</v>
      </c>
      <c r="T40" s="10" t="s">
        <v>352</v>
      </c>
      <c r="U40" s="10" t="s">
        <v>352</v>
      </c>
      <c r="V40" s="10" t="s">
        <v>352</v>
      </c>
      <c r="W40" s="10" t="s">
        <v>352</v>
      </c>
      <c r="X40" s="10" t="s">
        <v>352</v>
      </c>
      <c r="Y40" s="10" t="s">
        <v>352</v>
      </c>
      <c r="Z40" s="10" t="s">
        <v>352</v>
      </c>
      <c r="AA40" s="10" t="s">
        <v>352</v>
      </c>
      <c r="AB40" s="10" t="s">
        <v>352</v>
      </c>
      <c r="AC40" s="10" t="s">
        <v>352</v>
      </c>
      <c r="AD40" s="10" t="s">
        <v>352</v>
      </c>
      <c r="AE40" s="10" t="s">
        <v>352</v>
      </c>
      <c r="AF40" s="10" t="s">
        <v>352</v>
      </c>
      <c r="AG40" s="10" t="s">
        <v>352</v>
      </c>
      <c r="AH40" s="10" t="s">
        <v>352</v>
      </c>
      <c r="AI40" s="10" t="s">
        <v>352</v>
      </c>
      <c r="AJ40" s="150">
        <v>2.4</v>
      </c>
      <c r="AK40" s="152">
        <v>397.63</v>
      </c>
      <c r="AL40" s="10" t="s">
        <v>352</v>
      </c>
      <c r="AM40" s="10" t="s">
        <v>352</v>
      </c>
      <c r="AN40" s="10" t="s">
        <v>352</v>
      </c>
      <c r="AO40" s="10" t="s">
        <v>352</v>
      </c>
      <c r="AP40" s="10" t="s">
        <v>352</v>
      </c>
      <c r="AQ40" s="160">
        <v>704.11</v>
      </c>
      <c r="AR40" s="161">
        <v>574.54999999999995</v>
      </c>
      <c r="AS40" s="10" t="s">
        <v>352</v>
      </c>
      <c r="AT40" s="122">
        <v>32.85</v>
      </c>
      <c r="AU40" s="122">
        <v>1.22</v>
      </c>
      <c r="AV40" s="61">
        <v>582.21003731627457</v>
      </c>
      <c r="AW40" s="61">
        <v>18.31269312764989</v>
      </c>
      <c r="AX40" s="131">
        <v>12</v>
      </c>
      <c r="AY40" s="10" t="s">
        <v>352</v>
      </c>
      <c r="AZ40" s="10" t="s">
        <v>352</v>
      </c>
      <c r="BA40" s="10" t="s">
        <v>352</v>
      </c>
      <c r="BB40" s="10" t="s">
        <v>352</v>
      </c>
      <c r="BC40" s="10" t="s">
        <v>352</v>
      </c>
      <c r="BD40" s="10" t="s">
        <v>352</v>
      </c>
      <c r="BE40" s="10" t="s">
        <v>352</v>
      </c>
      <c r="BF40" s="10" t="s">
        <v>352</v>
      </c>
      <c r="BG40" s="10" t="s">
        <v>352</v>
      </c>
      <c r="BH40" s="10" t="s">
        <v>352</v>
      </c>
      <c r="BI40" s="172" t="s">
        <v>351</v>
      </c>
      <c r="BJ40" s="10" t="s">
        <v>352</v>
      </c>
      <c r="BK40" s="10" t="s">
        <v>352</v>
      </c>
      <c r="BL40" s="10" t="s">
        <v>352</v>
      </c>
      <c r="BM40" s="10" t="s">
        <v>352</v>
      </c>
      <c r="BN40" s="10" t="s">
        <v>352</v>
      </c>
      <c r="BO40" s="10" t="s">
        <v>352</v>
      </c>
      <c r="BP40" s="10" t="s">
        <v>352</v>
      </c>
      <c r="BQ40" s="10" t="s">
        <v>352</v>
      </c>
      <c r="BR40" s="10" t="s">
        <v>352</v>
      </c>
      <c r="BS40" s="10" t="s">
        <v>352</v>
      </c>
      <c r="BT40" s="188" t="s">
        <v>355</v>
      </c>
      <c r="BU40" s="131">
        <v>48.99</v>
      </c>
      <c r="BV40" s="10" t="s">
        <v>352</v>
      </c>
      <c r="BW40" s="10" t="s">
        <v>352</v>
      </c>
      <c r="BX40" s="10" t="s">
        <v>352</v>
      </c>
      <c r="BY40" s="10" t="s">
        <v>352</v>
      </c>
      <c r="BZ40" s="10" t="s">
        <v>352</v>
      </c>
      <c r="CA40" s="10" t="s">
        <v>352</v>
      </c>
      <c r="CB40" s="10" t="s">
        <v>352</v>
      </c>
      <c r="CC40" s="10" t="s">
        <v>352</v>
      </c>
      <c r="CD40" s="10" t="s">
        <v>352</v>
      </c>
    </row>
    <row r="41" spans="1:82">
      <c r="A41" s="3" t="s">
        <v>375</v>
      </c>
      <c r="B41" s="3" t="s">
        <v>396</v>
      </c>
      <c r="C41" s="27" t="s">
        <v>376</v>
      </c>
      <c r="D41" s="3" t="s">
        <v>376</v>
      </c>
      <c r="E41" s="29">
        <v>5001</v>
      </c>
      <c r="F41" s="3" t="s">
        <v>397</v>
      </c>
      <c r="G41" s="4">
        <v>5801</v>
      </c>
      <c r="H41" s="10" t="s">
        <v>352</v>
      </c>
      <c r="I41" s="10" t="s">
        <v>352</v>
      </c>
      <c r="J41" s="10" t="s">
        <v>352</v>
      </c>
      <c r="K41" s="10" t="s">
        <v>352</v>
      </c>
      <c r="L41" s="10" t="s">
        <v>352</v>
      </c>
      <c r="M41" s="10" t="s">
        <v>352</v>
      </c>
      <c r="N41" s="10" t="s">
        <v>352</v>
      </c>
      <c r="O41" s="60">
        <v>1210.1400000000001</v>
      </c>
      <c r="P41" s="10" t="s">
        <v>352</v>
      </c>
      <c r="Q41" s="121">
        <v>572.22</v>
      </c>
      <c r="R41" s="123">
        <v>1.46</v>
      </c>
      <c r="S41" s="60">
        <v>472.4</v>
      </c>
      <c r="T41" s="10" t="s">
        <v>352</v>
      </c>
      <c r="U41" s="10" t="s">
        <v>352</v>
      </c>
      <c r="V41" s="10" t="s">
        <v>352</v>
      </c>
      <c r="W41" s="10" t="s">
        <v>352</v>
      </c>
      <c r="X41" s="10" t="s">
        <v>352</v>
      </c>
      <c r="Y41" s="10" t="s">
        <v>352</v>
      </c>
      <c r="Z41" s="10" t="s">
        <v>352</v>
      </c>
      <c r="AA41" s="10" t="s">
        <v>352</v>
      </c>
      <c r="AB41" s="10" t="s">
        <v>352</v>
      </c>
      <c r="AC41" s="10" t="s">
        <v>352</v>
      </c>
      <c r="AD41" s="10" t="s">
        <v>352</v>
      </c>
      <c r="AE41" s="10" t="s">
        <v>352</v>
      </c>
      <c r="AF41" s="10" t="s">
        <v>352</v>
      </c>
      <c r="AG41" s="10" t="s">
        <v>352</v>
      </c>
      <c r="AH41" s="10" t="s">
        <v>352</v>
      </c>
      <c r="AI41" s="10" t="s">
        <v>352</v>
      </c>
      <c r="AJ41" s="150">
        <v>4.79</v>
      </c>
      <c r="AK41" s="152">
        <v>248.98</v>
      </c>
      <c r="AL41" s="10" t="s">
        <v>352</v>
      </c>
      <c r="AM41" s="10" t="s">
        <v>352</v>
      </c>
      <c r="AN41" s="10" t="s">
        <v>352</v>
      </c>
      <c r="AO41" s="10" t="s">
        <v>352</v>
      </c>
      <c r="AP41" s="10" t="s">
        <v>352</v>
      </c>
      <c r="AQ41" s="160">
        <v>731.79</v>
      </c>
      <c r="AR41" s="161">
        <v>246.28</v>
      </c>
      <c r="AS41" s="10" t="s">
        <v>352</v>
      </c>
      <c r="AT41" s="122">
        <v>37.520000000000003</v>
      </c>
      <c r="AU41" s="122">
        <v>0.92</v>
      </c>
      <c r="AV41" s="61">
        <v>779.01848221786622</v>
      </c>
      <c r="AW41" s="61">
        <v>26.639135769219259</v>
      </c>
      <c r="AX41" s="131">
        <v>9.82</v>
      </c>
      <c r="AY41" s="10" t="s">
        <v>352</v>
      </c>
      <c r="AZ41" s="10" t="s">
        <v>352</v>
      </c>
      <c r="BA41" s="10" t="s">
        <v>352</v>
      </c>
      <c r="BB41" s="10" t="s">
        <v>352</v>
      </c>
      <c r="BC41" s="10" t="s">
        <v>352</v>
      </c>
      <c r="BD41" s="10" t="s">
        <v>352</v>
      </c>
      <c r="BE41" s="10" t="s">
        <v>352</v>
      </c>
      <c r="BF41" s="10" t="s">
        <v>352</v>
      </c>
      <c r="BG41" s="10" t="s">
        <v>352</v>
      </c>
      <c r="BH41" s="10" t="s">
        <v>352</v>
      </c>
      <c r="BI41" s="172" t="s">
        <v>351</v>
      </c>
      <c r="BJ41" s="10" t="s">
        <v>352</v>
      </c>
      <c r="BK41" s="10" t="s">
        <v>352</v>
      </c>
      <c r="BL41" s="10" t="s">
        <v>352</v>
      </c>
      <c r="BM41" s="10" t="s">
        <v>352</v>
      </c>
      <c r="BN41" s="10" t="s">
        <v>352</v>
      </c>
      <c r="BO41" s="10" t="s">
        <v>352</v>
      </c>
      <c r="BP41" s="10" t="s">
        <v>352</v>
      </c>
      <c r="BQ41" s="10" t="s">
        <v>352</v>
      </c>
      <c r="BR41" s="10" t="s">
        <v>352</v>
      </c>
      <c r="BS41" s="10" t="s">
        <v>352</v>
      </c>
      <c r="BT41" s="188" t="s">
        <v>353</v>
      </c>
      <c r="BU41" s="131">
        <v>49.87</v>
      </c>
      <c r="BV41" s="10" t="s">
        <v>352</v>
      </c>
      <c r="BW41" s="10" t="s">
        <v>352</v>
      </c>
      <c r="BX41" s="10" t="s">
        <v>352</v>
      </c>
      <c r="BY41" s="10" t="s">
        <v>352</v>
      </c>
      <c r="BZ41" s="10" t="s">
        <v>352</v>
      </c>
      <c r="CA41" s="10" t="s">
        <v>352</v>
      </c>
      <c r="CB41" s="10" t="s">
        <v>352</v>
      </c>
      <c r="CC41" s="10" t="s">
        <v>352</v>
      </c>
      <c r="CD41" s="10" t="s">
        <v>352</v>
      </c>
    </row>
    <row r="42" spans="1:82">
      <c r="A42" s="3" t="s">
        <v>375</v>
      </c>
      <c r="B42" s="3" t="s">
        <v>396</v>
      </c>
      <c r="C42" s="27" t="s">
        <v>376</v>
      </c>
      <c r="D42" s="3" t="s">
        <v>376</v>
      </c>
      <c r="E42" s="29">
        <v>5001</v>
      </c>
      <c r="F42" s="3" t="s">
        <v>398</v>
      </c>
      <c r="G42" s="4">
        <v>5802</v>
      </c>
      <c r="H42" s="10" t="s">
        <v>352</v>
      </c>
      <c r="I42" s="10" t="s">
        <v>352</v>
      </c>
      <c r="J42" s="10" t="s">
        <v>352</v>
      </c>
      <c r="K42" s="10" t="s">
        <v>352</v>
      </c>
      <c r="L42" s="10" t="s">
        <v>352</v>
      </c>
      <c r="M42" s="10" t="s">
        <v>352</v>
      </c>
      <c r="N42" s="10" t="s">
        <v>352</v>
      </c>
      <c r="O42" s="60">
        <v>10449.5</v>
      </c>
      <c r="P42" s="10" t="s">
        <v>352</v>
      </c>
      <c r="Q42" s="121">
        <v>657.31</v>
      </c>
      <c r="R42" s="123">
        <v>1.5</v>
      </c>
      <c r="S42" s="60">
        <v>568.51</v>
      </c>
      <c r="T42" s="10" t="s">
        <v>352</v>
      </c>
      <c r="U42" s="10" t="s">
        <v>352</v>
      </c>
      <c r="V42" s="10" t="s">
        <v>352</v>
      </c>
      <c r="W42" s="10" t="s">
        <v>352</v>
      </c>
      <c r="X42" s="10" t="s">
        <v>352</v>
      </c>
      <c r="Y42" s="10" t="s">
        <v>352</v>
      </c>
      <c r="Z42" s="10" t="s">
        <v>352</v>
      </c>
      <c r="AA42" s="10" t="s">
        <v>352</v>
      </c>
      <c r="AB42" s="10" t="s">
        <v>352</v>
      </c>
      <c r="AC42" s="10" t="s">
        <v>352</v>
      </c>
      <c r="AD42" s="10" t="s">
        <v>352</v>
      </c>
      <c r="AE42" s="10" t="s">
        <v>352</v>
      </c>
      <c r="AF42" s="10" t="s">
        <v>352</v>
      </c>
      <c r="AG42" s="10" t="s">
        <v>352</v>
      </c>
      <c r="AH42" s="10" t="s">
        <v>352</v>
      </c>
      <c r="AI42" s="10" t="s">
        <v>352</v>
      </c>
      <c r="AJ42" s="150">
        <v>10.01</v>
      </c>
      <c r="AK42" s="152">
        <v>230.32</v>
      </c>
      <c r="AL42" s="10" t="s">
        <v>352</v>
      </c>
      <c r="AM42" s="10" t="s">
        <v>352</v>
      </c>
      <c r="AN42" s="10" t="s">
        <v>352</v>
      </c>
      <c r="AO42" s="10" t="s">
        <v>352</v>
      </c>
      <c r="AP42" s="10" t="s">
        <v>352</v>
      </c>
      <c r="AQ42" s="160">
        <v>803.07</v>
      </c>
      <c r="AR42" s="161">
        <v>497.48</v>
      </c>
      <c r="AS42" s="10" t="s">
        <v>352</v>
      </c>
      <c r="AT42" s="122">
        <v>54.56</v>
      </c>
      <c r="AU42" s="122">
        <v>3.09</v>
      </c>
      <c r="AV42" s="61">
        <v>620.02995642701535</v>
      </c>
      <c r="AW42" s="61">
        <v>18.239170054675451</v>
      </c>
      <c r="AX42" s="131">
        <v>11.13</v>
      </c>
      <c r="AY42" s="10" t="s">
        <v>352</v>
      </c>
      <c r="AZ42" s="10" t="s">
        <v>352</v>
      </c>
      <c r="BA42" s="10" t="s">
        <v>352</v>
      </c>
      <c r="BB42" s="10" t="s">
        <v>352</v>
      </c>
      <c r="BC42" s="10" t="s">
        <v>352</v>
      </c>
      <c r="BD42" s="10" t="s">
        <v>352</v>
      </c>
      <c r="BE42" s="10" t="s">
        <v>352</v>
      </c>
      <c r="BF42" s="10" t="s">
        <v>352</v>
      </c>
      <c r="BG42" s="10" t="s">
        <v>352</v>
      </c>
      <c r="BH42" s="10" t="s">
        <v>352</v>
      </c>
      <c r="BI42" s="172" t="s">
        <v>351</v>
      </c>
      <c r="BJ42" s="10" t="s">
        <v>352</v>
      </c>
      <c r="BK42" s="10" t="s">
        <v>352</v>
      </c>
      <c r="BL42" s="10" t="s">
        <v>352</v>
      </c>
      <c r="BM42" s="10" t="s">
        <v>352</v>
      </c>
      <c r="BN42" s="10" t="s">
        <v>352</v>
      </c>
      <c r="BO42" s="10" t="s">
        <v>352</v>
      </c>
      <c r="BP42" s="10" t="s">
        <v>352</v>
      </c>
      <c r="BQ42" s="10" t="s">
        <v>352</v>
      </c>
      <c r="BR42" s="10" t="s">
        <v>352</v>
      </c>
      <c r="BS42" s="10" t="s">
        <v>352</v>
      </c>
      <c r="BT42" s="188" t="s">
        <v>355</v>
      </c>
      <c r="BU42" s="131">
        <v>55.55</v>
      </c>
      <c r="BV42" s="10" t="s">
        <v>352</v>
      </c>
      <c r="BW42" s="10" t="s">
        <v>352</v>
      </c>
      <c r="BX42" s="10" t="s">
        <v>352</v>
      </c>
      <c r="BY42" s="10" t="s">
        <v>352</v>
      </c>
      <c r="BZ42" s="10" t="s">
        <v>352</v>
      </c>
      <c r="CA42" s="10" t="s">
        <v>352</v>
      </c>
      <c r="CB42" s="10" t="s">
        <v>352</v>
      </c>
      <c r="CC42" s="10" t="s">
        <v>352</v>
      </c>
      <c r="CD42" s="10" t="s">
        <v>352</v>
      </c>
    </row>
    <row r="43" spans="1:82">
      <c r="A43" s="3" t="s">
        <v>375</v>
      </c>
      <c r="B43" s="3" t="s">
        <v>396</v>
      </c>
      <c r="C43" s="27" t="s">
        <v>376</v>
      </c>
      <c r="D43" s="3" t="s">
        <v>376</v>
      </c>
      <c r="E43" s="29">
        <v>5001</v>
      </c>
      <c r="F43" s="3" t="s">
        <v>399</v>
      </c>
      <c r="G43" s="4">
        <v>5803</v>
      </c>
      <c r="H43" s="10" t="s">
        <v>352</v>
      </c>
      <c r="I43" s="10" t="s">
        <v>352</v>
      </c>
      <c r="J43" s="10" t="s">
        <v>352</v>
      </c>
      <c r="K43" s="10" t="s">
        <v>352</v>
      </c>
      <c r="L43" s="10" t="s">
        <v>352</v>
      </c>
      <c r="M43" s="10" t="s">
        <v>352</v>
      </c>
      <c r="N43" s="10" t="s">
        <v>352</v>
      </c>
      <c r="O43" s="60">
        <v>2480.9899999999998</v>
      </c>
      <c r="P43" s="10" t="s">
        <v>352</v>
      </c>
      <c r="Q43" s="121">
        <v>1207.55</v>
      </c>
      <c r="R43" s="123">
        <v>1.27</v>
      </c>
      <c r="S43" s="60">
        <v>1070.9100000000001</v>
      </c>
      <c r="T43" s="10" t="s">
        <v>352</v>
      </c>
      <c r="U43" s="10" t="s">
        <v>352</v>
      </c>
      <c r="V43" s="10" t="s">
        <v>352</v>
      </c>
      <c r="W43" s="10" t="s">
        <v>352</v>
      </c>
      <c r="X43" s="10" t="s">
        <v>352</v>
      </c>
      <c r="Y43" s="10" t="s">
        <v>352</v>
      </c>
      <c r="Z43" s="10" t="s">
        <v>352</v>
      </c>
      <c r="AA43" s="10" t="s">
        <v>352</v>
      </c>
      <c r="AB43" s="10" t="s">
        <v>352</v>
      </c>
      <c r="AC43" s="10" t="s">
        <v>352</v>
      </c>
      <c r="AD43" s="10" t="s">
        <v>352</v>
      </c>
      <c r="AE43" s="10" t="s">
        <v>352</v>
      </c>
      <c r="AF43" s="10" t="s">
        <v>352</v>
      </c>
      <c r="AG43" s="10" t="s">
        <v>352</v>
      </c>
      <c r="AH43" s="10" t="s">
        <v>352</v>
      </c>
      <c r="AI43" s="10" t="s">
        <v>352</v>
      </c>
      <c r="AJ43" s="150">
        <v>10.38</v>
      </c>
      <c r="AK43" s="152">
        <v>295.86</v>
      </c>
      <c r="AL43" s="10" t="s">
        <v>352</v>
      </c>
      <c r="AM43" s="10" t="s">
        <v>352</v>
      </c>
      <c r="AN43" s="10" t="s">
        <v>352</v>
      </c>
      <c r="AO43" s="10" t="s">
        <v>352</v>
      </c>
      <c r="AP43" s="10" t="s">
        <v>352</v>
      </c>
      <c r="AQ43" s="160">
        <v>1051.8499999999999</v>
      </c>
      <c r="AR43" s="161">
        <v>628.77</v>
      </c>
      <c r="AS43" s="10" t="s">
        <v>352</v>
      </c>
      <c r="AT43" s="122">
        <v>77.33</v>
      </c>
      <c r="AU43" s="122">
        <v>4.6399999999999997</v>
      </c>
      <c r="AV43" s="61">
        <v>145.97025250778279</v>
      </c>
      <c r="AW43" s="61">
        <v>4.3807744212602513</v>
      </c>
      <c r="AX43" s="131">
        <v>9.64</v>
      </c>
      <c r="AY43" s="10" t="s">
        <v>352</v>
      </c>
      <c r="AZ43" s="10" t="s">
        <v>352</v>
      </c>
      <c r="BA43" s="10" t="s">
        <v>352</v>
      </c>
      <c r="BB43" s="10" t="s">
        <v>352</v>
      </c>
      <c r="BC43" s="10" t="s">
        <v>352</v>
      </c>
      <c r="BD43" s="10" t="s">
        <v>352</v>
      </c>
      <c r="BE43" s="10" t="s">
        <v>352</v>
      </c>
      <c r="BF43" s="10" t="s">
        <v>352</v>
      </c>
      <c r="BG43" s="10" t="s">
        <v>352</v>
      </c>
      <c r="BH43" s="10" t="s">
        <v>352</v>
      </c>
      <c r="BI43" s="172" t="s">
        <v>351</v>
      </c>
      <c r="BJ43" s="10" t="s">
        <v>352</v>
      </c>
      <c r="BK43" s="10" t="s">
        <v>352</v>
      </c>
      <c r="BL43" s="10" t="s">
        <v>352</v>
      </c>
      <c r="BM43" s="10" t="s">
        <v>352</v>
      </c>
      <c r="BN43" s="10" t="s">
        <v>352</v>
      </c>
      <c r="BO43" s="10" t="s">
        <v>352</v>
      </c>
      <c r="BP43" s="10" t="s">
        <v>352</v>
      </c>
      <c r="BQ43" s="10" t="s">
        <v>352</v>
      </c>
      <c r="BR43" s="10" t="s">
        <v>352</v>
      </c>
      <c r="BS43" s="10" t="s">
        <v>352</v>
      </c>
      <c r="BT43" s="188" t="s">
        <v>355</v>
      </c>
      <c r="BU43" s="131">
        <v>50.55</v>
      </c>
      <c r="BV43" s="10" t="s">
        <v>352</v>
      </c>
      <c r="BW43" s="10" t="s">
        <v>352</v>
      </c>
      <c r="BX43" s="10" t="s">
        <v>352</v>
      </c>
      <c r="BY43" s="10" t="s">
        <v>352</v>
      </c>
      <c r="BZ43" s="10" t="s">
        <v>352</v>
      </c>
      <c r="CA43" s="10" t="s">
        <v>352</v>
      </c>
      <c r="CB43" s="10" t="s">
        <v>352</v>
      </c>
      <c r="CC43" s="10" t="s">
        <v>352</v>
      </c>
      <c r="CD43" s="10" t="s">
        <v>352</v>
      </c>
    </row>
    <row r="44" spans="1:82">
      <c r="A44" s="3" t="s">
        <v>375</v>
      </c>
      <c r="B44" s="3" t="s">
        <v>396</v>
      </c>
      <c r="C44" s="27" t="s">
        <v>376</v>
      </c>
      <c r="D44" s="3" t="s">
        <v>376</v>
      </c>
      <c r="E44" s="29">
        <v>5001</v>
      </c>
      <c r="F44" s="3" t="s">
        <v>400</v>
      </c>
      <c r="G44" s="4">
        <v>5804</v>
      </c>
      <c r="H44" s="10" t="s">
        <v>352</v>
      </c>
      <c r="I44" s="10" t="s">
        <v>352</v>
      </c>
      <c r="J44" s="10" t="s">
        <v>352</v>
      </c>
      <c r="K44" s="10" t="s">
        <v>352</v>
      </c>
      <c r="L44" s="10" t="s">
        <v>352</v>
      </c>
      <c r="M44" s="10" t="s">
        <v>352</v>
      </c>
      <c r="N44" s="10" t="s">
        <v>352</v>
      </c>
      <c r="O44" s="60">
        <v>1412.18</v>
      </c>
      <c r="P44" s="10" t="s">
        <v>352</v>
      </c>
      <c r="Q44" s="121">
        <v>777.45</v>
      </c>
      <c r="R44" s="123">
        <v>1.24</v>
      </c>
      <c r="S44" s="60">
        <v>595.25</v>
      </c>
      <c r="T44" s="10" t="s">
        <v>352</v>
      </c>
      <c r="U44" s="10" t="s">
        <v>352</v>
      </c>
      <c r="V44" s="10" t="s">
        <v>352</v>
      </c>
      <c r="W44" s="10" t="s">
        <v>352</v>
      </c>
      <c r="X44" s="10" t="s">
        <v>352</v>
      </c>
      <c r="Y44" s="10" t="s">
        <v>352</v>
      </c>
      <c r="Z44" s="10" t="s">
        <v>352</v>
      </c>
      <c r="AA44" s="10" t="s">
        <v>352</v>
      </c>
      <c r="AB44" s="10" t="s">
        <v>352</v>
      </c>
      <c r="AC44" s="10" t="s">
        <v>352</v>
      </c>
      <c r="AD44" s="10" t="s">
        <v>352</v>
      </c>
      <c r="AE44" s="10" t="s">
        <v>352</v>
      </c>
      <c r="AF44" s="10" t="s">
        <v>352</v>
      </c>
      <c r="AG44" s="10" t="s">
        <v>352</v>
      </c>
      <c r="AH44" s="10" t="s">
        <v>352</v>
      </c>
      <c r="AI44" s="10" t="s">
        <v>352</v>
      </c>
      <c r="AJ44" s="150">
        <v>5.74</v>
      </c>
      <c r="AK44" s="152">
        <v>189.51</v>
      </c>
      <c r="AL44" s="10" t="s">
        <v>352</v>
      </c>
      <c r="AM44" s="10" t="s">
        <v>352</v>
      </c>
      <c r="AN44" s="10" t="s">
        <v>352</v>
      </c>
      <c r="AO44" s="10" t="s">
        <v>352</v>
      </c>
      <c r="AP44" s="10" t="s">
        <v>352</v>
      </c>
      <c r="AQ44" s="160">
        <v>667.43</v>
      </c>
      <c r="AR44" s="161">
        <v>164.66</v>
      </c>
      <c r="AS44" s="10" t="s">
        <v>352</v>
      </c>
      <c r="AT44" s="122">
        <v>37.119999999999997</v>
      </c>
      <c r="AU44" s="122">
        <v>0.8</v>
      </c>
      <c r="AV44" s="61">
        <v>675.85467795520299</v>
      </c>
      <c r="AW44" s="61">
        <v>22.634412461416982</v>
      </c>
      <c r="AX44" s="131">
        <v>5.67</v>
      </c>
      <c r="AY44" s="10" t="s">
        <v>352</v>
      </c>
      <c r="AZ44" s="10" t="s">
        <v>352</v>
      </c>
      <c r="BA44" s="10" t="s">
        <v>352</v>
      </c>
      <c r="BB44" s="10" t="s">
        <v>352</v>
      </c>
      <c r="BC44" s="10" t="s">
        <v>352</v>
      </c>
      <c r="BD44" s="10" t="s">
        <v>352</v>
      </c>
      <c r="BE44" s="10" t="s">
        <v>352</v>
      </c>
      <c r="BF44" s="10" t="s">
        <v>352</v>
      </c>
      <c r="BG44" s="10" t="s">
        <v>352</v>
      </c>
      <c r="BH44" s="10" t="s">
        <v>352</v>
      </c>
      <c r="BI44" s="172" t="s">
        <v>351</v>
      </c>
      <c r="BJ44" s="10" t="s">
        <v>352</v>
      </c>
      <c r="BK44" s="10" t="s">
        <v>352</v>
      </c>
      <c r="BL44" s="10" t="s">
        <v>352</v>
      </c>
      <c r="BM44" s="10" t="s">
        <v>352</v>
      </c>
      <c r="BN44" s="10" t="s">
        <v>352</v>
      </c>
      <c r="BO44" s="10" t="s">
        <v>352</v>
      </c>
      <c r="BP44" s="10" t="s">
        <v>352</v>
      </c>
      <c r="BQ44" s="10" t="s">
        <v>352</v>
      </c>
      <c r="BR44" s="10" t="s">
        <v>352</v>
      </c>
      <c r="BS44" s="10" t="s">
        <v>352</v>
      </c>
      <c r="BT44" s="188" t="s">
        <v>355</v>
      </c>
      <c r="BU44" s="131">
        <v>64.150000000000006</v>
      </c>
      <c r="BV44" s="10" t="s">
        <v>352</v>
      </c>
      <c r="BW44" s="10" t="s">
        <v>352</v>
      </c>
      <c r="BX44" s="10" t="s">
        <v>352</v>
      </c>
      <c r="BY44" s="10" t="s">
        <v>352</v>
      </c>
      <c r="BZ44" s="10" t="s">
        <v>352</v>
      </c>
      <c r="CA44" s="10" t="s">
        <v>352</v>
      </c>
      <c r="CB44" s="10" t="s">
        <v>352</v>
      </c>
      <c r="CC44" s="10" t="s">
        <v>352</v>
      </c>
      <c r="CD44" s="10" t="s">
        <v>352</v>
      </c>
    </row>
    <row r="45" spans="1:82">
      <c r="A45" s="3" t="s">
        <v>401</v>
      </c>
      <c r="B45" s="3" t="s">
        <v>402</v>
      </c>
      <c r="C45" s="27" t="s">
        <v>349</v>
      </c>
      <c r="D45" s="3" t="s">
        <v>403</v>
      </c>
      <c r="E45" s="29">
        <v>6001</v>
      </c>
      <c r="F45" s="3" t="s">
        <v>404</v>
      </c>
      <c r="G45" s="4">
        <v>6101</v>
      </c>
      <c r="H45" s="10" t="s">
        <v>352</v>
      </c>
      <c r="I45" s="10" t="s">
        <v>352</v>
      </c>
      <c r="J45" s="10" t="s">
        <v>352</v>
      </c>
      <c r="K45" s="10" t="s">
        <v>352</v>
      </c>
      <c r="L45" s="10" t="s">
        <v>352</v>
      </c>
      <c r="M45" s="10" t="s">
        <v>352</v>
      </c>
      <c r="N45" s="10" t="s">
        <v>352</v>
      </c>
      <c r="O45" s="60">
        <v>1445.28</v>
      </c>
      <c r="P45" s="10" t="s">
        <v>352</v>
      </c>
      <c r="Q45" s="121">
        <v>741.68</v>
      </c>
      <c r="R45" s="123">
        <v>1.2</v>
      </c>
      <c r="S45" s="60">
        <v>481.4</v>
      </c>
      <c r="T45" s="10" t="s">
        <v>352</v>
      </c>
      <c r="U45" s="10" t="s">
        <v>352</v>
      </c>
      <c r="V45" s="10" t="s">
        <v>352</v>
      </c>
      <c r="W45" s="10" t="s">
        <v>352</v>
      </c>
      <c r="X45" s="10" t="s">
        <v>352</v>
      </c>
      <c r="Y45" s="10" t="s">
        <v>352</v>
      </c>
      <c r="Z45" s="10" t="s">
        <v>352</v>
      </c>
      <c r="AA45" s="10" t="s">
        <v>352</v>
      </c>
      <c r="AB45" s="10" t="s">
        <v>352</v>
      </c>
      <c r="AC45" s="10" t="s">
        <v>352</v>
      </c>
      <c r="AD45" s="10" t="s">
        <v>352</v>
      </c>
      <c r="AE45" s="10" t="s">
        <v>352</v>
      </c>
      <c r="AF45" s="10" t="s">
        <v>352</v>
      </c>
      <c r="AG45" s="10" t="s">
        <v>352</v>
      </c>
      <c r="AH45" s="10" t="s">
        <v>352</v>
      </c>
      <c r="AI45" s="10" t="s">
        <v>352</v>
      </c>
      <c r="AJ45" s="150">
        <v>6.03</v>
      </c>
      <c r="AK45" s="152">
        <v>261.3</v>
      </c>
      <c r="AL45" s="10" t="s">
        <v>352</v>
      </c>
      <c r="AM45" s="10" t="s">
        <v>352</v>
      </c>
      <c r="AN45" s="10" t="s">
        <v>352</v>
      </c>
      <c r="AO45" s="10" t="s">
        <v>352</v>
      </c>
      <c r="AP45" s="10" t="s">
        <v>352</v>
      </c>
      <c r="AQ45" s="160">
        <v>743.67</v>
      </c>
      <c r="AR45" s="161">
        <v>405.55</v>
      </c>
      <c r="AS45" s="10" t="s">
        <v>352</v>
      </c>
      <c r="AT45" s="122">
        <v>16.34</v>
      </c>
      <c r="AU45" s="122">
        <v>0.51</v>
      </c>
      <c r="AV45" s="61">
        <v>685.08449190896363</v>
      </c>
      <c r="AW45" s="61">
        <v>23.801048976098276</v>
      </c>
      <c r="AX45" s="131">
        <v>9.35</v>
      </c>
      <c r="AY45" s="10" t="s">
        <v>352</v>
      </c>
      <c r="AZ45" s="10" t="s">
        <v>352</v>
      </c>
      <c r="BA45" s="10" t="s">
        <v>352</v>
      </c>
      <c r="BB45" s="10" t="s">
        <v>352</v>
      </c>
      <c r="BC45" s="10" t="s">
        <v>352</v>
      </c>
      <c r="BD45" s="10" t="s">
        <v>352</v>
      </c>
      <c r="BE45" s="10" t="s">
        <v>352</v>
      </c>
      <c r="BF45" s="10" t="s">
        <v>352</v>
      </c>
      <c r="BG45" s="10" t="s">
        <v>352</v>
      </c>
      <c r="BH45" s="10" t="s">
        <v>352</v>
      </c>
      <c r="BI45" s="172">
        <v>14204</v>
      </c>
      <c r="BJ45" s="10" t="s">
        <v>352</v>
      </c>
      <c r="BK45" s="10" t="s">
        <v>352</v>
      </c>
      <c r="BL45" s="10" t="s">
        <v>352</v>
      </c>
      <c r="BM45" s="10" t="s">
        <v>352</v>
      </c>
      <c r="BN45" s="10" t="s">
        <v>352</v>
      </c>
      <c r="BO45" s="10" t="s">
        <v>352</v>
      </c>
      <c r="BP45" s="10" t="s">
        <v>352</v>
      </c>
      <c r="BQ45" s="10" t="s">
        <v>352</v>
      </c>
      <c r="BR45" s="10" t="s">
        <v>352</v>
      </c>
      <c r="BS45" s="10" t="s">
        <v>352</v>
      </c>
      <c r="BT45" s="188" t="s">
        <v>353</v>
      </c>
      <c r="BU45" s="131">
        <v>31.6</v>
      </c>
      <c r="BV45" s="10" t="s">
        <v>352</v>
      </c>
      <c r="BW45" s="10" t="s">
        <v>352</v>
      </c>
      <c r="BX45" s="10" t="s">
        <v>352</v>
      </c>
      <c r="BY45" s="10" t="s">
        <v>352</v>
      </c>
      <c r="BZ45" s="10" t="s">
        <v>352</v>
      </c>
      <c r="CA45" s="10" t="s">
        <v>352</v>
      </c>
      <c r="CB45" s="10" t="s">
        <v>352</v>
      </c>
      <c r="CC45" s="10" t="s">
        <v>352</v>
      </c>
      <c r="CD45" s="10" t="s">
        <v>352</v>
      </c>
    </row>
    <row r="46" spans="1:82">
      <c r="A46" s="3" t="s">
        <v>401</v>
      </c>
      <c r="B46" s="3" t="s">
        <v>402</v>
      </c>
      <c r="C46" s="27" t="s">
        <v>349</v>
      </c>
      <c r="D46" s="3" t="s">
        <v>403</v>
      </c>
      <c r="E46" s="29">
        <v>6001</v>
      </c>
      <c r="F46" s="3" t="s">
        <v>405</v>
      </c>
      <c r="G46" s="4">
        <v>6108</v>
      </c>
      <c r="H46" s="10" t="s">
        <v>352</v>
      </c>
      <c r="I46" s="10" t="s">
        <v>352</v>
      </c>
      <c r="J46" s="10" t="s">
        <v>352</v>
      </c>
      <c r="K46" s="10" t="s">
        <v>352</v>
      </c>
      <c r="L46" s="10" t="s">
        <v>352</v>
      </c>
      <c r="M46" s="10" t="s">
        <v>352</v>
      </c>
      <c r="N46" s="10" t="s">
        <v>352</v>
      </c>
      <c r="O46" s="60">
        <v>1678.92</v>
      </c>
      <c r="P46" s="10" t="s">
        <v>352</v>
      </c>
      <c r="Q46" s="121">
        <v>1296.51</v>
      </c>
      <c r="R46" s="123">
        <v>0.81</v>
      </c>
      <c r="S46" s="60">
        <v>897.56</v>
      </c>
      <c r="T46" s="10" t="s">
        <v>352</v>
      </c>
      <c r="U46" s="10" t="s">
        <v>352</v>
      </c>
      <c r="V46" s="10" t="s">
        <v>352</v>
      </c>
      <c r="W46" s="10" t="s">
        <v>352</v>
      </c>
      <c r="X46" s="10" t="s">
        <v>352</v>
      </c>
      <c r="Y46" s="10" t="s">
        <v>352</v>
      </c>
      <c r="Z46" s="10" t="s">
        <v>352</v>
      </c>
      <c r="AA46" s="10" t="s">
        <v>352</v>
      </c>
      <c r="AB46" s="10" t="s">
        <v>352</v>
      </c>
      <c r="AC46" s="10" t="s">
        <v>352</v>
      </c>
      <c r="AD46" s="10" t="s">
        <v>352</v>
      </c>
      <c r="AE46" s="10" t="s">
        <v>352</v>
      </c>
      <c r="AF46" s="10" t="s">
        <v>352</v>
      </c>
      <c r="AG46" s="10" t="s">
        <v>352</v>
      </c>
      <c r="AH46" s="10" t="s">
        <v>352</v>
      </c>
      <c r="AI46" s="10" t="s">
        <v>352</v>
      </c>
      <c r="AJ46" s="150">
        <v>3.34</v>
      </c>
      <c r="AK46" s="152">
        <v>100.15</v>
      </c>
      <c r="AL46" s="10" t="s">
        <v>352</v>
      </c>
      <c r="AM46" s="10" t="s">
        <v>352</v>
      </c>
      <c r="AN46" s="10" t="s">
        <v>352</v>
      </c>
      <c r="AO46" s="10" t="s">
        <v>352</v>
      </c>
      <c r="AP46" s="10" t="s">
        <v>352</v>
      </c>
      <c r="AQ46" s="160">
        <v>864.61</v>
      </c>
      <c r="AR46" s="161">
        <v>356.72</v>
      </c>
      <c r="AS46" s="10" t="s">
        <v>352</v>
      </c>
      <c r="AT46" s="122">
        <v>50.86</v>
      </c>
      <c r="AU46" s="122">
        <v>1.26</v>
      </c>
      <c r="AV46" s="61">
        <v>670.9101844426624</v>
      </c>
      <c r="AW46" s="61">
        <v>22.342396474888588</v>
      </c>
      <c r="AX46" s="131">
        <v>18.07</v>
      </c>
      <c r="AY46" s="10" t="s">
        <v>352</v>
      </c>
      <c r="AZ46" s="10" t="s">
        <v>352</v>
      </c>
      <c r="BA46" s="10" t="s">
        <v>352</v>
      </c>
      <c r="BB46" s="10" t="s">
        <v>352</v>
      </c>
      <c r="BC46" s="10" t="s">
        <v>352</v>
      </c>
      <c r="BD46" s="10" t="s">
        <v>352</v>
      </c>
      <c r="BE46" s="10" t="s">
        <v>352</v>
      </c>
      <c r="BF46" s="10" t="s">
        <v>352</v>
      </c>
      <c r="BG46" s="10" t="s">
        <v>352</v>
      </c>
      <c r="BH46" s="10" t="s">
        <v>352</v>
      </c>
      <c r="BI46" s="172" t="s">
        <v>351</v>
      </c>
      <c r="BJ46" s="10" t="s">
        <v>352</v>
      </c>
      <c r="BK46" s="10" t="s">
        <v>352</v>
      </c>
      <c r="BL46" s="10" t="s">
        <v>352</v>
      </c>
      <c r="BM46" s="10" t="s">
        <v>352</v>
      </c>
      <c r="BN46" s="10" t="s">
        <v>352</v>
      </c>
      <c r="BO46" s="10" t="s">
        <v>352</v>
      </c>
      <c r="BP46" s="10" t="s">
        <v>352</v>
      </c>
      <c r="BQ46" s="10" t="s">
        <v>352</v>
      </c>
      <c r="BR46" s="10" t="s">
        <v>352</v>
      </c>
      <c r="BS46" s="10" t="s">
        <v>352</v>
      </c>
      <c r="BT46" s="188" t="s">
        <v>353</v>
      </c>
      <c r="BU46" s="131">
        <v>22.08</v>
      </c>
      <c r="BV46" s="10" t="s">
        <v>352</v>
      </c>
      <c r="BW46" s="10" t="s">
        <v>352</v>
      </c>
      <c r="BX46" s="10" t="s">
        <v>352</v>
      </c>
      <c r="BY46" s="10" t="s">
        <v>352</v>
      </c>
      <c r="BZ46" s="10" t="s">
        <v>352</v>
      </c>
      <c r="CA46" s="10" t="s">
        <v>352</v>
      </c>
      <c r="CB46" s="10" t="s">
        <v>352</v>
      </c>
      <c r="CC46" s="10" t="s">
        <v>352</v>
      </c>
      <c r="CD46" s="10" t="s">
        <v>352</v>
      </c>
    </row>
    <row r="47" spans="1:82">
      <c r="A47" s="3" t="s">
        <v>401</v>
      </c>
      <c r="B47" s="5" t="s">
        <v>402</v>
      </c>
      <c r="C47" s="27" t="s">
        <v>349</v>
      </c>
      <c r="D47" s="5" t="s">
        <v>406</v>
      </c>
      <c r="E47" s="29">
        <v>6115</v>
      </c>
      <c r="F47" s="5" t="s">
        <v>406</v>
      </c>
      <c r="G47" s="4">
        <v>6115</v>
      </c>
      <c r="H47" s="10" t="s">
        <v>352</v>
      </c>
      <c r="I47" s="10" t="s">
        <v>352</v>
      </c>
      <c r="J47" s="10" t="s">
        <v>352</v>
      </c>
      <c r="K47" s="10" t="s">
        <v>352</v>
      </c>
      <c r="L47" s="10" t="s">
        <v>352</v>
      </c>
      <c r="M47" s="10" t="s">
        <v>352</v>
      </c>
      <c r="N47" s="10" t="s">
        <v>352</v>
      </c>
      <c r="O47" s="60">
        <v>1816.44</v>
      </c>
      <c r="P47" s="10" t="s">
        <v>352</v>
      </c>
      <c r="Q47" s="121">
        <v>781.65</v>
      </c>
      <c r="R47" s="123">
        <v>1.34</v>
      </c>
      <c r="S47" s="60">
        <v>605.36</v>
      </c>
      <c r="T47" s="10" t="s">
        <v>352</v>
      </c>
      <c r="U47" s="10" t="s">
        <v>352</v>
      </c>
      <c r="V47" s="10" t="s">
        <v>352</v>
      </c>
      <c r="W47" s="10" t="s">
        <v>352</v>
      </c>
      <c r="X47" s="10" t="s">
        <v>352</v>
      </c>
      <c r="Y47" s="10" t="s">
        <v>352</v>
      </c>
      <c r="Z47" s="10" t="s">
        <v>352</v>
      </c>
      <c r="AA47" s="10" t="s">
        <v>352</v>
      </c>
      <c r="AB47" s="10" t="s">
        <v>352</v>
      </c>
      <c r="AC47" s="10" t="s">
        <v>352</v>
      </c>
      <c r="AD47" s="10" t="s">
        <v>352</v>
      </c>
      <c r="AE47" s="10" t="s">
        <v>352</v>
      </c>
      <c r="AF47" s="10" t="s">
        <v>352</v>
      </c>
      <c r="AG47" s="10" t="s">
        <v>352</v>
      </c>
      <c r="AH47" s="10" t="s">
        <v>352</v>
      </c>
      <c r="AI47" s="10" t="s">
        <v>352</v>
      </c>
      <c r="AJ47" s="150">
        <v>15.7</v>
      </c>
      <c r="AK47" s="152">
        <v>326.48</v>
      </c>
      <c r="AL47" s="10" t="s">
        <v>352</v>
      </c>
      <c r="AM47" s="10" t="s">
        <v>352</v>
      </c>
      <c r="AN47" s="10" t="s">
        <v>352</v>
      </c>
      <c r="AO47" s="10" t="s">
        <v>352</v>
      </c>
      <c r="AP47" s="10" t="s">
        <v>352</v>
      </c>
      <c r="AQ47" s="160">
        <v>677.81</v>
      </c>
      <c r="AR47" s="161">
        <v>701.23</v>
      </c>
      <c r="AS47" s="10" t="s">
        <v>352</v>
      </c>
      <c r="AT47" s="122">
        <v>38.93</v>
      </c>
      <c r="AU47" s="122">
        <v>1.63</v>
      </c>
      <c r="AV47" s="61">
        <v>454.9547076585232</v>
      </c>
      <c r="AW47" s="61">
        <v>13.007377177837073</v>
      </c>
      <c r="AX47" s="131">
        <v>11.72</v>
      </c>
      <c r="AY47" s="10" t="s">
        <v>352</v>
      </c>
      <c r="AZ47" s="10" t="s">
        <v>352</v>
      </c>
      <c r="BA47" s="10" t="s">
        <v>352</v>
      </c>
      <c r="BB47" s="10" t="s">
        <v>352</v>
      </c>
      <c r="BC47" s="10" t="s">
        <v>352</v>
      </c>
      <c r="BD47" s="10" t="s">
        <v>352</v>
      </c>
      <c r="BE47" s="10" t="s">
        <v>352</v>
      </c>
      <c r="BF47" s="10" t="s">
        <v>352</v>
      </c>
      <c r="BG47" s="10" t="s">
        <v>352</v>
      </c>
      <c r="BH47" s="10" t="s">
        <v>352</v>
      </c>
      <c r="BI47" s="172" t="s">
        <v>351</v>
      </c>
      <c r="BJ47" s="10" t="s">
        <v>352</v>
      </c>
      <c r="BK47" s="10" t="s">
        <v>352</v>
      </c>
      <c r="BL47" s="10" t="s">
        <v>352</v>
      </c>
      <c r="BM47" s="10" t="s">
        <v>352</v>
      </c>
      <c r="BN47" s="10" t="s">
        <v>352</v>
      </c>
      <c r="BO47" s="10" t="s">
        <v>352</v>
      </c>
      <c r="BP47" s="10" t="s">
        <v>352</v>
      </c>
      <c r="BQ47" s="10" t="s">
        <v>352</v>
      </c>
      <c r="BR47" s="10" t="s">
        <v>352</v>
      </c>
      <c r="BS47" s="10" t="s">
        <v>352</v>
      </c>
      <c r="BT47" s="188" t="s">
        <v>355</v>
      </c>
      <c r="BU47" s="131">
        <v>55.43</v>
      </c>
      <c r="BV47" s="10" t="s">
        <v>352</v>
      </c>
      <c r="BW47" s="10" t="s">
        <v>352</v>
      </c>
      <c r="BX47" s="10" t="s">
        <v>352</v>
      </c>
      <c r="BY47" s="10" t="s">
        <v>352</v>
      </c>
      <c r="BZ47" s="10" t="s">
        <v>352</v>
      </c>
      <c r="CA47" s="10" t="s">
        <v>352</v>
      </c>
      <c r="CB47" s="10" t="s">
        <v>352</v>
      </c>
      <c r="CC47" s="10" t="s">
        <v>352</v>
      </c>
      <c r="CD47" s="10" t="s">
        <v>352</v>
      </c>
    </row>
    <row r="48" spans="1:82">
      <c r="A48" s="3" t="s">
        <v>401</v>
      </c>
      <c r="B48" s="5" t="s">
        <v>407</v>
      </c>
      <c r="C48" s="27" t="s">
        <v>349</v>
      </c>
      <c r="D48" s="5" t="s">
        <v>408</v>
      </c>
      <c r="E48" s="29">
        <v>6301</v>
      </c>
      <c r="F48" s="7" t="s">
        <v>408</v>
      </c>
      <c r="G48" s="4">
        <v>6301</v>
      </c>
      <c r="H48" s="10" t="s">
        <v>352</v>
      </c>
      <c r="I48" s="10" t="s">
        <v>352</v>
      </c>
      <c r="J48" s="10" t="s">
        <v>352</v>
      </c>
      <c r="K48" s="10" t="s">
        <v>352</v>
      </c>
      <c r="L48" s="10" t="s">
        <v>352</v>
      </c>
      <c r="M48" s="10" t="s">
        <v>352</v>
      </c>
      <c r="N48" s="10" t="s">
        <v>352</v>
      </c>
      <c r="O48" s="60">
        <v>1264.73</v>
      </c>
      <c r="P48" s="10" t="s">
        <v>352</v>
      </c>
      <c r="Q48" s="121">
        <v>581.61</v>
      </c>
      <c r="R48" s="123">
        <v>1.39</v>
      </c>
      <c r="S48" s="60">
        <v>425.17</v>
      </c>
      <c r="T48" s="10" t="s">
        <v>352</v>
      </c>
      <c r="U48" s="10" t="s">
        <v>352</v>
      </c>
      <c r="V48" s="10" t="s">
        <v>352</v>
      </c>
      <c r="W48" s="10" t="s">
        <v>352</v>
      </c>
      <c r="X48" s="10" t="s">
        <v>352</v>
      </c>
      <c r="Y48" s="10" t="s">
        <v>352</v>
      </c>
      <c r="Z48" s="10" t="s">
        <v>352</v>
      </c>
      <c r="AA48" s="10" t="s">
        <v>352</v>
      </c>
      <c r="AB48" s="10" t="s">
        <v>352</v>
      </c>
      <c r="AC48" s="10" t="s">
        <v>352</v>
      </c>
      <c r="AD48" s="10" t="s">
        <v>352</v>
      </c>
      <c r="AE48" s="10" t="s">
        <v>352</v>
      </c>
      <c r="AF48" s="10" t="s">
        <v>352</v>
      </c>
      <c r="AG48" s="10" t="s">
        <v>352</v>
      </c>
      <c r="AH48" s="10" t="s">
        <v>352</v>
      </c>
      <c r="AI48" s="10" t="s">
        <v>352</v>
      </c>
      <c r="AJ48" s="150">
        <v>6.36</v>
      </c>
      <c r="AK48" s="152">
        <v>359.86</v>
      </c>
      <c r="AL48" s="10" t="s">
        <v>352</v>
      </c>
      <c r="AM48" s="10" t="s">
        <v>352</v>
      </c>
      <c r="AN48" s="10" t="s">
        <v>352</v>
      </c>
      <c r="AO48" s="10" t="s">
        <v>352</v>
      </c>
      <c r="AP48" s="10" t="s">
        <v>352</v>
      </c>
      <c r="AQ48" s="160">
        <v>738.54</v>
      </c>
      <c r="AR48" s="161">
        <v>681.93</v>
      </c>
      <c r="AS48" s="10" t="s">
        <v>352</v>
      </c>
      <c r="AT48" s="122">
        <v>37.31</v>
      </c>
      <c r="AU48" s="122">
        <v>1.45</v>
      </c>
      <c r="AV48" s="61">
        <v>541.29787656281007</v>
      </c>
      <c r="AW48" s="61">
        <v>17.341878385595482</v>
      </c>
      <c r="AX48" s="131">
        <v>10.33</v>
      </c>
      <c r="AY48" s="10" t="s">
        <v>352</v>
      </c>
      <c r="AZ48" s="10" t="s">
        <v>352</v>
      </c>
      <c r="BA48" s="10" t="s">
        <v>352</v>
      </c>
      <c r="BB48" s="10" t="s">
        <v>352</v>
      </c>
      <c r="BC48" s="10" t="s">
        <v>352</v>
      </c>
      <c r="BD48" s="10" t="s">
        <v>352</v>
      </c>
      <c r="BE48" s="10" t="s">
        <v>352</v>
      </c>
      <c r="BF48" s="10" t="s">
        <v>352</v>
      </c>
      <c r="BG48" s="10" t="s">
        <v>352</v>
      </c>
      <c r="BH48" s="10" t="s">
        <v>352</v>
      </c>
      <c r="BI48" s="172" t="s">
        <v>351</v>
      </c>
      <c r="BJ48" s="10" t="s">
        <v>352</v>
      </c>
      <c r="BK48" s="10" t="s">
        <v>352</v>
      </c>
      <c r="BL48" s="10" t="s">
        <v>352</v>
      </c>
      <c r="BM48" s="10" t="s">
        <v>352</v>
      </c>
      <c r="BN48" s="10" t="s">
        <v>352</v>
      </c>
      <c r="BO48" s="10" t="s">
        <v>352</v>
      </c>
      <c r="BP48" s="10" t="s">
        <v>352</v>
      </c>
      <c r="BQ48" s="10" t="s">
        <v>352</v>
      </c>
      <c r="BR48" s="10" t="s">
        <v>352</v>
      </c>
      <c r="BS48" s="10" t="s">
        <v>352</v>
      </c>
      <c r="BT48" s="188" t="s">
        <v>355</v>
      </c>
      <c r="BU48" s="131">
        <v>40.409999999999997</v>
      </c>
      <c r="BV48" s="10" t="s">
        <v>352</v>
      </c>
      <c r="BW48" s="10" t="s">
        <v>352</v>
      </c>
      <c r="BX48" s="10" t="s">
        <v>352</v>
      </c>
      <c r="BY48" s="10" t="s">
        <v>352</v>
      </c>
      <c r="BZ48" s="10" t="s">
        <v>352</v>
      </c>
      <c r="CA48" s="10" t="s">
        <v>352</v>
      </c>
      <c r="CB48" s="10" t="s">
        <v>352</v>
      </c>
      <c r="CC48" s="10" t="s">
        <v>352</v>
      </c>
      <c r="CD48" s="10" t="s">
        <v>352</v>
      </c>
    </row>
    <row r="49" spans="1:82">
      <c r="A49" s="3" t="s">
        <v>409</v>
      </c>
      <c r="B49" s="3" t="s">
        <v>410</v>
      </c>
      <c r="C49" s="27" t="s">
        <v>349</v>
      </c>
      <c r="D49" s="3" t="s">
        <v>411</v>
      </c>
      <c r="E49" s="29">
        <v>7001</v>
      </c>
      <c r="F49" s="3" t="s">
        <v>410</v>
      </c>
      <c r="G49" s="4">
        <v>7101</v>
      </c>
      <c r="H49" s="10" t="s">
        <v>352</v>
      </c>
      <c r="I49" s="10" t="s">
        <v>352</v>
      </c>
      <c r="J49" s="10" t="s">
        <v>352</v>
      </c>
      <c r="K49" s="10" t="s">
        <v>352</v>
      </c>
      <c r="L49" s="10" t="s">
        <v>352</v>
      </c>
      <c r="M49" s="10" t="s">
        <v>352</v>
      </c>
      <c r="N49" s="10" t="s">
        <v>352</v>
      </c>
      <c r="O49" s="60">
        <v>1165.22</v>
      </c>
      <c r="P49" s="10" t="s">
        <v>352</v>
      </c>
      <c r="Q49" s="121">
        <v>828.7</v>
      </c>
      <c r="R49" s="123">
        <v>1.45</v>
      </c>
      <c r="S49" s="60">
        <v>532.78</v>
      </c>
      <c r="T49" s="10" t="s">
        <v>352</v>
      </c>
      <c r="U49" s="10" t="s">
        <v>352</v>
      </c>
      <c r="V49" s="10" t="s">
        <v>352</v>
      </c>
      <c r="W49" s="10" t="s">
        <v>352</v>
      </c>
      <c r="X49" s="10" t="s">
        <v>352</v>
      </c>
      <c r="Y49" s="10" t="s">
        <v>352</v>
      </c>
      <c r="Z49" s="10" t="s">
        <v>352</v>
      </c>
      <c r="AA49" s="10" t="s">
        <v>352</v>
      </c>
      <c r="AB49" s="10" t="s">
        <v>352</v>
      </c>
      <c r="AC49" s="10" t="s">
        <v>352</v>
      </c>
      <c r="AD49" s="10" t="s">
        <v>352</v>
      </c>
      <c r="AE49" s="10" t="s">
        <v>352</v>
      </c>
      <c r="AF49" s="10" t="s">
        <v>352</v>
      </c>
      <c r="AG49" s="10" t="s">
        <v>352</v>
      </c>
      <c r="AH49" s="10" t="s">
        <v>352</v>
      </c>
      <c r="AI49" s="10" t="s">
        <v>352</v>
      </c>
      <c r="AJ49" s="150">
        <v>5.49</v>
      </c>
      <c r="AK49" s="152">
        <v>249.66</v>
      </c>
      <c r="AL49" s="10" t="s">
        <v>352</v>
      </c>
      <c r="AM49" s="10" t="s">
        <v>352</v>
      </c>
      <c r="AN49" s="10" t="s">
        <v>352</v>
      </c>
      <c r="AO49" s="10" t="s">
        <v>352</v>
      </c>
      <c r="AP49" s="10" t="s">
        <v>352</v>
      </c>
      <c r="AQ49" s="160">
        <v>783.94</v>
      </c>
      <c r="AR49" s="161">
        <v>449.92</v>
      </c>
      <c r="AS49" s="10" t="s">
        <v>352</v>
      </c>
      <c r="AT49" s="122">
        <v>35.1</v>
      </c>
      <c r="AU49" s="122">
        <v>1.68</v>
      </c>
      <c r="AV49" s="61">
        <v>693.68843574687048</v>
      </c>
      <c r="AW49" s="61">
        <v>24.602490664233454</v>
      </c>
      <c r="AX49" s="131">
        <v>11.25</v>
      </c>
      <c r="AY49" s="10" t="s">
        <v>352</v>
      </c>
      <c r="AZ49" s="10" t="s">
        <v>352</v>
      </c>
      <c r="BA49" s="10" t="s">
        <v>352</v>
      </c>
      <c r="BB49" s="10" t="s">
        <v>352</v>
      </c>
      <c r="BC49" s="10" t="s">
        <v>352</v>
      </c>
      <c r="BD49" s="10" t="s">
        <v>352</v>
      </c>
      <c r="BE49" s="10" t="s">
        <v>352</v>
      </c>
      <c r="BF49" s="10" t="s">
        <v>352</v>
      </c>
      <c r="BG49" s="10" t="s">
        <v>352</v>
      </c>
      <c r="BH49" s="10" t="s">
        <v>352</v>
      </c>
      <c r="BI49" s="172">
        <v>14405</v>
      </c>
      <c r="BJ49" s="10" t="s">
        <v>352</v>
      </c>
      <c r="BK49" s="10" t="s">
        <v>352</v>
      </c>
      <c r="BL49" s="10" t="s">
        <v>352</v>
      </c>
      <c r="BM49" s="10" t="s">
        <v>352</v>
      </c>
      <c r="BN49" s="10" t="s">
        <v>352</v>
      </c>
      <c r="BO49" s="10" t="s">
        <v>352</v>
      </c>
      <c r="BP49" s="10" t="s">
        <v>352</v>
      </c>
      <c r="BQ49" s="10" t="s">
        <v>352</v>
      </c>
      <c r="BR49" s="10" t="s">
        <v>352</v>
      </c>
      <c r="BS49" s="10" t="s">
        <v>352</v>
      </c>
      <c r="BT49" s="188" t="s">
        <v>353</v>
      </c>
      <c r="BU49" s="131">
        <v>42.26</v>
      </c>
      <c r="BV49" s="10" t="s">
        <v>352</v>
      </c>
      <c r="BW49" s="10" t="s">
        <v>352</v>
      </c>
      <c r="BX49" s="10" t="s">
        <v>352</v>
      </c>
      <c r="BY49" s="10" t="s">
        <v>352</v>
      </c>
      <c r="BZ49" s="10" t="s">
        <v>352</v>
      </c>
      <c r="CA49" s="10" t="s">
        <v>352</v>
      </c>
      <c r="CB49" s="10" t="s">
        <v>352</v>
      </c>
      <c r="CC49" s="10" t="s">
        <v>352</v>
      </c>
      <c r="CD49" s="10" t="s">
        <v>352</v>
      </c>
    </row>
    <row r="50" spans="1:82">
      <c r="A50" s="3" t="s">
        <v>409</v>
      </c>
      <c r="B50" s="5" t="s">
        <v>410</v>
      </c>
      <c r="C50" s="27" t="s">
        <v>349</v>
      </c>
      <c r="D50" s="5" t="s">
        <v>412</v>
      </c>
      <c r="E50" s="29">
        <v>7102</v>
      </c>
      <c r="F50" s="5" t="s">
        <v>412</v>
      </c>
      <c r="G50" s="4">
        <v>7102</v>
      </c>
      <c r="H50" s="10" t="s">
        <v>352</v>
      </c>
      <c r="I50" s="10" t="s">
        <v>352</v>
      </c>
      <c r="J50" s="10" t="s">
        <v>352</v>
      </c>
      <c r="K50" s="10" t="s">
        <v>352</v>
      </c>
      <c r="L50" s="10" t="s">
        <v>352</v>
      </c>
      <c r="M50" s="10" t="s">
        <v>352</v>
      </c>
      <c r="N50" s="10" t="s">
        <v>352</v>
      </c>
      <c r="O50" s="60">
        <v>1073.29</v>
      </c>
      <c r="P50" s="10" t="s">
        <v>352</v>
      </c>
      <c r="Q50" s="121">
        <v>647.29999999999995</v>
      </c>
      <c r="R50" s="123">
        <v>1.22</v>
      </c>
      <c r="S50" s="60">
        <v>521.91999999999996</v>
      </c>
      <c r="T50" s="10" t="s">
        <v>352</v>
      </c>
      <c r="U50" s="10" t="s">
        <v>352</v>
      </c>
      <c r="V50" s="10" t="s">
        <v>352</v>
      </c>
      <c r="W50" s="10" t="s">
        <v>352</v>
      </c>
      <c r="X50" s="10" t="s">
        <v>352</v>
      </c>
      <c r="Y50" s="10" t="s">
        <v>352</v>
      </c>
      <c r="Z50" s="10" t="s">
        <v>352</v>
      </c>
      <c r="AA50" s="10" t="s">
        <v>352</v>
      </c>
      <c r="AB50" s="10" t="s">
        <v>352</v>
      </c>
      <c r="AC50" s="10" t="s">
        <v>352</v>
      </c>
      <c r="AD50" s="10" t="s">
        <v>352</v>
      </c>
      <c r="AE50" s="10" t="s">
        <v>352</v>
      </c>
      <c r="AF50" s="10" t="s">
        <v>352</v>
      </c>
      <c r="AG50" s="10" t="s">
        <v>352</v>
      </c>
      <c r="AH50" s="10" t="s">
        <v>352</v>
      </c>
      <c r="AI50" s="10" t="s">
        <v>352</v>
      </c>
      <c r="AJ50" s="150">
        <v>9.93</v>
      </c>
      <c r="AK50" s="152">
        <v>299.91000000000003</v>
      </c>
      <c r="AL50" s="10" t="s">
        <v>352</v>
      </c>
      <c r="AM50" s="10" t="s">
        <v>352</v>
      </c>
      <c r="AN50" s="10" t="s">
        <v>352</v>
      </c>
      <c r="AO50" s="10" t="s">
        <v>352</v>
      </c>
      <c r="AP50" s="10" t="s">
        <v>352</v>
      </c>
      <c r="AQ50" s="160">
        <v>638.61</v>
      </c>
      <c r="AR50" s="161">
        <v>610.09</v>
      </c>
      <c r="AS50" s="10" t="s">
        <v>352</v>
      </c>
      <c r="AT50" s="122">
        <v>44.49</v>
      </c>
      <c r="AU50" s="122">
        <v>1.88</v>
      </c>
      <c r="AV50" s="61">
        <v>208.90011659541392</v>
      </c>
      <c r="AW50" s="61">
        <v>6.4054182887105737</v>
      </c>
      <c r="AX50" s="131">
        <v>25.59</v>
      </c>
      <c r="AY50" s="10" t="s">
        <v>352</v>
      </c>
      <c r="AZ50" s="10" t="s">
        <v>352</v>
      </c>
      <c r="BA50" s="10" t="s">
        <v>352</v>
      </c>
      <c r="BB50" s="10" t="s">
        <v>352</v>
      </c>
      <c r="BC50" s="10" t="s">
        <v>352</v>
      </c>
      <c r="BD50" s="10" t="s">
        <v>352</v>
      </c>
      <c r="BE50" s="10" t="s">
        <v>352</v>
      </c>
      <c r="BF50" s="10" t="s">
        <v>352</v>
      </c>
      <c r="BG50" s="10" t="s">
        <v>352</v>
      </c>
      <c r="BH50" s="10" t="s">
        <v>352</v>
      </c>
      <c r="BI50" s="172" t="s">
        <v>351</v>
      </c>
      <c r="BJ50" s="10" t="s">
        <v>352</v>
      </c>
      <c r="BK50" s="10" t="s">
        <v>352</v>
      </c>
      <c r="BL50" s="10" t="s">
        <v>352</v>
      </c>
      <c r="BM50" s="10" t="s">
        <v>352</v>
      </c>
      <c r="BN50" s="10" t="s">
        <v>352</v>
      </c>
      <c r="BO50" s="10" t="s">
        <v>352</v>
      </c>
      <c r="BP50" s="10" t="s">
        <v>352</v>
      </c>
      <c r="BQ50" s="10" t="s">
        <v>352</v>
      </c>
      <c r="BR50" s="10" t="s">
        <v>352</v>
      </c>
      <c r="BS50" s="10" t="s">
        <v>352</v>
      </c>
      <c r="BT50" s="188" t="s">
        <v>355</v>
      </c>
      <c r="BU50" s="131">
        <v>66.06</v>
      </c>
      <c r="BV50" s="10" t="s">
        <v>352</v>
      </c>
      <c r="BW50" s="10" t="s">
        <v>352</v>
      </c>
      <c r="BX50" s="10" t="s">
        <v>352</v>
      </c>
      <c r="BY50" s="10" t="s">
        <v>352</v>
      </c>
      <c r="BZ50" s="10" t="s">
        <v>352</v>
      </c>
      <c r="CA50" s="10" t="s">
        <v>352</v>
      </c>
      <c r="CB50" s="10" t="s">
        <v>352</v>
      </c>
      <c r="CC50" s="10" t="s">
        <v>352</v>
      </c>
      <c r="CD50" s="10" t="s">
        <v>352</v>
      </c>
    </row>
    <row r="51" spans="1:82">
      <c r="A51" s="3" t="s">
        <v>409</v>
      </c>
      <c r="B51" s="3" t="s">
        <v>410</v>
      </c>
      <c r="C51" s="27" t="s">
        <v>349</v>
      </c>
      <c r="D51" s="3" t="s">
        <v>411</v>
      </c>
      <c r="E51" s="29">
        <v>7001</v>
      </c>
      <c r="F51" s="3" t="s">
        <v>409</v>
      </c>
      <c r="G51" s="4">
        <v>7105</v>
      </c>
      <c r="H51" s="10" t="s">
        <v>352</v>
      </c>
      <c r="I51" s="10" t="s">
        <v>352</v>
      </c>
      <c r="J51" s="10" t="s">
        <v>352</v>
      </c>
      <c r="K51" s="10" t="s">
        <v>352</v>
      </c>
      <c r="L51" s="10" t="s">
        <v>352</v>
      </c>
      <c r="M51" s="10" t="s">
        <v>352</v>
      </c>
      <c r="N51" s="10" t="s">
        <v>352</v>
      </c>
      <c r="O51" s="60">
        <v>1758.61</v>
      </c>
      <c r="P51" s="10" t="s">
        <v>352</v>
      </c>
      <c r="Q51" s="121">
        <v>1266.29</v>
      </c>
      <c r="R51" s="123">
        <v>0.5</v>
      </c>
      <c r="S51" s="60">
        <v>508.09</v>
      </c>
      <c r="T51" s="10" t="s">
        <v>352</v>
      </c>
      <c r="U51" s="10" t="s">
        <v>352</v>
      </c>
      <c r="V51" s="10" t="s">
        <v>352</v>
      </c>
      <c r="W51" s="10" t="s">
        <v>352</v>
      </c>
      <c r="X51" s="10" t="s">
        <v>352</v>
      </c>
      <c r="Y51" s="10" t="s">
        <v>352</v>
      </c>
      <c r="Z51" s="10" t="s">
        <v>352</v>
      </c>
      <c r="AA51" s="10" t="s">
        <v>352</v>
      </c>
      <c r="AB51" s="10" t="s">
        <v>352</v>
      </c>
      <c r="AC51" s="10" t="s">
        <v>352</v>
      </c>
      <c r="AD51" s="10" t="s">
        <v>352</v>
      </c>
      <c r="AE51" s="10" t="s">
        <v>352</v>
      </c>
      <c r="AF51" s="10" t="s">
        <v>352</v>
      </c>
      <c r="AG51" s="10" t="s">
        <v>352</v>
      </c>
      <c r="AH51" s="10" t="s">
        <v>352</v>
      </c>
      <c r="AI51" s="10" t="s">
        <v>352</v>
      </c>
      <c r="AJ51" s="150">
        <v>21.67</v>
      </c>
      <c r="AK51" s="152">
        <v>333.33</v>
      </c>
      <c r="AL51" s="10" t="s">
        <v>352</v>
      </c>
      <c r="AM51" s="10" t="s">
        <v>352</v>
      </c>
      <c r="AN51" s="10" t="s">
        <v>352</v>
      </c>
      <c r="AO51" s="10" t="s">
        <v>352</v>
      </c>
      <c r="AP51" s="10" t="s">
        <v>352</v>
      </c>
      <c r="AQ51" s="160">
        <v>609.25</v>
      </c>
      <c r="AR51" s="161">
        <v>290.42</v>
      </c>
      <c r="AS51" s="10" t="s">
        <v>352</v>
      </c>
      <c r="AT51" s="122">
        <v>35.01</v>
      </c>
      <c r="AU51" s="122">
        <v>1.49</v>
      </c>
      <c r="AV51" s="61">
        <v>204.9654305468259</v>
      </c>
      <c r="AW51" s="61">
        <v>5.4350000000000005</v>
      </c>
      <c r="AX51" s="131">
        <v>25.16</v>
      </c>
      <c r="AY51" s="10" t="s">
        <v>352</v>
      </c>
      <c r="AZ51" s="10" t="s">
        <v>352</v>
      </c>
      <c r="BA51" s="10" t="s">
        <v>352</v>
      </c>
      <c r="BB51" s="10" t="s">
        <v>352</v>
      </c>
      <c r="BC51" s="10" t="s">
        <v>352</v>
      </c>
      <c r="BD51" s="10" t="s">
        <v>352</v>
      </c>
      <c r="BE51" s="10" t="s">
        <v>352</v>
      </c>
      <c r="BF51" s="10" t="s">
        <v>352</v>
      </c>
      <c r="BG51" s="10" t="s">
        <v>352</v>
      </c>
      <c r="BH51" s="10" t="s">
        <v>352</v>
      </c>
      <c r="BI51" s="172" t="s">
        <v>351</v>
      </c>
      <c r="BJ51" s="10" t="s">
        <v>352</v>
      </c>
      <c r="BK51" s="10" t="s">
        <v>352</v>
      </c>
      <c r="BL51" s="10" t="s">
        <v>352</v>
      </c>
      <c r="BM51" s="10" t="s">
        <v>352</v>
      </c>
      <c r="BN51" s="10" t="s">
        <v>352</v>
      </c>
      <c r="BO51" s="10" t="s">
        <v>352</v>
      </c>
      <c r="BP51" s="10" t="s">
        <v>352</v>
      </c>
      <c r="BQ51" s="10" t="s">
        <v>352</v>
      </c>
      <c r="BR51" s="10" t="s">
        <v>352</v>
      </c>
      <c r="BS51" s="10" t="s">
        <v>352</v>
      </c>
      <c r="BT51" s="188" t="s">
        <v>353</v>
      </c>
      <c r="BU51" s="131">
        <v>61.65</v>
      </c>
      <c r="BV51" s="10" t="s">
        <v>352</v>
      </c>
      <c r="BW51" s="10" t="s">
        <v>352</v>
      </c>
      <c r="BX51" s="10" t="s">
        <v>352</v>
      </c>
      <c r="BY51" s="10" t="s">
        <v>352</v>
      </c>
      <c r="BZ51" s="10" t="s">
        <v>352</v>
      </c>
      <c r="CA51" s="10" t="s">
        <v>352</v>
      </c>
      <c r="CB51" s="10" t="s">
        <v>352</v>
      </c>
      <c r="CC51" s="10" t="s">
        <v>352</v>
      </c>
      <c r="CD51" s="10" t="s">
        <v>352</v>
      </c>
    </row>
    <row r="52" spans="1:82">
      <c r="A52" s="3" t="s">
        <v>409</v>
      </c>
      <c r="B52" s="3" t="s">
        <v>413</v>
      </c>
      <c r="C52" s="27" t="s">
        <v>349</v>
      </c>
      <c r="D52" s="3" t="s">
        <v>414</v>
      </c>
      <c r="E52" s="29">
        <v>7301</v>
      </c>
      <c r="F52" s="6" t="s">
        <v>413</v>
      </c>
      <c r="G52" s="4">
        <v>7301</v>
      </c>
      <c r="H52" s="10" t="s">
        <v>352</v>
      </c>
      <c r="I52" s="10" t="s">
        <v>352</v>
      </c>
      <c r="J52" s="10" t="s">
        <v>352</v>
      </c>
      <c r="K52" s="10" t="s">
        <v>352</v>
      </c>
      <c r="L52" s="10" t="s">
        <v>352</v>
      </c>
      <c r="M52" s="10" t="s">
        <v>352</v>
      </c>
      <c r="N52" s="10" t="s">
        <v>352</v>
      </c>
      <c r="O52" s="60">
        <v>1279.06</v>
      </c>
      <c r="P52" s="10" t="s">
        <v>352</v>
      </c>
      <c r="Q52" s="121">
        <v>680.37</v>
      </c>
      <c r="R52" s="123">
        <v>1.45</v>
      </c>
      <c r="S52" s="60">
        <v>435.94</v>
      </c>
      <c r="T52" s="10" t="s">
        <v>352</v>
      </c>
      <c r="U52" s="10" t="s">
        <v>352</v>
      </c>
      <c r="V52" s="10" t="s">
        <v>352</v>
      </c>
      <c r="W52" s="10" t="s">
        <v>352</v>
      </c>
      <c r="X52" s="10" t="s">
        <v>352</v>
      </c>
      <c r="Y52" s="10" t="s">
        <v>352</v>
      </c>
      <c r="Z52" s="10" t="s">
        <v>352</v>
      </c>
      <c r="AA52" s="10" t="s">
        <v>352</v>
      </c>
      <c r="AB52" s="10" t="s">
        <v>352</v>
      </c>
      <c r="AC52" s="10" t="s">
        <v>352</v>
      </c>
      <c r="AD52" s="10" t="s">
        <v>352</v>
      </c>
      <c r="AE52" s="10" t="s">
        <v>352</v>
      </c>
      <c r="AF52" s="10" t="s">
        <v>352</v>
      </c>
      <c r="AG52" s="10" t="s">
        <v>352</v>
      </c>
      <c r="AH52" s="10" t="s">
        <v>352</v>
      </c>
      <c r="AI52" s="10" t="s">
        <v>352</v>
      </c>
      <c r="AJ52" s="150">
        <v>6.72</v>
      </c>
      <c r="AK52" s="152">
        <v>448.58</v>
      </c>
      <c r="AL52" s="10" t="s">
        <v>352</v>
      </c>
      <c r="AM52" s="10" t="s">
        <v>352</v>
      </c>
      <c r="AN52" s="10" t="s">
        <v>352</v>
      </c>
      <c r="AO52" s="10" t="s">
        <v>352</v>
      </c>
      <c r="AP52" s="10" t="s">
        <v>352</v>
      </c>
      <c r="AQ52" s="160">
        <v>785.27</v>
      </c>
      <c r="AR52" s="161">
        <v>581.27</v>
      </c>
      <c r="AS52" s="10" t="s">
        <v>352</v>
      </c>
      <c r="AT52" s="122">
        <v>38.82</v>
      </c>
      <c r="AU52" s="122">
        <v>2.76</v>
      </c>
      <c r="AV52" s="61">
        <v>676.69452545458114</v>
      </c>
      <c r="AW52" s="61">
        <v>21.129282632344491</v>
      </c>
      <c r="AX52" s="131">
        <v>15.03</v>
      </c>
      <c r="AY52" s="10" t="s">
        <v>352</v>
      </c>
      <c r="AZ52" s="10" t="s">
        <v>352</v>
      </c>
      <c r="BA52" s="10" t="s">
        <v>352</v>
      </c>
      <c r="BB52" s="10" t="s">
        <v>352</v>
      </c>
      <c r="BC52" s="10" t="s">
        <v>352</v>
      </c>
      <c r="BD52" s="10" t="s">
        <v>352</v>
      </c>
      <c r="BE52" s="10" t="s">
        <v>352</v>
      </c>
      <c r="BF52" s="10" t="s">
        <v>352</v>
      </c>
      <c r="BG52" s="10" t="s">
        <v>352</v>
      </c>
      <c r="BH52" s="10" t="s">
        <v>352</v>
      </c>
      <c r="BI52" s="172">
        <v>11746</v>
      </c>
      <c r="BJ52" s="10" t="s">
        <v>352</v>
      </c>
      <c r="BK52" s="10" t="s">
        <v>352</v>
      </c>
      <c r="BL52" s="10" t="s">
        <v>352</v>
      </c>
      <c r="BM52" s="10" t="s">
        <v>352</v>
      </c>
      <c r="BN52" s="10" t="s">
        <v>352</v>
      </c>
      <c r="BO52" s="10" t="s">
        <v>352</v>
      </c>
      <c r="BP52" s="10" t="s">
        <v>352</v>
      </c>
      <c r="BQ52" s="10" t="s">
        <v>352</v>
      </c>
      <c r="BR52" s="10" t="s">
        <v>352</v>
      </c>
      <c r="BS52" s="10" t="s">
        <v>352</v>
      </c>
      <c r="BT52" s="188" t="s">
        <v>353</v>
      </c>
      <c r="BU52" s="131">
        <v>43.19</v>
      </c>
      <c r="BV52" s="10" t="s">
        <v>352</v>
      </c>
      <c r="BW52" s="10" t="s">
        <v>352</v>
      </c>
      <c r="BX52" s="10" t="s">
        <v>352</v>
      </c>
      <c r="BY52" s="10" t="s">
        <v>352</v>
      </c>
      <c r="BZ52" s="10" t="s">
        <v>352</v>
      </c>
      <c r="CA52" s="10" t="s">
        <v>352</v>
      </c>
      <c r="CB52" s="10" t="s">
        <v>352</v>
      </c>
      <c r="CC52" s="10" t="s">
        <v>352</v>
      </c>
      <c r="CD52" s="10" t="s">
        <v>352</v>
      </c>
    </row>
    <row r="53" spans="1:82">
      <c r="A53" s="3" t="s">
        <v>409</v>
      </c>
      <c r="B53" s="3" t="s">
        <v>413</v>
      </c>
      <c r="C53" s="27" t="s">
        <v>349</v>
      </c>
      <c r="D53" s="3" t="s">
        <v>414</v>
      </c>
      <c r="E53" s="29">
        <v>7301</v>
      </c>
      <c r="F53" s="6" t="s">
        <v>415</v>
      </c>
      <c r="G53" s="4">
        <v>7305</v>
      </c>
      <c r="H53" s="10" t="s">
        <v>352</v>
      </c>
      <c r="I53" s="10" t="s">
        <v>352</v>
      </c>
      <c r="J53" s="10" t="s">
        <v>352</v>
      </c>
      <c r="K53" s="10" t="s">
        <v>352</v>
      </c>
      <c r="L53" s="10" t="s">
        <v>352</v>
      </c>
      <c r="M53" s="10" t="s">
        <v>352</v>
      </c>
      <c r="N53" s="10" t="s">
        <v>352</v>
      </c>
      <c r="O53" s="60">
        <v>951.65</v>
      </c>
      <c r="P53" s="10" t="s">
        <v>352</v>
      </c>
      <c r="Q53" s="121">
        <v>1021.13</v>
      </c>
      <c r="R53" s="123">
        <v>0.44</v>
      </c>
      <c r="S53" s="60">
        <v>349.04</v>
      </c>
      <c r="T53" s="10" t="s">
        <v>352</v>
      </c>
      <c r="U53" s="10" t="s">
        <v>352</v>
      </c>
      <c r="V53" s="10" t="s">
        <v>352</v>
      </c>
      <c r="W53" s="10" t="s">
        <v>352</v>
      </c>
      <c r="X53" s="10" t="s">
        <v>352</v>
      </c>
      <c r="Y53" s="10" t="s">
        <v>352</v>
      </c>
      <c r="Z53" s="10" t="s">
        <v>352</v>
      </c>
      <c r="AA53" s="10" t="s">
        <v>352</v>
      </c>
      <c r="AB53" s="10" t="s">
        <v>352</v>
      </c>
      <c r="AC53" s="10" t="s">
        <v>352</v>
      </c>
      <c r="AD53" s="10" t="s">
        <v>352</v>
      </c>
      <c r="AE53" s="10" t="s">
        <v>352</v>
      </c>
      <c r="AF53" s="10" t="s">
        <v>352</v>
      </c>
      <c r="AG53" s="10" t="s">
        <v>352</v>
      </c>
      <c r="AH53" s="10" t="s">
        <v>352</v>
      </c>
      <c r="AI53" s="10" t="s">
        <v>352</v>
      </c>
      <c r="AJ53" s="150">
        <v>44.45</v>
      </c>
      <c r="AK53" s="152">
        <v>764.58</v>
      </c>
      <c r="AL53" s="10" t="s">
        <v>352</v>
      </c>
      <c r="AM53" s="10" t="s">
        <v>352</v>
      </c>
      <c r="AN53" s="10" t="s">
        <v>352</v>
      </c>
      <c r="AO53" s="10" t="s">
        <v>352</v>
      </c>
      <c r="AP53" s="10" t="s">
        <v>352</v>
      </c>
      <c r="AQ53" s="160">
        <v>693.56</v>
      </c>
      <c r="AR53" s="161">
        <v>659.25</v>
      </c>
      <c r="AS53" s="10" t="s">
        <v>352</v>
      </c>
      <c r="AT53" s="122">
        <v>45.41</v>
      </c>
      <c r="AU53" s="122">
        <v>3.23</v>
      </c>
      <c r="AV53" s="61">
        <v>423.34322453016813</v>
      </c>
      <c r="AW53" s="61">
        <v>7.6102418207681364</v>
      </c>
      <c r="AX53" s="131">
        <v>33.46</v>
      </c>
      <c r="AY53" s="10" t="s">
        <v>352</v>
      </c>
      <c r="AZ53" s="10" t="s">
        <v>352</v>
      </c>
      <c r="BA53" s="10" t="s">
        <v>352</v>
      </c>
      <c r="BB53" s="10" t="s">
        <v>352</v>
      </c>
      <c r="BC53" s="10" t="s">
        <v>352</v>
      </c>
      <c r="BD53" s="10" t="s">
        <v>352</v>
      </c>
      <c r="BE53" s="10" t="s">
        <v>352</v>
      </c>
      <c r="BF53" s="10" t="s">
        <v>352</v>
      </c>
      <c r="BG53" s="10" t="s">
        <v>352</v>
      </c>
      <c r="BH53" s="10" t="s">
        <v>352</v>
      </c>
      <c r="BI53" s="172" t="s">
        <v>351</v>
      </c>
      <c r="BJ53" s="10" t="s">
        <v>352</v>
      </c>
      <c r="BK53" s="10" t="s">
        <v>352</v>
      </c>
      <c r="BL53" s="10" t="s">
        <v>352</v>
      </c>
      <c r="BM53" s="10" t="s">
        <v>352</v>
      </c>
      <c r="BN53" s="10" t="s">
        <v>352</v>
      </c>
      <c r="BO53" s="10" t="s">
        <v>352</v>
      </c>
      <c r="BP53" s="10" t="s">
        <v>352</v>
      </c>
      <c r="BQ53" s="10" t="s">
        <v>352</v>
      </c>
      <c r="BR53" s="10" t="s">
        <v>352</v>
      </c>
      <c r="BS53" s="10" t="s">
        <v>352</v>
      </c>
      <c r="BT53" s="188" t="s">
        <v>355</v>
      </c>
      <c r="BU53" s="131">
        <v>50.69</v>
      </c>
      <c r="BV53" s="10" t="s">
        <v>352</v>
      </c>
      <c r="BW53" s="10" t="s">
        <v>352</v>
      </c>
      <c r="BX53" s="10" t="s">
        <v>352</v>
      </c>
      <c r="BY53" s="10" t="s">
        <v>352</v>
      </c>
      <c r="BZ53" s="10" t="s">
        <v>352</v>
      </c>
      <c r="CA53" s="10" t="s">
        <v>352</v>
      </c>
      <c r="CB53" s="10" t="s">
        <v>352</v>
      </c>
      <c r="CC53" s="10" t="s">
        <v>352</v>
      </c>
      <c r="CD53" s="10" t="s">
        <v>352</v>
      </c>
    </row>
    <row r="54" spans="1:82">
      <c r="A54" s="3" t="s">
        <v>409</v>
      </c>
      <c r="B54" s="3" t="s">
        <v>413</v>
      </c>
      <c r="C54" s="27" t="s">
        <v>349</v>
      </c>
      <c r="D54" s="3" t="s">
        <v>414</v>
      </c>
      <c r="E54" s="29">
        <v>7301</v>
      </c>
      <c r="F54" s="6" t="s">
        <v>416</v>
      </c>
      <c r="G54" s="4">
        <v>7306</v>
      </c>
      <c r="H54" s="10" t="s">
        <v>352</v>
      </c>
      <c r="I54" s="10" t="s">
        <v>352</v>
      </c>
      <c r="J54" s="10" t="s">
        <v>352</v>
      </c>
      <c r="K54" s="10" t="s">
        <v>352</v>
      </c>
      <c r="L54" s="10" t="s">
        <v>352</v>
      </c>
      <c r="M54" s="10" t="s">
        <v>352</v>
      </c>
      <c r="N54" s="10" t="s">
        <v>352</v>
      </c>
      <c r="O54" s="60">
        <v>859.9</v>
      </c>
      <c r="P54" s="10" t="s">
        <v>352</v>
      </c>
      <c r="Q54" s="121">
        <v>839.38</v>
      </c>
      <c r="R54" s="123">
        <v>1.1299999999999999</v>
      </c>
      <c r="S54" s="60">
        <v>368.21</v>
      </c>
      <c r="T54" s="10" t="s">
        <v>352</v>
      </c>
      <c r="U54" s="10" t="s">
        <v>352</v>
      </c>
      <c r="V54" s="10" t="s">
        <v>352</v>
      </c>
      <c r="W54" s="10" t="s">
        <v>352</v>
      </c>
      <c r="X54" s="10" t="s">
        <v>352</v>
      </c>
      <c r="Y54" s="10" t="s">
        <v>352</v>
      </c>
      <c r="Z54" s="10" t="s">
        <v>352</v>
      </c>
      <c r="AA54" s="10" t="s">
        <v>352</v>
      </c>
      <c r="AB54" s="10" t="s">
        <v>352</v>
      </c>
      <c r="AC54" s="10" t="s">
        <v>352</v>
      </c>
      <c r="AD54" s="10" t="s">
        <v>352</v>
      </c>
      <c r="AE54" s="10" t="s">
        <v>352</v>
      </c>
      <c r="AF54" s="10" t="s">
        <v>352</v>
      </c>
      <c r="AG54" s="10" t="s">
        <v>352</v>
      </c>
      <c r="AH54" s="10" t="s">
        <v>352</v>
      </c>
      <c r="AI54" s="10" t="s">
        <v>352</v>
      </c>
      <c r="AJ54" s="150">
        <v>30.92</v>
      </c>
      <c r="AK54" s="152">
        <v>290.66000000000003</v>
      </c>
      <c r="AL54" s="10" t="s">
        <v>352</v>
      </c>
      <c r="AM54" s="10" t="s">
        <v>352</v>
      </c>
      <c r="AN54" s="10" t="s">
        <v>352</v>
      </c>
      <c r="AO54" s="10" t="s">
        <v>352</v>
      </c>
      <c r="AP54" s="10" t="s">
        <v>352</v>
      </c>
      <c r="AQ54" s="160">
        <v>812.86</v>
      </c>
      <c r="AR54" s="161">
        <v>1602.35</v>
      </c>
      <c r="AS54" s="10" t="s">
        <v>352</v>
      </c>
      <c r="AT54" s="122">
        <v>36.92</v>
      </c>
      <c r="AU54" s="122">
        <v>0.71</v>
      </c>
      <c r="AV54" s="61">
        <v>335.95890410958907</v>
      </c>
      <c r="AW54" s="61">
        <v>6.0667903525046381</v>
      </c>
      <c r="AX54" s="131">
        <v>21.21</v>
      </c>
      <c r="AY54" s="10" t="s">
        <v>352</v>
      </c>
      <c r="AZ54" s="10" t="s">
        <v>352</v>
      </c>
      <c r="BA54" s="10" t="s">
        <v>352</v>
      </c>
      <c r="BB54" s="10" t="s">
        <v>352</v>
      </c>
      <c r="BC54" s="10" t="s">
        <v>352</v>
      </c>
      <c r="BD54" s="10" t="s">
        <v>352</v>
      </c>
      <c r="BE54" s="10" t="s">
        <v>352</v>
      </c>
      <c r="BF54" s="10" t="s">
        <v>352</v>
      </c>
      <c r="BG54" s="10" t="s">
        <v>352</v>
      </c>
      <c r="BH54" s="10" t="s">
        <v>352</v>
      </c>
      <c r="BI54" s="172" t="s">
        <v>351</v>
      </c>
      <c r="BJ54" s="10" t="s">
        <v>352</v>
      </c>
      <c r="BK54" s="10" t="s">
        <v>352</v>
      </c>
      <c r="BL54" s="10" t="s">
        <v>352</v>
      </c>
      <c r="BM54" s="10" t="s">
        <v>352</v>
      </c>
      <c r="BN54" s="10" t="s">
        <v>352</v>
      </c>
      <c r="BO54" s="10" t="s">
        <v>352</v>
      </c>
      <c r="BP54" s="10" t="s">
        <v>352</v>
      </c>
      <c r="BQ54" s="10" t="s">
        <v>352</v>
      </c>
      <c r="BR54" s="10" t="s">
        <v>352</v>
      </c>
      <c r="BS54" s="10" t="s">
        <v>352</v>
      </c>
      <c r="BT54" s="188" t="s">
        <v>353</v>
      </c>
      <c r="BU54" s="131">
        <v>36.43</v>
      </c>
      <c r="BV54" s="10" t="s">
        <v>352</v>
      </c>
      <c r="BW54" s="10" t="s">
        <v>352</v>
      </c>
      <c r="BX54" s="10" t="s">
        <v>352</v>
      </c>
      <c r="BY54" s="10" t="s">
        <v>352</v>
      </c>
      <c r="BZ54" s="10" t="s">
        <v>352</v>
      </c>
      <c r="CA54" s="10" t="s">
        <v>352</v>
      </c>
      <c r="CB54" s="10" t="s">
        <v>352</v>
      </c>
      <c r="CC54" s="10" t="s">
        <v>352</v>
      </c>
      <c r="CD54" s="10" t="s">
        <v>352</v>
      </c>
    </row>
    <row r="55" spans="1:82">
      <c r="A55" s="3" t="s">
        <v>409</v>
      </c>
      <c r="B55" s="5" t="s">
        <v>417</v>
      </c>
      <c r="C55" s="27" t="s">
        <v>349</v>
      </c>
      <c r="D55" s="5" t="s">
        <v>417</v>
      </c>
      <c r="E55" s="29">
        <v>7401</v>
      </c>
      <c r="F55" s="7" t="s">
        <v>417</v>
      </c>
      <c r="G55" s="4">
        <v>7401</v>
      </c>
      <c r="H55" s="10" t="s">
        <v>352</v>
      </c>
      <c r="I55" s="10" t="s">
        <v>352</v>
      </c>
      <c r="J55" s="10" t="s">
        <v>352</v>
      </c>
      <c r="K55" s="10" t="s">
        <v>352</v>
      </c>
      <c r="L55" s="10" t="s">
        <v>352</v>
      </c>
      <c r="M55" s="10" t="s">
        <v>352</v>
      </c>
      <c r="N55" s="10" t="s">
        <v>352</v>
      </c>
      <c r="O55" s="60">
        <v>1022.45</v>
      </c>
      <c r="P55" s="10" t="s">
        <v>352</v>
      </c>
      <c r="Q55" s="121">
        <v>670.61</v>
      </c>
      <c r="R55" s="123">
        <v>1.74</v>
      </c>
      <c r="S55" s="60">
        <v>375.87</v>
      </c>
      <c r="T55" s="10" t="s">
        <v>352</v>
      </c>
      <c r="U55" s="10" t="s">
        <v>352</v>
      </c>
      <c r="V55" s="10" t="s">
        <v>352</v>
      </c>
      <c r="W55" s="10" t="s">
        <v>352</v>
      </c>
      <c r="X55" s="10" t="s">
        <v>352</v>
      </c>
      <c r="Y55" s="10" t="s">
        <v>352</v>
      </c>
      <c r="Z55" s="10" t="s">
        <v>352</v>
      </c>
      <c r="AA55" s="10" t="s">
        <v>352</v>
      </c>
      <c r="AB55" s="10" t="s">
        <v>352</v>
      </c>
      <c r="AC55" s="10" t="s">
        <v>352</v>
      </c>
      <c r="AD55" s="10" t="s">
        <v>352</v>
      </c>
      <c r="AE55" s="10" t="s">
        <v>352</v>
      </c>
      <c r="AF55" s="10" t="s">
        <v>352</v>
      </c>
      <c r="AG55" s="10" t="s">
        <v>352</v>
      </c>
      <c r="AH55" s="10" t="s">
        <v>352</v>
      </c>
      <c r="AI55" s="10" t="s">
        <v>352</v>
      </c>
      <c r="AJ55" s="150">
        <v>11.87</v>
      </c>
      <c r="AK55" s="152">
        <v>493.7</v>
      </c>
      <c r="AL55" s="10" t="s">
        <v>352</v>
      </c>
      <c r="AM55" s="10" t="s">
        <v>352</v>
      </c>
      <c r="AN55" s="10" t="s">
        <v>352</v>
      </c>
      <c r="AO55" s="10" t="s">
        <v>352</v>
      </c>
      <c r="AP55" s="10" t="s">
        <v>352</v>
      </c>
      <c r="AQ55" s="160">
        <v>744.72</v>
      </c>
      <c r="AR55" s="161">
        <v>408.78</v>
      </c>
      <c r="AS55" s="10" t="s">
        <v>352</v>
      </c>
      <c r="AT55" s="122">
        <v>40.520000000000003</v>
      </c>
      <c r="AU55" s="122">
        <v>2.88</v>
      </c>
      <c r="AV55" s="61">
        <v>488.15798480388798</v>
      </c>
      <c r="AW55" s="61">
        <v>14.111582717441848</v>
      </c>
      <c r="AX55" s="131">
        <v>11.83</v>
      </c>
      <c r="AY55" s="10" t="s">
        <v>352</v>
      </c>
      <c r="AZ55" s="10" t="s">
        <v>352</v>
      </c>
      <c r="BA55" s="10" t="s">
        <v>352</v>
      </c>
      <c r="BB55" s="10" t="s">
        <v>352</v>
      </c>
      <c r="BC55" s="10" t="s">
        <v>352</v>
      </c>
      <c r="BD55" s="10" t="s">
        <v>352</v>
      </c>
      <c r="BE55" s="10" t="s">
        <v>352</v>
      </c>
      <c r="BF55" s="10" t="s">
        <v>352</v>
      </c>
      <c r="BG55" s="10" t="s">
        <v>352</v>
      </c>
      <c r="BH55" s="10" t="s">
        <v>352</v>
      </c>
      <c r="BI55" s="172" t="s">
        <v>351</v>
      </c>
      <c r="BJ55" s="10" t="s">
        <v>352</v>
      </c>
      <c r="BK55" s="10" t="s">
        <v>352</v>
      </c>
      <c r="BL55" s="10" t="s">
        <v>352</v>
      </c>
      <c r="BM55" s="10" t="s">
        <v>352</v>
      </c>
      <c r="BN55" s="10" t="s">
        <v>352</v>
      </c>
      <c r="BO55" s="10" t="s">
        <v>352</v>
      </c>
      <c r="BP55" s="10" t="s">
        <v>352</v>
      </c>
      <c r="BQ55" s="10" t="s">
        <v>352</v>
      </c>
      <c r="BR55" s="10" t="s">
        <v>352</v>
      </c>
      <c r="BS55" s="10" t="s">
        <v>352</v>
      </c>
      <c r="BT55" s="188" t="s">
        <v>353</v>
      </c>
      <c r="BU55" s="131">
        <v>59.21</v>
      </c>
      <c r="BV55" s="10" t="s">
        <v>352</v>
      </c>
      <c r="BW55" s="10" t="s">
        <v>352</v>
      </c>
      <c r="BX55" s="10" t="s">
        <v>352</v>
      </c>
      <c r="BY55" s="10" t="s">
        <v>352</v>
      </c>
      <c r="BZ55" s="10" t="s">
        <v>352</v>
      </c>
      <c r="CA55" s="10" t="s">
        <v>352</v>
      </c>
      <c r="CB55" s="10" t="s">
        <v>352</v>
      </c>
      <c r="CC55" s="10" t="s">
        <v>352</v>
      </c>
      <c r="CD55" s="10" t="s">
        <v>352</v>
      </c>
    </row>
    <row r="56" spans="1:82">
      <c r="A56" s="3" t="s">
        <v>418</v>
      </c>
      <c r="B56" s="3" t="s">
        <v>419</v>
      </c>
      <c r="C56" s="27" t="s">
        <v>420</v>
      </c>
      <c r="D56" s="3" t="s">
        <v>420</v>
      </c>
      <c r="E56" s="29">
        <v>8001</v>
      </c>
      <c r="F56" s="3" t="s">
        <v>419</v>
      </c>
      <c r="G56" s="4">
        <v>8101</v>
      </c>
      <c r="H56" s="10" t="s">
        <v>352</v>
      </c>
      <c r="I56" s="10" t="s">
        <v>352</v>
      </c>
      <c r="J56" s="10" t="s">
        <v>352</v>
      </c>
      <c r="K56" s="10" t="s">
        <v>352</v>
      </c>
      <c r="L56" s="10" t="s">
        <v>352</v>
      </c>
      <c r="M56" s="10" t="s">
        <v>352</v>
      </c>
      <c r="N56" s="10" t="s">
        <v>352</v>
      </c>
      <c r="O56" s="60">
        <v>1246.45</v>
      </c>
      <c r="P56" s="10" t="s">
        <v>352</v>
      </c>
      <c r="Q56" s="121">
        <v>680.97</v>
      </c>
      <c r="R56" s="123">
        <v>1.42</v>
      </c>
      <c r="S56" s="60">
        <v>486.35</v>
      </c>
      <c r="T56" s="10" t="s">
        <v>352</v>
      </c>
      <c r="U56" s="10" t="s">
        <v>352</v>
      </c>
      <c r="V56" s="10" t="s">
        <v>352</v>
      </c>
      <c r="W56" s="10" t="s">
        <v>352</v>
      </c>
      <c r="X56" s="10" t="s">
        <v>352</v>
      </c>
      <c r="Y56" s="10" t="s">
        <v>352</v>
      </c>
      <c r="Z56" s="10" t="s">
        <v>352</v>
      </c>
      <c r="AA56" s="10" t="s">
        <v>352</v>
      </c>
      <c r="AB56" s="10" t="s">
        <v>352</v>
      </c>
      <c r="AC56" s="10" t="s">
        <v>352</v>
      </c>
      <c r="AD56" s="10" t="s">
        <v>352</v>
      </c>
      <c r="AE56" s="10" t="s">
        <v>352</v>
      </c>
      <c r="AF56" s="10" t="s">
        <v>352</v>
      </c>
      <c r="AG56" s="10" t="s">
        <v>352</v>
      </c>
      <c r="AH56" s="10" t="s">
        <v>352</v>
      </c>
      <c r="AI56" s="10" t="s">
        <v>352</v>
      </c>
      <c r="AJ56" s="150">
        <v>2.94</v>
      </c>
      <c r="AK56" s="152">
        <v>286.44</v>
      </c>
      <c r="AL56" s="10" t="s">
        <v>352</v>
      </c>
      <c r="AM56" s="10" t="s">
        <v>352</v>
      </c>
      <c r="AN56" s="10" t="s">
        <v>352</v>
      </c>
      <c r="AO56" s="10" t="s">
        <v>352</v>
      </c>
      <c r="AP56" s="10" t="s">
        <v>352</v>
      </c>
      <c r="AQ56" s="160">
        <v>834.48</v>
      </c>
      <c r="AR56" s="161">
        <v>568.97</v>
      </c>
      <c r="AS56" s="10" t="s">
        <v>352</v>
      </c>
      <c r="AT56" s="122">
        <v>39.92</v>
      </c>
      <c r="AU56" s="122">
        <v>4.37</v>
      </c>
      <c r="AV56" s="61">
        <v>673.67456824325836</v>
      </c>
      <c r="AW56" s="61">
        <v>25.328864472556827</v>
      </c>
      <c r="AX56" s="131">
        <v>4.2300000000000004</v>
      </c>
      <c r="AY56" s="10" t="s">
        <v>352</v>
      </c>
      <c r="AZ56" s="10" t="s">
        <v>352</v>
      </c>
      <c r="BA56" s="10" t="s">
        <v>352</v>
      </c>
      <c r="BB56" s="10" t="s">
        <v>352</v>
      </c>
      <c r="BC56" s="10" t="s">
        <v>352</v>
      </c>
      <c r="BD56" s="10" t="s">
        <v>352</v>
      </c>
      <c r="BE56" s="10" t="s">
        <v>352</v>
      </c>
      <c r="BF56" s="10" t="s">
        <v>352</v>
      </c>
      <c r="BG56" s="10" t="s">
        <v>352</v>
      </c>
      <c r="BH56" s="10" t="s">
        <v>352</v>
      </c>
      <c r="BI56" s="172">
        <v>13724</v>
      </c>
      <c r="BJ56" s="10" t="s">
        <v>352</v>
      </c>
      <c r="BK56" s="10" t="s">
        <v>352</v>
      </c>
      <c r="BL56" s="10" t="s">
        <v>352</v>
      </c>
      <c r="BM56" s="10" t="s">
        <v>352</v>
      </c>
      <c r="BN56" s="10" t="s">
        <v>352</v>
      </c>
      <c r="BO56" s="10" t="s">
        <v>352</v>
      </c>
      <c r="BP56" s="10" t="s">
        <v>352</v>
      </c>
      <c r="BQ56" s="10" t="s">
        <v>352</v>
      </c>
      <c r="BR56" s="10" t="s">
        <v>352</v>
      </c>
      <c r="BS56" s="10" t="s">
        <v>352</v>
      </c>
      <c r="BT56" s="188" t="s">
        <v>355</v>
      </c>
      <c r="BU56" s="131">
        <v>13.5</v>
      </c>
      <c r="BV56" s="10" t="s">
        <v>352</v>
      </c>
      <c r="BW56" s="10" t="s">
        <v>352</v>
      </c>
      <c r="BX56" s="10" t="s">
        <v>352</v>
      </c>
      <c r="BY56" s="10" t="s">
        <v>352</v>
      </c>
      <c r="BZ56" s="10" t="s">
        <v>352</v>
      </c>
      <c r="CA56" s="10" t="s">
        <v>352</v>
      </c>
      <c r="CB56" s="10" t="s">
        <v>352</v>
      </c>
      <c r="CC56" s="10" t="s">
        <v>352</v>
      </c>
      <c r="CD56" s="10" t="s">
        <v>352</v>
      </c>
    </row>
    <row r="57" spans="1:82">
      <c r="A57" s="3" t="s">
        <v>418</v>
      </c>
      <c r="B57" s="3" t="s">
        <v>419</v>
      </c>
      <c r="C57" s="27" t="s">
        <v>420</v>
      </c>
      <c r="D57" s="3" t="s">
        <v>420</v>
      </c>
      <c r="E57" s="29">
        <v>8001</v>
      </c>
      <c r="F57" s="3" t="s">
        <v>421</v>
      </c>
      <c r="G57" s="4">
        <v>8102</v>
      </c>
      <c r="H57" s="10" t="s">
        <v>352</v>
      </c>
      <c r="I57" s="10" t="s">
        <v>352</v>
      </c>
      <c r="J57" s="10" t="s">
        <v>352</v>
      </c>
      <c r="K57" s="10" t="s">
        <v>352</v>
      </c>
      <c r="L57" s="10" t="s">
        <v>352</v>
      </c>
      <c r="M57" s="10" t="s">
        <v>352</v>
      </c>
      <c r="N57" s="10" t="s">
        <v>352</v>
      </c>
      <c r="O57" s="60">
        <v>1499.81</v>
      </c>
      <c r="P57" s="10" t="s">
        <v>352</v>
      </c>
      <c r="Q57" s="121">
        <v>708.99</v>
      </c>
      <c r="R57" s="123">
        <v>1.17</v>
      </c>
      <c r="S57" s="60">
        <v>455.17</v>
      </c>
      <c r="T57" s="10" t="s">
        <v>352</v>
      </c>
      <c r="U57" s="10" t="s">
        <v>352</v>
      </c>
      <c r="V57" s="10" t="s">
        <v>352</v>
      </c>
      <c r="W57" s="10" t="s">
        <v>352</v>
      </c>
      <c r="X57" s="10" t="s">
        <v>352</v>
      </c>
      <c r="Y57" s="10" t="s">
        <v>352</v>
      </c>
      <c r="Z57" s="10" t="s">
        <v>352</v>
      </c>
      <c r="AA57" s="10" t="s">
        <v>352</v>
      </c>
      <c r="AB57" s="10" t="s">
        <v>352</v>
      </c>
      <c r="AC57" s="10" t="s">
        <v>352</v>
      </c>
      <c r="AD57" s="10" t="s">
        <v>352</v>
      </c>
      <c r="AE57" s="10" t="s">
        <v>352</v>
      </c>
      <c r="AF57" s="10" t="s">
        <v>352</v>
      </c>
      <c r="AG57" s="10" t="s">
        <v>352</v>
      </c>
      <c r="AH57" s="10" t="s">
        <v>352</v>
      </c>
      <c r="AI57" s="10" t="s">
        <v>352</v>
      </c>
      <c r="AJ57" s="150">
        <v>5.56</v>
      </c>
      <c r="AK57" s="152">
        <v>109.67</v>
      </c>
      <c r="AL57" s="10" t="s">
        <v>352</v>
      </c>
      <c r="AM57" s="10" t="s">
        <v>352</v>
      </c>
      <c r="AN57" s="10" t="s">
        <v>352</v>
      </c>
      <c r="AO57" s="10" t="s">
        <v>352</v>
      </c>
      <c r="AP57" s="10" t="s">
        <v>352</v>
      </c>
      <c r="AQ57" s="160">
        <v>642.89</v>
      </c>
      <c r="AR57" s="161">
        <v>757.46</v>
      </c>
      <c r="AS57" s="10" t="s">
        <v>352</v>
      </c>
      <c r="AT57" s="122">
        <v>34.99</v>
      </c>
      <c r="AU57" s="122">
        <v>3.72</v>
      </c>
      <c r="AV57" s="61">
        <v>670.5673510382361</v>
      </c>
      <c r="AW57" s="61">
        <v>22.815885050346104</v>
      </c>
      <c r="AX57" s="131">
        <v>7.26</v>
      </c>
      <c r="AY57" s="10" t="s">
        <v>352</v>
      </c>
      <c r="AZ57" s="10" t="s">
        <v>352</v>
      </c>
      <c r="BA57" s="10" t="s">
        <v>352</v>
      </c>
      <c r="BB57" s="10" t="s">
        <v>352</v>
      </c>
      <c r="BC57" s="10" t="s">
        <v>352</v>
      </c>
      <c r="BD57" s="10" t="s">
        <v>352</v>
      </c>
      <c r="BE57" s="10" t="s">
        <v>352</v>
      </c>
      <c r="BF57" s="10" t="s">
        <v>352</v>
      </c>
      <c r="BG57" s="10" t="s">
        <v>352</v>
      </c>
      <c r="BH57" s="10" t="s">
        <v>352</v>
      </c>
      <c r="BI57" s="172" t="s">
        <v>351</v>
      </c>
      <c r="BJ57" s="10" t="s">
        <v>352</v>
      </c>
      <c r="BK57" s="10" t="s">
        <v>352</v>
      </c>
      <c r="BL57" s="10" t="s">
        <v>352</v>
      </c>
      <c r="BM57" s="10" t="s">
        <v>352</v>
      </c>
      <c r="BN57" s="10" t="s">
        <v>352</v>
      </c>
      <c r="BO57" s="10" t="s">
        <v>352</v>
      </c>
      <c r="BP57" s="10" t="s">
        <v>352</v>
      </c>
      <c r="BQ57" s="10" t="s">
        <v>352</v>
      </c>
      <c r="BR57" s="10" t="s">
        <v>352</v>
      </c>
      <c r="BS57" s="10" t="s">
        <v>352</v>
      </c>
      <c r="BT57" s="188" t="s">
        <v>353</v>
      </c>
      <c r="BU57" s="131">
        <v>49.04</v>
      </c>
      <c r="BV57" s="10" t="s">
        <v>352</v>
      </c>
      <c r="BW57" s="10" t="s">
        <v>352</v>
      </c>
      <c r="BX57" s="10" t="s">
        <v>352</v>
      </c>
      <c r="BY57" s="10" t="s">
        <v>352</v>
      </c>
      <c r="BZ57" s="10" t="s">
        <v>352</v>
      </c>
      <c r="CA57" s="10" t="s">
        <v>352</v>
      </c>
      <c r="CB57" s="10" t="s">
        <v>352</v>
      </c>
      <c r="CC57" s="10" t="s">
        <v>352</v>
      </c>
      <c r="CD57" s="10" t="s">
        <v>352</v>
      </c>
    </row>
    <row r="58" spans="1:82">
      <c r="A58" s="3" t="s">
        <v>418</v>
      </c>
      <c r="B58" s="3" t="s">
        <v>419</v>
      </c>
      <c r="C58" s="27" t="s">
        <v>420</v>
      </c>
      <c r="D58" s="3" t="s">
        <v>420</v>
      </c>
      <c r="E58" s="29">
        <v>8001</v>
      </c>
      <c r="F58" s="3" t="s">
        <v>422</v>
      </c>
      <c r="G58" s="4">
        <v>8103</v>
      </c>
      <c r="H58" s="10" t="s">
        <v>352</v>
      </c>
      <c r="I58" s="10" t="s">
        <v>352</v>
      </c>
      <c r="J58" s="10" t="s">
        <v>352</v>
      </c>
      <c r="K58" s="10" t="s">
        <v>352</v>
      </c>
      <c r="L58" s="10" t="s">
        <v>352</v>
      </c>
      <c r="M58" s="10" t="s">
        <v>352</v>
      </c>
      <c r="N58" s="10" t="s">
        <v>352</v>
      </c>
      <c r="O58" s="60">
        <v>1378.45</v>
      </c>
      <c r="P58" s="10" t="s">
        <v>352</v>
      </c>
      <c r="Q58" s="121">
        <v>642.1</v>
      </c>
      <c r="R58" s="123">
        <v>1.0900000000000001</v>
      </c>
      <c r="S58" s="60">
        <v>566.79</v>
      </c>
      <c r="T58" s="10" t="s">
        <v>352</v>
      </c>
      <c r="U58" s="10" t="s">
        <v>352</v>
      </c>
      <c r="V58" s="10" t="s">
        <v>352</v>
      </c>
      <c r="W58" s="10" t="s">
        <v>352</v>
      </c>
      <c r="X58" s="10" t="s">
        <v>352</v>
      </c>
      <c r="Y58" s="10" t="s">
        <v>352</v>
      </c>
      <c r="Z58" s="10" t="s">
        <v>352</v>
      </c>
      <c r="AA58" s="10" t="s">
        <v>352</v>
      </c>
      <c r="AB58" s="10" t="s">
        <v>352</v>
      </c>
      <c r="AC58" s="10" t="s">
        <v>352</v>
      </c>
      <c r="AD58" s="10" t="s">
        <v>352</v>
      </c>
      <c r="AE58" s="10" t="s">
        <v>352</v>
      </c>
      <c r="AF58" s="10" t="s">
        <v>352</v>
      </c>
      <c r="AG58" s="10" t="s">
        <v>352</v>
      </c>
      <c r="AH58" s="10" t="s">
        <v>352</v>
      </c>
      <c r="AI58" s="10" t="s">
        <v>352</v>
      </c>
      <c r="AJ58" s="150">
        <v>6.58</v>
      </c>
      <c r="AK58" s="152">
        <v>242.38</v>
      </c>
      <c r="AL58" s="10" t="s">
        <v>352</v>
      </c>
      <c r="AM58" s="10" t="s">
        <v>352</v>
      </c>
      <c r="AN58" s="10" t="s">
        <v>352</v>
      </c>
      <c r="AO58" s="10" t="s">
        <v>352</v>
      </c>
      <c r="AP58" s="10" t="s">
        <v>352</v>
      </c>
      <c r="AQ58" s="160">
        <v>698.87</v>
      </c>
      <c r="AR58" s="161">
        <v>180.31</v>
      </c>
      <c r="AS58" s="10" t="s">
        <v>352</v>
      </c>
      <c r="AT58" s="122">
        <v>45.14</v>
      </c>
      <c r="AU58" s="122">
        <v>5.21</v>
      </c>
      <c r="AV58" s="61">
        <v>745.7734081775003</v>
      </c>
      <c r="AW58" s="61">
        <v>24.624917745119543</v>
      </c>
      <c r="AX58" s="131">
        <v>16.420000000000002</v>
      </c>
      <c r="AY58" s="10" t="s">
        <v>352</v>
      </c>
      <c r="AZ58" s="10" t="s">
        <v>352</v>
      </c>
      <c r="BA58" s="10" t="s">
        <v>352</v>
      </c>
      <c r="BB58" s="10" t="s">
        <v>352</v>
      </c>
      <c r="BC58" s="10" t="s">
        <v>352</v>
      </c>
      <c r="BD58" s="10" t="s">
        <v>352</v>
      </c>
      <c r="BE58" s="10" t="s">
        <v>352</v>
      </c>
      <c r="BF58" s="10" t="s">
        <v>352</v>
      </c>
      <c r="BG58" s="10" t="s">
        <v>352</v>
      </c>
      <c r="BH58" s="10" t="s">
        <v>352</v>
      </c>
      <c r="BI58" s="172" t="s">
        <v>351</v>
      </c>
      <c r="BJ58" s="10" t="s">
        <v>352</v>
      </c>
      <c r="BK58" s="10" t="s">
        <v>352</v>
      </c>
      <c r="BL58" s="10" t="s">
        <v>352</v>
      </c>
      <c r="BM58" s="10" t="s">
        <v>352</v>
      </c>
      <c r="BN58" s="10" t="s">
        <v>352</v>
      </c>
      <c r="BO58" s="10" t="s">
        <v>352</v>
      </c>
      <c r="BP58" s="10" t="s">
        <v>352</v>
      </c>
      <c r="BQ58" s="10" t="s">
        <v>352</v>
      </c>
      <c r="BR58" s="10" t="s">
        <v>352</v>
      </c>
      <c r="BS58" s="10" t="s">
        <v>352</v>
      </c>
      <c r="BT58" s="188" t="s">
        <v>353</v>
      </c>
      <c r="BU58" s="131">
        <v>53.79</v>
      </c>
      <c r="BV58" s="10" t="s">
        <v>352</v>
      </c>
      <c r="BW58" s="10" t="s">
        <v>352</v>
      </c>
      <c r="BX58" s="10" t="s">
        <v>352</v>
      </c>
      <c r="BY58" s="10" t="s">
        <v>352</v>
      </c>
      <c r="BZ58" s="10" t="s">
        <v>352</v>
      </c>
      <c r="CA58" s="10" t="s">
        <v>352</v>
      </c>
      <c r="CB58" s="10" t="s">
        <v>352</v>
      </c>
      <c r="CC58" s="10" t="s">
        <v>352</v>
      </c>
      <c r="CD58" s="10" t="s">
        <v>352</v>
      </c>
    </row>
    <row r="59" spans="1:82">
      <c r="A59" s="3" t="s">
        <v>418</v>
      </c>
      <c r="B59" s="3" t="s">
        <v>419</v>
      </c>
      <c r="C59" s="27" t="s">
        <v>420</v>
      </c>
      <c r="D59" s="3" t="s">
        <v>420</v>
      </c>
      <c r="E59" s="29">
        <v>8001</v>
      </c>
      <c r="F59" s="3" t="s">
        <v>423</v>
      </c>
      <c r="G59" s="4">
        <v>8105</v>
      </c>
      <c r="H59" s="10" t="s">
        <v>352</v>
      </c>
      <c r="I59" s="10" t="s">
        <v>352</v>
      </c>
      <c r="J59" s="10" t="s">
        <v>352</v>
      </c>
      <c r="K59" s="10" t="s">
        <v>352</v>
      </c>
      <c r="L59" s="10" t="s">
        <v>352</v>
      </c>
      <c r="M59" s="10" t="s">
        <v>352</v>
      </c>
      <c r="N59" s="10" t="s">
        <v>352</v>
      </c>
      <c r="O59" s="60">
        <v>725.6</v>
      </c>
      <c r="P59" s="10" t="s">
        <v>352</v>
      </c>
      <c r="Q59" s="121">
        <v>645.73</v>
      </c>
      <c r="R59" s="123">
        <v>1.03</v>
      </c>
      <c r="S59" s="60">
        <v>634.16999999999996</v>
      </c>
      <c r="T59" s="10" t="s">
        <v>352</v>
      </c>
      <c r="U59" s="10" t="s">
        <v>352</v>
      </c>
      <c r="V59" s="10" t="s">
        <v>352</v>
      </c>
      <c r="W59" s="10" t="s">
        <v>352</v>
      </c>
      <c r="X59" s="10" t="s">
        <v>352</v>
      </c>
      <c r="Y59" s="10" t="s">
        <v>352</v>
      </c>
      <c r="Z59" s="10" t="s">
        <v>352</v>
      </c>
      <c r="AA59" s="10" t="s">
        <v>352</v>
      </c>
      <c r="AB59" s="10" t="s">
        <v>352</v>
      </c>
      <c r="AC59" s="10" t="s">
        <v>352</v>
      </c>
      <c r="AD59" s="10" t="s">
        <v>352</v>
      </c>
      <c r="AE59" s="10" t="s">
        <v>352</v>
      </c>
      <c r="AF59" s="10" t="s">
        <v>352</v>
      </c>
      <c r="AG59" s="10" t="s">
        <v>352</v>
      </c>
      <c r="AH59" s="10" t="s">
        <v>352</v>
      </c>
      <c r="AI59" s="10" t="s">
        <v>352</v>
      </c>
      <c r="AJ59" s="150">
        <v>0</v>
      </c>
      <c r="AK59" s="152">
        <v>225.18</v>
      </c>
      <c r="AL59" s="10" t="s">
        <v>352</v>
      </c>
      <c r="AM59" s="10" t="s">
        <v>352</v>
      </c>
      <c r="AN59" s="10" t="s">
        <v>352</v>
      </c>
      <c r="AO59" s="10" t="s">
        <v>352</v>
      </c>
      <c r="AP59" s="10" t="s">
        <v>352</v>
      </c>
      <c r="AQ59" s="160">
        <v>573.73</v>
      </c>
      <c r="AR59" s="161">
        <v>222.36</v>
      </c>
      <c r="AS59" s="10" t="s">
        <v>352</v>
      </c>
      <c r="AT59" s="122">
        <v>46.64</v>
      </c>
      <c r="AU59" s="122">
        <v>2.67</v>
      </c>
      <c r="AV59" s="61">
        <v>488.04077898313949</v>
      </c>
      <c r="AW59" s="61">
        <v>14.251364451738482</v>
      </c>
      <c r="AX59" s="131">
        <v>35.4</v>
      </c>
      <c r="AY59" s="10" t="s">
        <v>352</v>
      </c>
      <c r="AZ59" s="10" t="s">
        <v>352</v>
      </c>
      <c r="BA59" s="10" t="s">
        <v>352</v>
      </c>
      <c r="BB59" s="10" t="s">
        <v>352</v>
      </c>
      <c r="BC59" s="10" t="s">
        <v>352</v>
      </c>
      <c r="BD59" s="10" t="s">
        <v>352</v>
      </c>
      <c r="BE59" s="10" t="s">
        <v>352</v>
      </c>
      <c r="BF59" s="10" t="s">
        <v>352</v>
      </c>
      <c r="BG59" s="10" t="s">
        <v>352</v>
      </c>
      <c r="BH59" s="10" t="s">
        <v>352</v>
      </c>
      <c r="BI59" s="172" t="s">
        <v>351</v>
      </c>
      <c r="BJ59" s="10" t="s">
        <v>352</v>
      </c>
      <c r="BK59" s="10" t="s">
        <v>352</v>
      </c>
      <c r="BL59" s="10" t="s">
        <v>352</v>
      </c>
      <c r="BM59" s="10" t="s">
        <v>352</v>
      </c>
      <c r="BN59" s="10" t="s">
        <v>352</v>
      </c>
      <c r="BO59" s="10" t="s">
        <v>352</v>
      </c>
      <c r="BP59" s="10" t="s">
        <v>352</v>
      </c>
      <c r="BQ59" s="10" t="s">
        <v>352</v>
      </c>
      <c r="BR59" s="10" t="s">
        <v>352</v>
      </c>
      <c r="BS59" s="10" t="s">
        <v>352</v>
      </c>
      <c r="BT59" s="188" t="s">
        <v>353</v>
      </c>
      <c r="BU59" s="131">
        <v>74.489999999999995</v>
      </c>
      <c r="BV59" s="10" t="s">
        <v>352</v>
      </c>
      <c r="BW59" s="10" t="s">
        <v>352</v>
      </c>
      <c r="BX59" s="10" t="s">
        <v>352</v>
      </c>
      <c r="BY59" s="10" t="s">
        <v>352</v>
      </c>
      <c r="BZ59" s="10" t="s">
        <v>352</v>
      </c>
      <c r="CA59" s="10" t="s">
        <v>352</v>
      </c>
      <c r="CB59" s="10" t="s">
        <v>352</v>
      </c>
      <c r="CC59" s="10" t="s">
        <v>352</v>
      </c>
      <c r="CD59" s="10" t="s">
        <v>352</v>
      </c>
    </row>
    <row r="60" spans="1:82">
      <c r="A60" s="3" t="s">
        <v>418</v>
      </c>
      <c r="B60" s="3" t="s">
        <v>419</v>
      </c>
      <c r="C60" s="27" t="s">
        <v>420</v>
      </c>
      <c r="D60" s="3" t="s">
        <v>420</v>
      </c>
      <c r="E60" s="29">
        <v>8001</v>
      </c>
      <c r="F60" s="3" t="s">
        <v>424</v>
      </c>
      <c r="G60" s="4">
        <v>8106</v>
      </c>
      <c r="H60" s="10" t="s">
        <v>352</v>
      </c>
      <c r="I60" s="10" t="s">
        <v>352</v>
      </c>
      <c r="J60" s="10" t="s">
        <v>352</v>
      </c>
      <c r="K60" s="10" t="s">
        <v>352</v>
      </c>
      <c r="L60" s="10" t="s">
        <v>352</v>
      </c>
      <c r="M60" s="10" t="s">
        <v>352</v>
      </c>
      <c r="N60" s="10" t="s">
        <v>352</v>
      </c>
      <c r="O60" s="60">
        <v>1165.77</v>
      </c>
      <c r="P60" s="10" t="s">
        <v>352</v>
      </c>
      <c r="Q60" s="121">
        <v>499.46</v>
      </c>
      <c r="R60" s="123">
        <v>1.17</v>
      </c>
      <c r="S60" s="60">
        <v>401.44</v>
      </c>
      <c r="T60" s="10" t="s">
        <v>352</v>
      </c>
      <c r="U60" s="10" t="s">
        <v>352</v>
      </c>
      <c r="V60" s="10" t="s">
        <v>352</v>
      </c>
      <c r="W60" s="10" t="s">
        <v>352</v>
      </c>
      <c r="X60" s="10" t="s">
        <v>352</v>
      </c>
      <c r="Y60" s="10" t="s">
        <v>352</v>
      </c>
      <c r="Z60" s="10" t="s">
        <v>352</v>
      </c>
      <c r="AA60" s="10" t="s">
        <v>352</v>
      </c>
      <c r="AB60" s="10" t="s">
        <v>352</v>
      </c>
      <c r="AC60" s="10" t="s">
        <v>352</v>
      </c>
      <c r="AD60" s="10" t="s">
        <v>352</v>
      </c>
      <c r="AE60" s="10" t="s">
        <v>352</v>
      </c>
      <c r="AF60" s="10" t="s">
        <v>352</v>
      </c>
      <c r="AG60" s="10" t="s">
        <v>352</v>
      </c>
      <c r="AH60" s="10" t="s">
        <v>352</v>
      </c>
      <c r="AI60" s="10" t="s">
        <v>352</v>
      </c>
      <c r="AJ60" s="150">
        <v>10.93</v>
      </c>
      <c r="AK60" s="152">
        <v>295.08</v>
      </c>
      <c r="AL60" s="10" t="s">
        <v>352</v>
      </c>
      <c r="AM60" s="10" t="s">
        <v>352</v>
      </c>
      <c r="AN60" s="10" t="s">
        <v>352</v>
      </c>
      <c r="AO60" s="10" t="s">
        <v>352</v>
      </c>
      <c r="AP60" s="10" t="s">
        <v>352</v>
      </c>
      <c r="AQ60" s="160">
        <v>529.23</v>
      </c>
      <c r="AR60" s="161">
        <v>220.84</v>
      </c>
      <c r="AS60" s="10" t="s">
        <v>352</v>
      </c>
      <c r="AT60" s="122">
        <v>42.68</v>
      </c>
      <c r="AU60" s="122">
        <v>5.78</v>
      </c>
      <c r="AV60" s="61">
        <v>552.15404699738906</v>
      </c>
      <c r="AW60" s="61">
        <v>18.489617486338798</v>
      </c>
      <c r="AX60" s="131">
        <v>17.82</v>
      </c>
      <c r="AY60" s="10" t="s">
        <v>352</v>
      </c>
      <c r="AZ60" s="10" t="s">
        <v>352</v>
      </c>
      <c r="BA60" s="10" t="s">
        <v>352</v>
      </c>
      <c r="BB60" s="10" t="s">
        <v>352</v>
      </c>
      <c r="BC60" s="10" t="s">
        <v>352</v>
      </c>
      <c r="BD60" s="10" t="s">
        <v>352</v>
      </c>
      <c r="BE60" s="10" t="s">
        <v>352</v>
      </c>
      <c r="BF60" s="10" t="s">
        <v>352</v>
      </c>
      <c r="BG60" s="10" t="s">
        <v>352</v>
      </c>
      <c r="BH60" s="10" t="s">
        <v>352</v>
      </c>
      <c r="BI60" s="172" t="s">
        <v>351</v>
      </c>
      <c r="BJ60" s="10" t="s">
        <v>352</v>
      </c>
      <c r="BK60" s="10" t="s">
        <v>352</v>
      </c>
      <c r="BL60" s="10" t="s">
        <v>352</v>
      </c>
      <c r="BM60" s="10" t="s">
        <v>352</v>
      </c>
      <c r="BN60" s="10" t="s">
        <v>352</v>
      </c>
      <c r="BO60" s="10" t="s">
        <v>352</v>
      </c>
      <c r="BP60" s="10" t="s">
        <v>352</v>
      </c>
      <c r="BQ60" s="10" t="s">
        <v>352</v>
      </c>
      <c r="BR60" s="10" t="s">
        <v>352</v>
      </c>
      <c r="BS60" s="10" t="s">
        <v>352</v>
      </c>
      <c r="BT60" s="188" t="s">
        <v>355</v>
      </c>
      <c r="BU60" s="131">
        <v>81.77</v>
      </c>
      <c r="BV60" s="10" t="s">
        <v>352</v>
      </c>
      <c r="BW60" s="10" t="s">
        <v>352</v>
      </c>
      <c r="BX60" s="10" t="s">
        <v>352</v>
      </c>
      <c r="BY60" s="10" t="s">
        <v>352</v>
      </c>
      <c r="BZ60" s="10" t="s">
        <v>352</v>
      </c>
      <c r="CA60" s="10" t="s">
        <v>352</v>
      </c>
      <c r="CB60" s="10" t="s">
        <v>352</v>
      </c>
      <c r="CC60" s="10" t="s">
        <v>352</v>
      </c>
      <c r="CD60" s="10" t="s">
        <v>352</v>
      </c>
    </row>
    <row r="61" spans="1:82">
      <c r="A61" s="3" t="s">
        <v>418</v>
      </c>
      <c r="B61" s="3" t="s">
        <v>419</v>
      </c>
      <c r="C61" s="27" t="s">
        <v>420</v>
      </c>
      <c r="D61" s="3" t="s">
        <v>420</v>
      </c>
      <c r="E61" s="29">
        <v>8001</v>
      </c>
      <c r="F61" s="3" t="s">
        <v>425</v>
      </c>
      <c r="G61" s="4">
        <v>8107</v>
      </c>
      <c r="H61" s="10" t="s">
        <v>352</v>
      </c>
      <c r="I61" s="10" t="s">
        <v>352</v>
      </c>
      <c r="J61" s="10" t="s">
        <v>352</v>
      </c>
      <c r="K61" s="10" t="s">
        <v>352</v>
      </c>
      <c r="L61" s="10" t="s">
        <v>352</v>
      </c>
      <c r="M61" s="10" t="s">
        <v>352</v>
      </c>
      <c r="N61" s="10" t="s">
        <v>352</v>
      </c>
      <c r="O61" s="60">
        <v>1059.3</v>
      </c>
      <c r="P61" s="10" t="s">
        <v>352</v>
      </c>
      <c r="Q61" s="121">
        <v>599.77</v>
      </c>
      <c r="R61" s="123">
        <v>1.04</v>
      </c>
      <c r="S61" s="60">
        <v>434.31</v>
      </c>
      <c r="T61" s="10" t="s">
        <v>352</v>
      </c>
      <c r="U61" s="10" t="s">
        <v>352</v>
      </c>
      <c r="V61" s="10" t="s">
        <v>352</v>
      </c>
      <c r="W61" s="10" t="s">
        <v>352</v>
      </c>
      <c r="X61" s="10" t="s">
        <v>352</v>
      </c>
      <c r="Y61" s="10" t="s">
        <v>352</v>
      </c>
      <c r="Z61" s="10" t="s">
        <v>352</v>
      </c>
      <c r="AA61" s="10" t="s">
        <v>352</v>
      </c>
      <c r="AB61" s="10" t="s">
        <v>352</v>
      </c>
      <c r="AC61" s="10" t="s">
        <v>352</v>
      </c>
      <c r="AD61" s="10" t="s">
        <v>352</v>
      </c>
      <c r="AE61" s="10" t="s">
        <v>352</v>
      </c>
      <c r="AF61" s="10" t="s">
        <v>352</v>
      </c>
      <c r="AG61" s="10" t="s">
        <v>352</v>
      </c>
      <c r="AH61" s="10" t="s">
        <v>352</v>
      </c>
      <c r="AI61" s="10" t="s">
        <v>352</v>
      </c>
      <c r="AJ61" s="150">
        <v>14.04</v>
      </c>
      <c r="AK61" s="152">
        <v>356.96</v>
      </c>
      <c r="AL61" s="10" t="s">
        <v>352</v>
      </c>
      <c r="AM61" s="10" t="s">
        <v>352</v>
      </c>
      <c r="AN61" s="10" t="s">
        <v>352</v>
      </c>
      <c r="AO61" s="10" t="s">
        <v>352</v>
      </c>
      <c r="AP61" s="10" t="s">
        <v>352</v>
      </c>
      <c r="AQ61" s="160">
        <v>653.9</v>
      </c>
      <c r="AR61" s="161">
        <v>278.24</v>
      </c>
      <c r="AS61" s="10" t="s">
        <v>352</v>
      </c>
      <c r="AT61" s="122">
        <v>41.01</v>
      </c>
      <c r="AU61" s="122">
        <v>5.57</v>
      </c>
      <c r="AV61" s="61">
        <v>581.8532121139142</v>
      </c>
      <c r="AW61" s="61">
        <v>19.380326882582974</v>
      </c>
      <c r="AX61" s="131">
        <v>5.79</v>
      </c>
      <c r="AY61" s="10" t="s">
        <v>352</v>
      </c>
      <c r="AZ61" s="10" t="s">
        <v>352</v>
      </c>
      <c r="BA61" s="10" t="s">
        <v>352</v>
      </c>
      <c r="BB61" s="10" t="s">
        <v>352</v>
      </c>
      <c r="BC61" s="10" t="s">
        <v>352</v>
      </c>
      <c r="BD61" s="10" t="s">
        <v>352</v>
      </c>
      <c r="BE61" s="10" t="s">
        <v>352</v>
      </c>
      <c r="BF61" s="10" t="s">
        <v>352</v>
      </c>
      <c r="BG61" s="10" t="s">
        <v>352</v>
      </c>
      <c r="BH61" s="10" t="s">
        <v>352</v>
      </c>
      <c r="BI61" s="172" t="s">
        <v>351</v>
      </c>
      <c r="BJ61" s="10" t="s">
        <v>352</v>
      </c>
      <c r="BK61" s="10" t="s">
        <v>352</v>
      </c>
      <c r="BL61" s="10" t="s">
        <v>352</v>
      </c>
      <c r="BM61" s="10" t="s">
        <v>352</v>
      </c>
      <c r="BN61" s="10" t="s">
        <v>352</v>
      </c>
      <c r="BO61" s="10" t="s">
        <v>352</v>
      </c>
      <c r="BP61" s="10" t="s">
        <v>352</v>
      </c>
      <c r="BQ61" s="10" t="s">
        <v>352</v>
      </c>
      <c r="BR61" s="10" t="s">
        <v>352</v>
      </c>
      <c r="BS61" s="10" t="s">
        <v>352</v>
      </c>
      <c r="BT61" s="188" t="s">
        <v>353</v>
      </c>
      <c r="BU61" s="131">
        <v>60.21</v>
      </c>
      <c r="BV61" s="10" t="s">
        <v>352</v>
      </c>
      <c r="BW61" s="10" t="s">
        <v>352</v>
      </c>
      <c r="BX61" s="10" t="s">
        <v>352</v>
      </c>
      <c r="BY61" s="10" t="s">
        <v>352</v>
      </c>
      <c r="BZ61" s="10" t="s">
        <v>352</v>
      </c>
      <c r="CA61" s="10" t="s">
        <v>352</v>
      </c>
      <c r="CB61" s="10" t="s">
        <v>352</v>
      </c>
      <c r="CC61" s="10" t="s">
        <v>352</v>
      </c>
      <c r="CD61" s="10" t="s">
        <v>352</v>
      </c>
    </row>
    <row r="62" spans="1:82">
      <c r="A62" s="3" t="s">
        <v>418</v>
      </c>
      <c r="B62" s="3" t="s">
        <v>419</v>
      </c>
      <c r="C62" s="27" t="s">
        <v>420</v>
      </c>
      <c r="D62" s="3" t="s">
        <v>420</v>
      </c>
      <c r="E62" s="29">
        <v>8001</v>
      </c>
      <c r="F62" s="3" t="s">
        <v>426</v>
      </c>
      <c r="G62" s="4">
        <v>8108</v>
      </c>
      <c r="H62" s="10" t="s">
        <v>352</v>
      </c>
      <c r="I62" s="10" t="s">
        <v>352</v>
      </c>
      <c r="J62" s="10" t="s">
        <v>352</v>
      </c>
      <c r="K62" s="10" t="s">
        <v>352</v>
      </c>
      <c r="L62" s="10" t="s">
        <v>352</v>
      </c>
      <c r="M62" s="10" t="s">
        <v>352</v>
      </c>
      <c r="N62" s="10" t="s">
        <v>352</v>
      </c>
      <c r="O62" s="60">
        <v>1535.75</v>
      </c>
      <c r="P62" s="10" t="s">
        <v>352</v>
      </c>
      <c r="Q62" s="121">
        <v>933.24</v>
      </c>
      <c r="R62" s="123">
        <v>0.9</v>
      </c>
      <c r="S62" s="60">
        <v>581.75</v>
      </c>
      <c r="T62" s="10" t="s">
        <v>352</v>
      </c>
      <c r="U62" s="10" t="s">
        <v>352</v>
      </c>
      <c r="V62" s="10" t="s">
        <v>352</v>
      </c>
      <c r="W62" s="10" t="s">
        <v>352</v>
      </c>
      <c r="X62" s="10" t="s">
        <v>352</v>
      </c>
      <c r="Y62" s="10" t="s">
        <v>352</v>
      </c>
      <c r="Z62" s="10" t="s">
        <v>352</v>
      </c>
      <c r="AA62" s="10" t="s">
        <v>352</v>
      </c>
      <c r="AB62" s="10" t="s">
        <v>352</v>
      </c>
      <c r="AC62" s="10" t="s">
        <v>352</v>
      </c>
      <c r="AD62" s="10" t="s">
        <v>352</v>
      </c>
      <c r="AE62" s="10" t="s">
        <v>352</v>
      </c>
      <c r="AF62" s="10" t="s">
        <v>352</v>
      </c>
      <c r="AG62" s="10" t="s">
        <v>352</v>
      </c>
      <c r="AH62" s="10" t="s">
        <v>352</v>
      </c>
      <c r="AI62" s="10" t="s">
        <v>352</v>
      </c>
      <c r="AJ62" s="150">
        <v>5.48</v>
      </c>
      <c r="AK62" s="152">
        <v>141.19</v>
      </c>
      <c r="AL62" s="10" t="s">
        <v>352</v>
      </c>
      <c r="AM62" s="10" t="s">
        <v>352</v>
      </c>
      <c r="AN62" s="10" t="s">
        <v>352</v>
      </c>
      <c r="AO62" s="10" t="s">
        <v>352</v>
      </c>
      <c r="AP62" s="10" t="s">
        <v>352</v>
      </c>
      <c r="AQ62" s="160">
        <v>745.35</v>
      </c>
      <c r="AR62" s="161">
        <v>208.11</v>
      </c>
      <c r="AS62" s="10" t="s">
        <v>352</v>
      </c>
      <c r="AT62" s="122">
        <v>40.380000000000003</v>
      </c>
      <c r="AU62" s="122">
        <v>3.07</v>
      </c>
      <c r="AV62" s="61">
        <v>748.7639839463327</v>
      </c>
      <c r="AW62" s="61">
        <v>26.468411168834727</v>
      </c>
      <c r="AX62" s="131">
        <v>7.41</v>
      </c>
      <c r="AY62" s="10" t="s">
        <v>352</v>
      </c>
      <c r="AZ62" s="10" t="s">
        <v>352</v>
      </c>
      <c r="BA62" s="10" t="s">
        <v>352</v>
      </c>
      <c r="BB62" s="10" t="s">
        <v>352</v>
      </c>
      <c r="BC62" s="10" t="s">
        <v>352</v>
      </c>
      <c r="BD62" s="10" t="s">
        <v>352</v>
      </c>
      <c r="BE62" s="10" t="s">
        <v>352</v>
      </c>
      <c r="BF62" s="10" t="s">
        <v>352</v>
      </c>
      <c r="BG62" s="10" t="s">
        <v>352</v>
      </c>
      <c r="BH62" s="10" t="s">
        <v>352</v>
      </c>
      <c r="BI62" s="172" t="s">
        <v>351</v>
      </c>
      <c r="BJ62" s="10" t="s">
        <v>352</v>
      </c>
      <c r="BK62" s="10" t="s">
        <v>352</v>
      </c>
      <c r="BL62" s="10" t="s">
        <v>352</v>
      </c>
      <c r="BM62" s="10" t="s">
        <v>352</v>
      </c>
      <c r="BN62" s="10" t="s">
        <v>352</v>
      </c>
      <c r="BO62" s="10" t="s">
        <v>352</v>
      </c>
      <c r="BP62" s="10" t="s">
        <v>352</v>
      </c>
      <c r="BQ62" s="10" t="s">
        <v>352</v>
      </c>
      <c r="BR62" s="10" t="s">
        <v>352</v>
      </c>
      <c r="BS62" s="10" t="s">
        <v>352</v>
      </c>
      <c r="BT62" s="188" t="s">
        <v>353</v>
      </c>
      <c r="BU62" s="131">
        <v>27.56</v>
      </c>
      <c r="BV62" s="10" t="s">
        <v>352</v>
      </c>
      <c r="BW62" s="10" t="s">
        <v>352</v>
      </c>
      <c r="BX62" s="10" t="s">
        <v>352</v>
      </c>
      <c r="BY62" s="10" t="s">
        <v>352</v>
      </c>
      <c r="BZ62" s="10" t="s">
        <v>352</v>
      </c>
      <c r="CA62" s="10" t="s">
        <v>352</v>
      </c>
      <c r="CB62" s="10" t="s">
        <v>352</v>
      </c>
      <c r="CC62" s="10" t="s">
        <v>352</v>
      </c>
      <c r="CD62" s="10" t="s">
        <v>352</v>
      </c>
    </row>
    <row r="63" spans="1:82">
      <c r="A63" s="3" t="s">
        <v>418</v>
      </c>
      <c r="B63" s="3" t="s">
        <v>419</v>
      </c>
      <c r="C63" s="27" t="s">
        <v>420</v>
      </c>
      <c r="D63" s="3" t="s">
        <v>420</v>
      </c>
      <c r="E63" s="29">
        <v>8001</v>
      </c>
      <c r="F63" s="3" t="s">
        <v>427</v>
      </c>
      <c r="G63" s="4">
        <v>8109</v>
      </c>
      <c r="H63" s="10" t="s">
        <v>352</v>
      </c>
      <c r="I63" s="10" t="s">
        <v>352</v>
      </c>
      <c r="J63" s="10" t="s">
        <v>352</v>
      </c>
      <c r="K63" s="10" t="s">
        <v>352</v>
      </c>
      <c r="L63" s="10" t="s">
        <v>352</v>
      </c>
      <c r="M63" s="10" t="s">
        <v>352</v>
      </c>
      <c r="N63" s="10" t="s">
        <v>352</v>
      </c>
      <c r="O63" s="58" t="s">
        <v>351</v>
      </c>
      <c r="P63" s="10" t="s">
        <v>352</v>
      </c>
      <c r="Q63" s="121">
        <v>547.6</v>
      </c>
      <c r="R63" s="123">
        <v>1.4</v>
      </c>
      <c r="S63" s="60">
        <v>559.36</v>
      </c>
      <c r="T63" s="10" t="s">
        <v>352</v>
      </c>
      <c r="U63" s="10" t="s">
        <v>352</v>
      </c>
      <c r="V63" s="10" t="s">
        <v>352</v>
      </c>
      <c r="W63" s="10" t="s">
        <v>352</v>
      </c>
      <c r="X63" s="10" t="s">
        <v>352</v>
      </c>
      <c r="Y63" s="10" t="s">
        <v>352</v>
      </c>
      <c r="Z63" s="10" t="s">
        <v>352</v>
      </c>
      <c r="AA63" s="10" t="s">
        <v>352</v>
      </c>
      <c r="AB63" s="10" t="s">
        <v>352</v>
      </c>
      <c r="AC63" s="10" t="s">
        <v>352</v>
      </c>
      <c r="AD63" s="10" t="s">
        <v>352</v>
      </c>
      <c r="AE63" s="10" t="s">
        <v>352</v>
      </c>
      <c r="AF63" s="10" t="s">
        <v>352</v>
      </c>
      <c r="AG63" s="10" t="s">
        <v>352</v>
      </c>
      <c r="AH63" s="10" t="s">
        <v>352</v>
      </c>
      <c r="AI63" s="10" t="s">
        <v>352</v>
      </c>
      <c r="AJ63" s="150">
        <v>27.07</v>
      </c>
      <c r="AK63" s="152">
        <v>216.52</v>
      </c>
      <c r="AL63" s="10" t="s">
        <v>352</v>
      </c>
      <c r="AM63" s="10" t="s">
        <v>352</v>
      </c>
      <c r="AN63" s="10" t="s">
        <v>352</v>
      </c>
      <c r="AO63" s="10" t="s">
        <v>352</v>
      </c>
      <c r="AP63" s="10" t="s">
        <v>352</v>
      </c>
      <c r="AQ63" s="160">
        <v>562.29999999999995</v>
      </c>
      <c r="AR63" s="161">
        <v>297.27999999999997</v>
      </c>
      <c r="AS63" s="10" t="s">
        <v>352</v>
      </c>
      <c r="AT63" s="122">
        <v>41.75</v>
      </c>
      <c r="AU63" s="122">
        <v>1.46</v>
      </c>
      <c r="AV63" s="61">
        <v>268.74473462510531</v>
      </c>
      <c r="AW63" s="61">
        <v>6.4754042898707622</v>
      </c>
      <c r="AX63" s="131">
        <v>16.45</v>
      </c>
      <c r="AY63" s="10" t="s">
        <v>352</v>
      </c>
      <c r="AZ63" s="10" t="s">
        <v>352</v>
      </c>
      <c r="BA63" s="10" t="s">
        <v>352</v>
      </c>
      <c r="BB63" s="10" t="s">
        <v>352</v>
      </c>
      <c r="BC63" s="10" t="s">
        <v>352</v>
      </c>
      <c r="BD63" s="10" t="s">
        <v>352</v>
      </c>
      <c r="BE63" s="10" t="s">
        <v>352</v>
      </c>
      <c r="BF63" s="10" t="s">
        <v>352</v>
      </c>
      <c r="BG63" s="10" t="s">
        <v>352</v>
      </c>
      <c r="BH63" s="10" t="s">
        <v>352</v>
      </c>
      <c r="BI63" s="172" t="s">
        <v>351</v>
      </c>
      <c r="BJ63" s="10" t="s">
        <v>352</v>
      </c>
      <c r="BK63" s="10" t="s">
        <v>352</v>
      </c>
      <c r="BL63" s="10" t="s">
        <v>352</v>
      </c>
      <c r="BM63" s="10" t="s">
        <v>352</v>
      </c>
      <c r="BN63" s="10" t="s">
        <v>352</v>
      </c>
      <c r="BO63" s="10" t="s">
        <v>352</v>
      </c>
      <c r="BP63" s="10" t="s">
        <v>352</v>
      </c>
      <c r="BQ63" s="10" t="s">
        <v>352</v>
      </c>
      <c r="BR63" s="10" t="s">
        <v>352</v>
      </c>
      <c r="BS63" s="10" t="s">
        <v>352</v>
      </c>
      <c r="BT63" s="188" t="s">
        <v>355</v>
      </c>
      <c r="BU63" s="131">
        <v>77.28</v>
      </c>
      <c r="BV63" s="10" t="s">
        <v>352</v>
      </c>
      <c r="BW63" s="10" t="s">
        <v>352</v>
      </c>
      <c r="BX63" s="10" t="s">
        <v>352</v>
      </c>
      <c r="BY63" s="10" t="s">
        <v>352</v>
      </c>
      <c r="BZ63" s="10" t="s">
        <v>352</v>
      </c>
      <c r="CA63" s="10" t="s">
        <v>352</v>
      </c>
      <c r="CB63" s="10" t="s">
        <v>352</v>
      </c>
      <c r="CC63" s="10" t="s">
        <v>352</v>
      </c>
      <c r="CD63" s="10" t="s">
        <v>352</v>
      </c>
    </row>
    <row r="64" spans="1:82">
      <c r="A64" s="3" t="s">
        <v>418</v>
      </c>
      <c r="B64" s="3" t="s">
        <v>419</v>
      </c>
      <c r="C64" s="27" t="s">
        <v>420</v>
      </c>
      <c r="D64" s="3" t="s">
        <v>420</v>
      </c>
      <c r="E64" s="29">
        <v>8001</v>
      </c>
      <c r="F64" s="3" t="s">
        <v>428</v>
      </c>
      <c r="G64" s="4">
        <v>8110</v>
      </c>
      <c r="H64" s="10" t="s">
        <v>352</v>
      </c>
      <c r="I64" s="10" t="s">
        <v>352</v>
      </c>
      <c r="J64" s="10" t="s">
        <v>352</v>
      </c>
      <c r="K64" s="10" t="s">
        <v>352</v>
      </c>
      <c r="L64" s="10" t="s">
        <v>352</v>
      </c>
      <c r="M64" s="10" t="s">
        <v>352</v>
      </c>
      <c r="N64" s="10" t="s">
        <v>352</v>
      </c>
      <c r="O64" s="60">
        <v>1185.67</v>
      </c>
      <c r="P64" s="10" t="s">
        <v>352</v>
      </c>
      <c r="Q64" s="121">
        <v>641.72</v>
      </c>
      <c r="R64" s="123">
        <v>1.21</v>
      </c>
      <c r="S64" s="60">
        <v>477.99</v>
      </c>
      <c r="T64" s="10" t="s">
        <v>352</v>
      </c>
      <c r="U64" s="10" t="s">
        <v>352</v>
      </c>
      <c r="V64" s="10" t="s">
        <v>352</v>
      </c>
      <c r="W64" s="10" t="s">
        <v>352</v>
      </c>
      <c r="X64" s="10" t="s">
        <v>352</v>
      </c>
      <c r="Y64" s="10" t="s">
        <v>352</v>
      </c>
      <c r="Z64" s="10" t="s">
        <v>352</v>
      </c>
      <c r="AA64" s="10" t="s">
        <v>352</v>
      </c>
      <c r="AB64" s="10" t="s">
        <v>352</v>
      </c>
      <c r="AC64" s="10" t="s">
        <v>352</v>
      </c>
      <c r="AD64" s="10" t="s">
        <v>352</v>
      </c>
      <c r="AE64" s="10" t="s">
        <v>352</v>
      </c>
      <c r="AF64" s="10" t="s">
        <v>352</v>
      </c>
      <c r="AG64" s="10" t="s">
        <v>352</v>
      </c>
      <c r="AH64" s="10" t="s">
        <v>352</v>
      </c>
      <c r="AI64" s="10" t="s">
        <v>352</v>
      </c>
      <c r="AJ64" s="150">
        <v>5.05</v>
      </c>
      <c r="AK64" s="152">
        <v>162.30000000000001</v>
      </c>
      <c r="AL64" s="10" t="s">
        <v>352</v>
      </c>
      <c r="AM64" s="10" t="s">
        <v>352</v>
      </c>
      <c r="AN64" s="10" t="s">
        <v>352</v>
      </c>
      <c r="AO64" s="10" t="s">
        <v>352</v>
      </c>
      <c r="AP64" s="10" t="s">
        <v>352</v>
      </c>
      <c r="AQ64" s="160">
        <v>663.91</v>
      </c>
      <c r="AR64" s="161">
        <v>396.34</v>
      </c>
      <c r="AS64" s="10" t="s">
        <v>352</v>
      </c>
      <c r="AT64" s="122">
        <v>35.21</v>
      </c>
      <c r="AU64" s="122">
        <v>4.58</v>
      </c>
      <c r="AV64" s="61">
        <v>888.16487054423476</v>
      </c>
      <c r="AW64" s="61">
        <v>29.094698285389498</v>
      </c>
      <c r="AX64" s="131">
        <v>7.13</v>
      </c>
      <c r="AY64" s="10" t="s">
        <v>352</v>
      </c>
      <c r="AZ64" s="10" t="s">
        <v>352</v>
      </c>
      <c r="BA64" s="10" t="s">
        <v>352</v>
      </c>
      <c r="BB64" s="10" t="s">
        <v>352</v>
      </c>
      <c r="BC64" s="10" t="s">
        <v>352</v>
      </c>
      <c r="BD64" s="10" t="s">
        <v>352</v>
      </c>
      <c r="BE64" s="10" t="s">
        <v>352</v>
      </c>
      <c r="BF64" s="10" t="s">
        <v>352</v>
      </c>
      <c r="BG64" s="10" t="s">
        <v>352</v>
      </c>
      <c r="BH64" s="10" t="s">
        <v>352</v>
      </c>
      <c r="BI64" s="172" t="s">
        <v>351</v>
      </c>
      <c r="BJ64" s="10" t="s">
        <v>352</v>
      </c>
      <c r="BK64" s="10" t="s">
        <v>352</v>
      </c>
      <c r="BL64" s="10" t="s">
        <v>352</v>
      </c>
      <c r="BM64" s="10" t="s">
        <v>352</v>
      </c>
      <c r="BN64" s="10" t="s">
        <v>352</v>
      </c>
      <c r="BO64" s="10" t="s">
        <v>352</v>
      </c>
      <c r="BP64" s="10" t="s">
        <v>352</v>
      </c>
      <c r="BQ64" s="10" t="s">
        <v>352</v>
      </c>
      <c r="BR64" s="10" t="s">
        <v>352</v>
      </c>
      <c r="BS64" s="10" t="s">
        <v>352</v>
      </c>
      <c r="BT64" s="188" t="s">
        <v>353</v>
      </c>
      <c r="BU64" s="131">
        <v>29.5</v>
      </c>
      <c r="BV64" s="10" t="s">
        <v>352</v>
      </c>
      <c r="BW64" s="10" t="s">
        <v>352</v>
      </c>
      <c r="BX64" s="10" t="s">
        <v>352</v>
      </c>
      <c r="BY64" s="10" t="s">
        <v>352</v>
      </c>
      <c r="BZ64" s="10" t="s">
        <v>352</v>
      </c>
      <c r="CA64" s="10" t="s">
        <v>352</v>
      </c>
      <c r="CB64" s="10" t="s">
        <v>352</v>
      </c>
      <c r="CC64" s="10" t="s">
        <v>352</v>
      </c>
      <c r="CD64" s="10" t="s">
        <v>352</v>
      </c>
    </row>
    <row r="65" spans="1:82">
      <c r="A65" s="3" t="s">
        <v>418</v>
      </c>
      <c r="B65" s="3" t="s">
        <v>419</v>
      </c>
      <c r="C65" s="27" t="s">
        <v>420</v>
      </c>
      <c r="D65" s="3" t="s">
        <v>420</v>
      </c>
      <c r="E65" s="29">
        <v>8001</v>
      </c>
      <c r="F65" s="3" t="s">
        <v>429</v>
      </c>
      <c r="G65" s="4">
        <v>8111</v>
      </c>
      <c r="H65" s="10" t="s">
        <v>352</v>
      </c>
      <c r="I65" s="10" t="s">
        <v>352</v>
      </c>
      <c r="J65" s="10" t="s">
        <v>352</v>
      </c>
      <c r="K65" s="10" t="s">
        <v>352</v>
      </c>
      <c r="L65" s="10" t="s">
        <v>352</v>
      </c>
      <c r="M65" s="10" t="s">
        <v>352</v>
      </c>
      <c r="N65" s="10" t="s">
        <v>352</v>
      </c>
      <c r="O65" s="60">
        <v>1123.8599999999999</v>
      </c>
      <c r="P65" s="10" t="s">
        <v>352</v>
      </c>
      <c r="Q65" s="121">
        <v>661.34</v>
      </c>
      <c r="R65" s="123">
        <v>1.25</v>
      </c>
      <c r="S65" s="60">
        <v>623</v>
      </c>
      <c r="T65" s="10" t="s">
        <v>352</v>
      </c>
      <c r="U65" s="10" t="s">
        <v>352</v>
      </c>
      <c r="V65" s="10" t="s">
        <v>352</v>
      </c>
      <c r="W65" s="10" t="s">
        <v>352</v>
      </c>
      <c r="X65" s="10" t="s">
        <v>352</v>
      </c>
      <c r="Y65" s="10" t="s">
        <v>352</v>
      </c>
      <c r="Z65" s="10" t="s">
        <v>352</v>
      </c>
      <c r="AA65" s="10" t="s">
        <v>352</v>
      </c>
      <c r="AB65" s="10" t="s">
        <v>352</v>
      </c>
      <c r="AC65" s="10" t="s">
        <v>352</v>
      </c>
      <c r="AD65" s="10" t="s">
        <v>352</v>
      </c>
      <c r="AE65" s="10" t="s">
        <v>352</v>
      </c>
      <c r="AF65" s="10" t="s">
        <v>352</v>
      </c>
      <c r="AG65" s="10" t="s">
        <v>352</v>
      </c>
      <c r="AH65" s="10" t="s">
        <v>352</v>
      </c>
      <c r="AI65" s="10" t="s">
        <v>352</v>
      </c>
      <c r="AJ65" s="150">
        <v>3.41</v>
      </c>
      <c r="AK65" s="152">
        <v>194.11</v>
      </c>
      <c r="AL65" s="10" t="s">
        <v>352</v>
      </c>
      <c r="AM65" s="10" t="s">
        <v>352</v>
      </c>
      <c r="AN65" s="10" t="s">
        <v>352</v>
      </c>
      <c r="AO65" s="10" t="s">
        <v>352</v>
      </c>
      <c r="AP65" s="10" t="s">
        <v>352</v>
      </c>
      <c r="AQ65" s="160">
        <v>688.12</v>
      </c>
      <c r="AR65" s="161">
        <v>246.17</v>
      </c>
      <c r="AS65" s="10" t="s">
        <v>352</v>
      </c>
      <c r="AT65" s="122">
        <v>53.26</v>
      </c>
      <c r="AU65" s="122">
        <v>4.16</v>
      </c>
      <c r="AV65" s="61">
        <v>532.32448523939468</v>
      </c>
      <c r="AW65" s="61">
        <v>18.268657732976894</v>
      </c>
      <c r="AX65" s="131">
        <v>9.36</v>
      </c>
      <c r="AY65" s="10" t="s">
        <v>352</v>
      </c>
      <c r="AZ65" s="10" t="s">
        <v>352</v>
      </c>
      <c r="BA65" s="10" t="s">
        <v>352</v>
      </c>
      <c r="BB65" s="10" t="s">
        <v>352</v>
      </c>
      <c r="BC65" s="10" t="s">
        <v>352</v>
      </c>
      <c r="BD65" s="10" t="s">
        <v>352</v>
      </c>
      <c r="BE65" s="10" t="s">
        <v>352</v>
      </c>
      <c r="BF65" s="10" t="s">
        <v>352</v>
      </c>
      <c r="BG65" s="10" t="s">
        <v>352</v>
      </c>
      <c r="BH65" s="10" t="s">
        <v>352</v>
      </c>
      <c r="BI65" s="172" t="s">
        <v>351</v>
      </c>
      <c r="BJ65" s="10" t="s">
        <v>352</v>
      </c>
      <c r="BK65" s="10" t="s">
        <v>352</v>
      </c>
      <c r="BL65" s="10" t="s">
        <v>352</v>
      </c>
      <c r="BM65" s="10" t="s">
        <v>352</v>
      </c>
      <c r="BN65" s="10" t="s">
        <v>352</v>
      </c>
      <c r="BO65" s="10" t="s">
        <v>352</v>
      </c>
      <c r="BP65" s="10" t="s">
        <v>352</v>
      </c>
      <c r="BQ65" s="10" t="s">
        <v>352</v>
      </c>
      <c r="BR65" s="10" t="s">
        <v>352</v>
      </c>
      <c r="BS65" s="10" t="s">
        <v>352</v>
      </c>
      <c r="BT65" s="188" t="s">
        <v>353</v>
      </c>
      <c r="BU65" s="131">
        <v>74.010000000000005</v>
      </c>
      <c r="BV65" s="10" t="s">
        <v>352</v>
      </c>
      <c r="BW65" s="10" t="s">
        <v>352</v>
      </c>
      <c r="BX65" s="10" t="s">
        <v>352</v>
      </c>
      <c r="BY65" s="10" t="s">
        <v>352</v>
      </c>
      <c r="BZ65" s="10" t="s">
        <v>352</v>
      </c>
      <c r="CA65" s="10" t="s">
        <v>352</v>
      </c>
      <c r="CB65" s="10" t="s">
        <v>352</v>
      </c>
      <c r="CC65" s="10" t="s">
        <v>352</v>
      </c>
      <c r="CD65" s="10" t="s">
        <v>352</v>
      </c>
    </row>
    <row r="66" spans="1:82">
      <c r="A66" s="3" t="s">
        <v>418</v>
      </c>
      <c r="B66" s="3" t="s">
        <v>419</v>
      </c>
      <c r="C66" s="27" t="s">
        <v>420</v>
      </c>
      <c r="D66" s="3" t="s">
        <v>420</v>
      </c>
      <c r="E66" s="29">
        <v>8001</v>
      </c>
      <c r="F66" s="3" t="s">
        <v>430</v>
      </c>
      <c r="G66" s="4">
        <v>8112</v>
      </c>
      <c r="H66" s="10" t="s">
        <v>352</v>
      </c>
      <c r="I66" s="10" t="s">
        <v>352</v>
      </c>
      <c r="J66" s="10" t="s">
        <v>352</v>
      </c>
      <c r="K66" s="10" t="s">
        <v>352</v>
      </c>
      <c r="L66" s="10" t="s">
        <v>352</v>
      </c>
      <c r="M66" s="10" t="s">
        <v>352</v>
      </c>
      <c r="N66" s="10" t="s">
        <v>352</v>
      </c>
      <c r="O66" s="60">
        <v>646</v>
      </c>
      <c r="P66" s="10" t="s">
        <v>352</v>
      </c>
      <c r="Q66" s="121">
        <v>588.53</v>
      </c>
      <c r="R66" s="123">
        <v>0.88</v>
      </c>
      <c r="S66" s="60">
        <v>367.07</v>
      </c>
      <c r="T66" s="10" t="s">
        <v>352</v>
      </c>
      <c r="U66" s="10" t="s">
        <v>352</v>
      </c>
      <c r="V66" s="10" t="s">
        <v>352</v>
      </c>
      <c r="W66" s="10" t="s">
        <v>352</v>
      </c>
      <c r="X66" s="10" t="s">
        <v>352</v>
      </c>
      <c r="Y66" s="10" t="s">
        <v>352</v>
      </c>
      <c r="Z66" s="10" t="s">
        <v>352</v>
      </c>
      <c r="AA66" s="10" t="s">
        <v>352</v>
      </c>
      <c r="AB66" s="10" t="s">
        <v>352</v>
      </c>
      <c r="AC66" s="10" t="s">
        <v>352</v>
      </c>
      <c r="AD66" s="10" t="s">
        <v>352</v>
      </c>
      <c r="AE66" s="10" t="s">
        <v>352</v>
      </c>
      <c r="AF66" s="10" t="s">
        <v>352</v>
      </c>
      <c r="AG66" s="10" t="s">
        <v>352</v>
      </c>
      <c r="AH66" s="10" t="s">
        <v>352</v>
      </c>
      <c r="AI66" s="10" t="s">
        <v>352</v>
      </c>
      <c r="AJ66" s="150">
        <v>5.14</v>
      </c>
      <c r="AK66" s="152">
        <v>227.2</v>
      </c>
      <c r="AL66" s="10" t="s">
        <v>352</v>
      </c>
      <c r="AM66" s="10" t="s">
        <v>352</v>
      </c>
      <c r="AN66" s="10" t="s">
        <v>352</v>
      </c>
      <c r="AO66" s="10" t="s">
        <v>352</v>
      </c>
      <c r="AP66" s="10" t="s">
        <v>352</v>
      </c>
      <c r="AQ66" s="160">
        <v>646.48</v>
      </c>
      <c r="AR66" s="161">
        <v>251.51</v>
      </c>
      <c r="AS66" s="10" t="s">
        <v>352</v>
      </c>
      <c r="AT66" s="122">
        <v>26.14</v>
      </c>
      <c r="AU66" s="122">
        <v>2.04</v>
      </c>
      <c r="AV66" s="61">
        <v>404.33685689649667</v>
      </c>
      <c r="AW66" s="61">
        <v>13.015944815107993</v>
      </c>
      <c r="AX66" s="131">
        <v>4.1900000000000004</v>
      </c>
      <c r="AY66" s="10" t="s">
        <v>352</v>
      </c>
      <c r="AZ66" s="10" t="s">
        <v>352</v>
      </c>
      <c r="BA66" s="10" t="s">
        <v>352</v>
      </c>
      <c r="BB66" s="10" t="s">
        <v>352</v>
      </c>
      <c r="BC66" s="10" t="s">
        <v>352</v>
      </c>
      <c r="BD66" s="10" t="s">
        <v>352</v>
      </c>
      <c r="BE66" s="10" t="s">
        <v>352</v>
      </c>
      <c r="BF66" s="10" t="s">
        <v>352</v>
      </c>
      <c r="BG66" s="10" t="s">
        <v>352</v>
      </c>
      <c r="BH66" s="10" t="s">
        <v>352</v>
      </c>
      <c r="BI66" s="172" t="s">
        <v>351</v>
      </c>
      <c r="BJ66" s="10" t="s">
        <v>352</v>
      </c>
      <c r="BK66" s="10" t="s">
        <v>352</v>
      </c>
      <c r="BL66" s="10" t="s">
        <v>352</v>
      </c>
      <c r="BM66" s="10" t="s">
        <v>352</v>
      </c>
      <c r="BN66" s="10" t="s">
        <v>352</v>
      </c>
      <c r="BO66" s="10" t="s">
        <v>352</v>
      </c>
      <c r="BP66" s="10" t="s">
        <v>352</v>
      </c>
      <c r="BQ66" s="10" t="s">
        <v>352</v>
      </c>
      <c r="BR66" s="10" t="s">
        <v>352</v>
      </c>
      <c r="BS66" s="10" t="s">
        <v>352</v>
      </c>
      <c r="BT66" s="188" t="s">
        <v>355</v>
      </c>
      <c r="BU66" s="131">
        <v>44.54</v>
      </c>
      <c r="BV66" s="10" t="s">
        <v>352</v>
      </c>
      <c r="BW66" s="10" t="s">
        <v>352</v>
      </c>
      <c r="BX66" s="10" t="s">
        <v>352</v>
      </c>
      <c r="BY66" s="10" t="s">
        <v>352</v>
      </c>
      <c r="BZ66" s="10" t="s">
        <v>352</v>
      </c>
      <c r="CA66" s="10" t="s">
        <v>352</v>
      </c>
      <c r="CB66" s="10" t="s">
        <v>352</v>
      </c>
      <c r="CC66" s="10" t="s">
        <v>352</v>
      </c>
      <c r="CD66" s="10" t="s">
        <v>352</v>
      </c>
    </row>
    <row r="67" spans="1:82">
      <c r="A67" s="3" t="s">
        <v>418</v>
      </c>
      <c r="B67" s="3" t="s">
        <v>418</v>
      </c>
      <c r="C67" s="27" t="s">
        <v>349</v>
      </c>
      <c r="D67" s="3" t="s">
        <v>431</v>
      </c>
      <c r="E67" s="29">
        <v>8301</v>
      </c>
      <c r="F67" s="3" t="s">
        <v>432</v>
      </c>
      <c r="G67" s="4">
        <v>8301</v>
      </c>
      <c r="H67" s="10" t="s">
        <v>352</v>
      </c>
      <c r="I67" s="10" t="s">
        <v>352</v>
      </c>
      <c r="J67" s="10" t="s">
        <v>352</v>
      </c>
      <c r="K67" s="10" t="s">
        <v>352</v>
      </c>
      <c r="L67" s="10" t="s">
        <v>352</v>
      </c>
      <c r="M67" s="10" t="s">
        <v>352</v>
      </c>
      <c r="N67" s="10" t="s">
        <v>352</v>
      </c>
      <c r="O67" s="60">
        <v>883.5</v>
      </c>
      <c r="P67" s="10" t="s">
        <v>352</v>
      </c>
      <c r="Q67" s="121">
        <v>716.67</v>
      </c>
      <c r="R67" s="123">
        <v>1.32</v>
      </c>
      <c r="S67" s="60">
        <v>754.88</v>
      </c>
      <c r="T67" s="10" t="s">
        <v>352</v>
      </c>
      <c r="U67" s="10" t="s">
        <v>352</v>
      </c>
      <c r="V67" s="10" t="s">
        <v>352</v>
      </c>
      <c r="W67" s="10" t="s">
        <v>352</v>
      </c>
      <c r="X67" s="10" t="s">
        <v>352</v>
      </c>
      <c r="Y67" s="10" t="s">
        <v>352</v>
      </c>
      <c r="Z67" s="10" t="s">
        <v>352</v>
      </c>
      <c r="AA67" s="10" t="s">
        <v>352</v>
      </c>
      <c r="AB67" s="10" t="s">
        <v>352</v>
      </c>
      <c r="AC67" s="10" t="s">
        <v>352</v>
      </c>
      <c r="AD67" s="10" t="s">
        <v>352</v>
      </c>
      <c r="AE67" s="10" t="s">
        <v>352</v>
      </c>
      <c r="AF67" s="10" t="s">
        <v>352</v>
      </c>
      <c r="AG67" s="10" t="s">
        <v>352</v>
      </c>
      <c r="AH67" s="10" t="s">
        <v>352</v>
      </c>
      <c r="AI67" s="10" t="s">
        <v>352</v>
      </c>
      <c r="AJ67" s="150">
        <v>15.1</v>
      </c>
      <c r="AK67" s="152">
        <v>405.92</v>
      </c>
      <c r="AL67" s="10" t="s">
        <v>352</v>
      </c>
      <c r="AM67" s="10" t="s">
        <v>352</v>
      </c>
      <c r="AN67" s="10" t="s">
        <v>352</v>
      </c>
      <c r="AO67" s="10" t="s">
        <v>352</v>
      </c>
      <c r="AP67" s="10" t="s">
        <v>352</v>
      </c>
      <c r="AQ67" s="160">
        <v>755.39</v>
      </c>
      <c r="AR67" s="161">
        <v>542.64</v>
      </c>
      <c r="AS67" s="10" t="s">
        <v>352</v>
      </c>
      <c r="AT67" s="122">
        <v>48.01</v>
      </c>
      <c r="AU67" s="122">
        <v>5.1100000000000003</v>
      </c>
      <c r="AV67" s="61">
        <v>573.79654099621996</v>
      </c>
      <c r="AW67" s="61">
        <v>15.699151088025994</v>
      </c>
      <c r="AX67" s="131">
        <v>7.2</v>
      </c>
      <c r="AY67" s="10" t="s">
        <v>352</v>
      </c>
      <c r="AZ67" s="10" t="s">
        <v>352</v>
      </c>
      <c r="BA67" s="10" t="s">
        <v>352</v>
      </c>
      <c r="BB67" s="10" t="s">
        <v>352</v>
      </c>
      <c r="BC67" s="10" t="s">
        <v>352</v>
      </c>
      <c r="BD67" s="10" t="s">
        <v>352</v>
      </c>
      <c r="BE67" s="10" t="s">
        <v>352</v>
      </c>
      <c r="BF67" s="10" t="s">
        <v>352</v>
      </c>
      <c r="BG67" s="10" t="s">
        <v>352</v>
      </c>
      <c r="BH67" s="10" t="s">
        <v>352</v>
      </c>
      <c r="BI67" s="172" t="s">
        <v>351</v>
      </c>
      <c r="BJ67" s="10" t="s">
        <v>352</v>
      </c>
      <c r="BK67" s="10" t="s">
        <v>352</v>
      </c>
      <c r="BL67" s="10" t="s">
        <v>352</v>
      </c>
      <c r="BM67" s="10" t="s">
        <v>352</v>
      </c>
      <c r="BN67" s="10" t="s">
        <v>352</v>
      </c>
      <c r="BO67" s="10" t="s">
        <v>352</v>
      </c>
      <c r="BP67" s="10" t="s">
        <v>352</v>
      </c>
      <c r="BQ67" s="10" t="s">
        <v>352</v>
      </c>
      <c r="BR67" s="10" t="s">
        <v>352</v>
      </c>
      <c r="BS67" s="10" t="s">
        <v>352</v>
      </c>
      <c r="BT67" s="188" t="s">
        <v>353</v>
      </c>
      <c r="BU67" s="131">
        <v>42.58</v>
      </c>
      <c r="BV67" s="10" t="s">
        <v>352</v>
      </c>
      <c r="BW67" s="10" t="s">
        <v>352</v>
      </c>
      <c r="BX67" s="10" t="s">
        <v>352</v>
      </c>
      <c r="BY67" s="10" t="s">
        <v>352</v>
      </c>
      <c r="BZ67" s="10" t="s">
        <v>352</v>
      </c>
      <c r="CA67" s="10" t="s">
        <v>352</v>
      </c>
      <c r="CB67" s="10" t="s">
        <v>352</v>
      </c>
      <c r="CC67" s="10" t="s">
        <v>352</v>
      </c>
      <c r="CD67" s="10" t="s">
        <v>352</v>
      </c>
    </row>
    <row r="68" spans="1:82">
      <c r="A68" s="3" t="s">
        <v>418</v>
      </c>
      <c r="B68" s="3" t="s">
        <v>418</v>
      </c>
      <c r="C68" s="27" t="s">
        <v>349</v>
      </c>
      <c r="D68" s="3" t="s">
        <v>431</v>
      </c>
      <c r="E68" s="29">
        <v>8301</v>
      </c>
      <c r="F68" s="6" t="s">
        <v>433</v>
      </c>
      <c r="G68" s="4">
        <v>8306</v>
      </c>
      <c r="H68" s="10" t="s">
        <v>352</v>
      </c>
      <c r="I68" s="10" t="s">
        <v>352</v>
      </c>
      <c r="J68" s="10" t="s">
        <v>352</v>
      </c>
      <c r="K68" s="10" t="s">
        <v>352</v>
      </c>
      <c r="L68" s="10" t="s">
        <v>352</v>
      </c>
      <c r="M68" s="10" t="s">
        <v>352</v>
      </c>
      <c r="N68" s="10" t="s">
        <v>352</v>
      </c>
      <c r="O68" s="60">
        <v>943.41</v>
      </c>
      <c r="P68" s="10" t="s">
        <v>352</v>
      </c>
      <c r="Q68" s="121">
        <v>580.34</v>
      </c>
      <c r="R68" s="123">
        <v>1.39</v>
      </c>
      <c r="S68" s="60">
        <v>588.33000000000004</v>
      </c>
      <c r="T68" s="10" t="s">
        <v>352</v>
      </c>
      <c r="U68" s="10" t="s">
        <v>352</v>
      </c>
      <c r="V68" s="10" t="s">
        <v>352</v>
      </c>
      <c r="W68" s="10" t="s">
        <v>352</v>
      </c>
      <c r="X68" s="10" t="s">
        <v>352</v>
      </c>
      <c r="Y68" s="10" t="s">
        <v>352</v>
      </c>
      <c r="Z68" s="10" t="s">
        <v>352</v>
      </c>
      <c r="AA68" s="10" t="s">
        <v>352</v>
      </c>
      <c r="AB68" s="10" t="s">
        <v>352</v>
      </c>
      <c r="AC68" s="10" t="s">
        <v>352</v>
      </c>
      <c r="AD68" s="10" t="s">
        <v>352</v>
      </c>
      <c r="AE68" s="10" t="s">
        <v>352</v>
      </c>
      <c r="AF68" s="10" t="s">
        <v>352</v>
      </c>
      <c r="AG68" s="10" t="s">
        <v>352</v>
      </c>
      <c r="AH68" s="10" t="s">
        <v>352</v>
      </c>
      <c r="AI68" s="10" t="s">
        <v>352</v>
      </c>
      <c r="AJ68" s="150">
        <v>10.74</v>
      </c>
      <c r="AK68" s="152">
        <v>365.02</v>
      </c>
      <c r="AL68" s="10" t="s">
        <v>352</v>
      </c>
      <c r="AM68" s="10" t="s">
        <v>352</v>
      </c>
      <c r="AN68" s="10" t="s">
        <v>352</v>
      </c>
      <c r="AO68" s="10" t="s">
        <v>352</v>
      </c>
      <c r="AP68" s="10" t="s">
        <v>352</v>
      </c>
      <c r="AQ68" s="160">
        <v>529.1</v>
      </c>
      <c r="AR68" s="161">
        <v>201.65</v>
      </c>
      <c r="AS68" s="10" t="s">
        <v>352</v>
      </c>
      <c r="AT68" s="122">
        <v>37.369999999999997</v>
      </c>
      <c r="AU68" s="122">
        <v>1.88</v>
      </c>
      <c r="AV68" s="61">
        <v>475.51673228346459</v>
      </c>
      <c r="AW68" s="61">
        <v>13.831233896364155</v>
      </c>
      <c r="AX68" s="131">
        <v>25.55</v>
      </c>
      <c r="AY68" s="10" t="s">
        <v>352</v>
      </c>
      <c r="AZ68" s="10" t="s">
        <v>352</v>
      </c>
      <c r="BA68" s="10" t="s">
        <v>352</v>
      </c>
      <c r="BB68" s="10" t="s">
        <v>352</v>
      </c>
      <c r="BC68" s="10" t="s">
        <v>352</v>
      </c>
      <c r="BD68" s="10" t="s">
        <v>352</v>
      </c>
      <c r="BE68" s="10" t="s">
        <v>352</v>
      </c>
      <c r="BF68" s="10" t="s">
        <v>352</v>
      </c>
      <c r="BG68" s="10" t="s">
        <v>352</v>
      </c>
      <c r="BH68" s="10" t="s">
        <v>352</v>
      </c>
      <c r="BI68" s="172" t="s">
        <v>351</v>
      </c>
      <c r="BJ68" s="10" t="s">
        <v>352</v>
      </c>
      <c r="BK68" s="10" t="s">
        <v>352</v>
      </c>
      <c r="BL68" s="10" t="s">
        <v>352</v>
      </c>
      <c r="BM68" s="10" t="s">
        <v>352</v>
      </c>
      <c r="BN68" s="10" t="s">
        <v>352</v>
      </c>
      <c r="BO68" s="10" t="s">
        <v>352</v>
      </c>
      <c r="BP68" s="10" t="s">
        <v>352</v>
      </c>
      <c r="BQ68" s="10" t="s">
        <v>352</v>
      </c>
      <c r="BR68" s="10" t="s">
        <v>352</v>
      </c>
      <c r="BS68" s="10" t="s">
        <v>352</v>
      </c>
      <c r="BT68" s="188" t="s">
        <v>355</v>
      </c>
      <c r="BU68" s="131">
        <v>60.71</v>
      </c>
      <c r="BV68" s="10" t="s">
        <v>352</v>
      </c>
      <c r="BW68" s="10" t="s">
        <v>352</v>
      </c>
      <c r="BX68" s="10" t="s">
        <v>352</v>
      </c>
      <c r="BY68" s="10" t="s">
        <v>352</v>
      </c>
      <c r="BZ68" s="10" t="s">
        <v>352</v>
      </c>
      <c r="CA68" s="10" t="s">
        <v>352</v>
      </c>
      <c r="CB68" s="10" t="s">
        <v>352</v>
      </c>
      <c r="CC68" s="10" t="s">
        <v>352</v>
      </c>
      <c r="CD68" s="10" t="s">
        <v>352</v>
      </c>
    </row>
    <row r="69" spans="1:82">
      <c r="A69" s="3" t="s">
        <v>434</v>
      </c>
      <c r="B69" s="3" t="s">
        <v>435</v>
      </c>
      <c r="C69" s="27" t="s">
        <v>349</v>
      </c>
      <c r="D69" s="3" t="s">
        <v>436</v>
      </c>
      <c r="E69" s="29">
        <v>9001</v>
      </c>
      <c r="F69" s="3" t="s">
        <v>437</v>
      </c>
      <c r="G69" s="4">
        <v>9101</v>
      </c>
      <c r="H69" s="10" t="s">
        <v>352</v>
      </c>
      <c r="I69" s="10" t="s">
        <v>352</v>
      </c>
      <c r="J69" s="10" t="s">
        <v>352</v>
      </c>
      <c r="K69" s="10" t="s">
        <v>352</v>
      </c>
      <c r="L69" s="10" t="s">
        <v>352</v>
      </c>
      <c r="M69" s="10" t="s">
        <v>352</v>
      </c>
      <c r="N69" s="10" t="s">
        <v>352</v>
      </c>
      <c r="O69" s="60">
        <v>1243.69</v>
      </c>
      <c r="P69" s="10" t="s">
        <v>352</v>
      </c>
      <c r="Q69" s="121">
        <v>830.99</v>
      </c>
      <c r="R69" s="123">
        <v>1.43</v>
      </c>
      <c r="S69" s="60">
        <v>619.5</v>
      </c>
      <c r="T69" s="10" t="s">
        <v>352</v>
      </c>
      <c r="U69" s="10" t="s">
        <v>352</v>
      </c>
      <c r="V69" s="10" t="s">
        <v>352</v>
      </c>
      <c r="W69" s="10" t="s">
        <v>352</v>
      </c>
      <c r="X69" s="10" t="s">
        <v>352</v>
      </c>
      <c r="Y69" s="10" t="s">
        <v>352</v>
      </c>
      <c r="Z69" s="10" t="s">
        <v>352</v>
      </c>
      <c r="AA69" s="10" t="s">
        <v>352</v>
      </c>
      <c r="AB69" s="10" t="s">
        <v>352</v>
      </c>
      <c r="AC69" s="10" t="s">
        <v>352</v>
      </c>
      <c r="AD69" s="10" t="s">
        <v>352</v>
      </c>
      <c r="AE69" s="10" t="s">
        <v>352</v>
      </c>
      <c r="AF69" s="10" t="s">
        <v>352</v>
      </c>
      <c r="AG69" s="10" t="s">
        <v>352</v>
      </c>
      <c r="AH69" s="10" t="s">
        <v>352</v>
      </c>
      <c r="AI69" s="10" t="s">
        <v>352</v>
      </c>
      <c r="AJ69" s="150">
        <v>2.64</v>
      </c>
      <c r="AK69" s="152">
        <v>252.86</v>
      </c>
      <c r="AL69" s="10" t="s">
        <v>352</v>
      </c>
      <c r="AM69" s="10" t="s">
        <v>352</v>
      </c>
      <c r="AN69" s="10" t="s">
        <v>352</v>
      </c>
      <c r="AO69" s="10" t="s">
        <v>352</v>
      </c>
      <c r="AP69" s="10" t="s">
        <v>352</v>
      </c>
      <c r="AQ69" s="160">
        <v>735.31</v>
      </c>
      <c r="AR69" s="161">
        <v>486.93</v>
      </c>
      <c r="AS69" s="10" t="s">
        <v>352</v>
      </c>
      <c r="AT69" s="122">
        <v>34.82</v>
      </c>
      <c r="AU69" s="122">
        <v>2.06</v>
      </c>
      <c r="AV69" s="61">
        <v>645.26794587569759</v>
      </c>
      <c r="AW69" s="61">
        <v>22.2908847229237</v>
      </c>
      <c r="AX69" s="131">
        <v>6.03</v>
      </c>
      <c r="AY69" s="10" t="s">
        <v>352</v>
      </c>
      <c r="AZ69" s="10" t="s">
        <v>352</v>
      </c>
      <c r="BA69" s="10" t="s">
        <v>352</v>
      </c>
      <c r="BB69" s="10" t="s">
        <v>352</v>
      </c>
      <c r="BC69" s="10" t="s">
        <v>352</v>
      </c>
      <c r="BD69" s="10" t="s">
        <v>352</v>
      </c>
      <c r="BE69" s="10" t="s">
        <v>352</v>
      </c>
      <c r="BF69" s="10" t="s">
        <v>352</v>
      </c>
      <c r="BG69" s="10" t="s">
        <v>352</v>
      </c>
      <c r="BH69" s="10" t="s">
        <v>352</v>
      </c>
      <c r="BI69" s="172">
        <v>10506</v>
      </c>
      <c r="BJ69" s="10" t="s">
        <v>352</v>
      </c>
      <c r="BK69" s="10" t="s">
        <v>352</v>
      </c>
      <c r="BL69" s="10" t="s">
        <v>352</v>
      </c>
      <c r="BM69" s="10" t="s">
        <v>352</v>
      </c>
      <c r="BN69" s="10" t="s">
        <v>352</v>
      </c>
      <c r="BO69" s="10" t="s">
        <v>352</v>
      </c>
      <c r="BP69" s="10" t="s">
        <v>352</v>
      </c>
      <c r="BQ69" s="10" t="s">
        <v>352</v>
      </c>
      <c r="BR69" s="10" t="s">
        <v>352</v>
      </c>
      <c r="BS69" s="10" t="s">
        <v>352</v>
      </c>
      <c r="BT69" s="188" t="s">
        <v>353</v>
      </c>
      <c r="BU69" s="131">
        <v>40.39</v>
      </c>
      <c r="BV69" s="10" t="s">
        <v>352</v>
      </c>
      <c r="BW69" s="10" t="s">
        <v>352</v>
      </c>
      <c r="BX69" s="10" t="s">
        <v>352</v>
      </c>
      <c r="BY69" s="10" t="s">
        <v>352</v>
      </c>
      <c r="BZ69" s="10" t="s">
        <v>352</v>
      </c>
      <c r="CA69" s="10" t="s">
        <v>352</v>
      </c>
      <c r="CB69" s="10" t="s">
        <v>352</v>
      </c>
      <c r="CC69" s="10" t="s">
        <v>352</v>
      </c>
      <c r="CD69" s="10" t="s">
        <v>352</v>
      </c>
    </row>
    <row r="70" spans="1:82">
      <c r="A70" s="3" t="s">
        <v>434</v>
      </c>
      <c r="B70" s="3" t="s">
        <v>435</v>
      </c>
      <c r="C70" s="27" t="s">
        <v>349</v>
      </c>
      <c r="D70" s="3" t="s">
        <v>436</v>
      </c>
      <c r="E70" s="29">
        <v>9001</v>
      </c>
      <c r="F70" s="3" t="s">
        <v>438</v>
      </c>
      <c r="G70" s="4">
        <v>9112</v>
      </c>
      <c r="H70" s="10" t="s">
        <v>352</v>
      </c>
      <c r="I70" s="10" t="s">
        <v>352</v>
      </c>
      <c r="J70" s="10" t="s">
        <v>352</v>
      </c>
      <c r="K70" s="10" t="s">
        <v>352</v>
      </c>
      <c r="L70" s="10" t="s">
        <v>352</v>
      </c>
      <c r="M70" s="10" t="s">
        <v>352</v>
      </c>
      <c r="N70" s="10" t="s">
        <v>352</v>
      </c>
      <c r="O70" s="60">
        <v>777.77</v>
      </c>
      <c r="P70" s="10" t="s">
        <v>352</v>
      </c>
      <c r="Q70" s="121">
        <v>644.38</v>
      </c>
      <c r="R70" s="123">
        <v>0.81</v>
      </c>
      <c r="S70" s="60">
        <v>540.19000000000005</v>
      </c>
      <c r="T70" s="10" t="s">
        <v>352</v>
      </c>
      <c r="U70" s="10" t="s">
        <v>352</v>
      </c>
      <c r="V70" s="10" t="s">
        <v>352</v>
      </c>
      <c r="W70" s="10" t="s">
        <v>352</v>
      </c>
      <c r="X70" s="10" t="s">
        <v>352</v>
      </c>
      <c r="Y70" s="10" t="s">
        <v>352</v>
      </c>
      <c r="Z70" s="10" t="s">
        <v>352</v>
      </c>
      <c r="AA70" s="10" t="s">
        <v>352</v>
      </c>
      <c r="AB70" s="10" t="s">
        <v>352</v>
      </c>
      <c r="AC70" s="10" t="s">
        <v>352</v>
      </c>
      <c r="AD70" s="10" t="s">
        <v>352</v>
      </c>
      <c r="AE70" s="10" t="s">
        <v>352</v>
      </c>
      <c r="AF70" s="10" t="s">
        <v>352</v>
      </c>
      <c r="AG70" s="10" t="s">
        <v>352</v>
      </c>
      <c r="AH70" s="10" t="s">
        <v>352</v>
      </c>
      <c r="AI70" s="10" t="s">
        <v>352</v>
      </c>
      <c r="AJ70" s="150">
        <v>8.5299999999999994</v>
      </c>
      <c r="AK70" s="152">
        <v>237.49</v>
      </c>
      <c r="AL70" s="10" t="s">
        <v>352</v>
      </c>
      <c r="AM70" s="10" t="s">
        <v>352</v>
      </c>
      <c r="AN70" s="10" t="s">
        <v>352</v>
      </c>
      <c r="AO70" s="10" t="s">
        <v>352</v>
      </c>
      <c r="AP70" s="10" t="s">
        <v>352</v>
      </c>
      <c r="AQ70" s="160">
        <v>492.95</v>
      </c>
      <c r="AR70" s="161">
        <v>291.99</v>
      </c>
      <c r="AS70" s="10" t="s">
        <v>352</v>
      </c>
      <c r="AT70" s="122">
        <v>32.61</v>
      </c>
      <c r="AU70" s="122">
        <v>2.23</v>
      </c>
      <c r="AV70" s="61">
        <v>253.38296992259058</v>
      </c>
      <c r="AW70" s="61">
        <v>5.2222628181707469</v>
      </c>
      <c r="AX70" s="131">
        <v>16.63</v>
      </c>
      <c r="AY70" s="10" t="s">
        <v>352</v>
      </c>
      <c r="AZ70" s="10" t="s">
        <v>352</v>
      </c>
      <c r="BA70" s="10" t="s">
        <v>352</v>
      </c>
      <c r="BB70" s="10" t="s">
        <v>352</v>
      </c>
      <c r="BC70" s="10" t="s">
        <v>352</v>
      </c>
      <c r="BD70" s="10" t="s">
        <v>352</v>
      </c>
      <c r="BE70" s="10" t="s">
        <v>352</v>
      </c>
      <c r="BF70" s="10" t="s">
        <v>352</v>
      </c>
      <c r="BG70" s="10" t="s">
        <v>352</v>
      </c>
      <c r="BH70" s="10" t="s">
        <v>352</v>
      </c>
      <c r="BI70" s="172" t="s">
        <v>351</v>
      </c>
      <c r="BJ70" s="10" t="s">
        <v>352</v>
      </c>
      <c r="BK70" s="10" t="s">
        <v>352</v>
      </c>
      <c r="BL70" s="10" t="s">
        <v>352</v>
      </c>
      <c r="BM70" s="10" t="s">
        <v>352</v>
      </c>
      <c r="BN70" s="10" t="s">
        <v>352</v>
      </c>
      <c r="BO70" s="10" t="s">
        <v>352</v>
      </c>
      <c r="BP70" s="10" t="s">
        <v>352</v>
      </c>
      <c r="BQ70" s="10" t="s">
        <v>352</v>
      </c>
      <c r="BR70" s="10" t="s">
        <v>352</v>
      </c>
      <c r="BS70" s="10" t="s">
        <v>352</v>
      </c>
      <c r="BT70" s="188" t="s">
        <v>355</v>
      </c>
      <c r="BU70" s="131">
        <v>65.650000000000006</v>
      </c>
      <c r="BV70" s="10" t="s">
        <v>352</v>
      </c>
      <c r="BW70" s="10" t="s">
        <v>352</v>
      </c>
      <c r="BX70" s="10" t="s">
        <v>352</v>
      </c>
      <c r="BY70" s="10" t="s">
        <v>352</v>
      </c>
      <c r="BZ70" s="10" t="s">
        <v>352</v>
      </c>
      <c r="CA70" s="10" t="s">
        <v>352</v>
      </c>
      <c r="CB70" s="10" t="s">
        <v>352</v>
      </c>
      <c r="CC70" s="10" t="s">
        <v>352</v>
      </c>
      <c r="CD70" s="10" t="s">
        <v>352</v>
      </c>
    </row>
    <row r="71" spans="1:82">
      <c r="A71" s="3" t="s">
        <v>434</v>
      </c>
      <c r="B71" s="5" t="s">
        <v>435</v>
      </c>
      <c r="C71" s="27" t="s">
        <v>349</v>
      </c>
      <c r="D71" s="5" t="s">
        <v>439</v>
      </c>
      <c r="E71" s="29">
        <v>9120</v>
      </c>
      <c r="F71" s="5" t="s">
        <v>439</v>
      </c>
      <c r="G71" s="4">
        <v>9120</v>
      </c>
      <c r="H71" s="10" t="s">
        <v>352</v>
      </c>
      <c r="I71" s="10" t="s">
        <v>352</v>
      </c>
      <c r="J71" s="10" t="s">
        <v>352</v>
      </c>
      <c r="K71" s="10" t="s">
        <v>352</v>
      </c>
      <c r="L71" s="10" t="s">
        <v>352</v>
      </c>
      <c r="M71" s="10" t="s">
        <v>352</v>
      </c>
      <c r="N71" s="10" t="s">
        <v>352</v>
      </c>
      <c r="O71" s="60">
        <v>799.41</v>
      </c>
      <c r="P71" s="10" t="s">
        <v>352</v>
      </c>
      <c r="Q71" s="121">
        <v>614.16</v>
      </c>
      <c r="R71" s="123">
        <v>2.0299999999999998</v>
      </c>
      <c r="S71" s="60">
        <v>678.54</v>
      </c>
      <c r="T71" s="10" t="s">
        <v>352</v>
      </c>
      <c r="U71" s="10" t="s">
        <v>352</v>
      </c>
      <c r="V71" s="10" t="s">
        <v>352</v>
      </c>
      <c r="W71" s="10" t="s">
        <v>352</v>
      </c>
      <c r="X71" s="10" t="s">
        <v>352</v>
      </c>
      <c r="Y71" s="10" t="s">
        <v>352</v>
      </c>
      <c r="Z71" s="10" t="s">
        <v>352</v>
      </c>
      <c r="AA71" s="10" t="s">
        <v>352</v>
      </c>
      <c r="AB71" s="10" t="s">
        <v>352</v>
      </c>
      <c r="AC71" s="10" t="s">
        <v>352</v>
      </c>
      <c r="AD71" s="10" t="s">
        <v>352</v>
      </c>
      <c r="AE71" s="10" t="s">
        <v>352</v>
      </c>
      <c r="AF71" s="10" t="s">
        <v>352</v>
      </c>
      <c r="AG71" s="10" t="s">
        <v>352</v>
      </c>
      <c r="AH71" s="10" t="s">
        <v>352</v>
      </c>
      <c r="AI71" s="10" t="s">
        <v>352</v>
      </c>
      <c r="AJ71" s="150">
        <v>15.23</v>
      </c>
      <c r="AK71" s="152">
        <v>620.95000000000005</v>
      </c>
      <c r="AL71" s="10" t="s">
        <v>352</v>
      </c>
      <c r="AM71" s="10" t="s">
        <v>352</v>
      </c>
      <c r="AN71" s="10" t="s">
        <v>352</v>
      </c>
      <c r="AO71" s="10" t="s">
        <v>352</v>
      </c>
      <c r="AP71" s="10" t="s">
        <v>352</v>
      </c>
      <c r="AQ71" s="160">
        <v>830.47</v>
      </c>
      <c r="AR71" s="161">
        <v>671.4</v>
      </c>
      <c r="AS71" s="10" t="s">
        <v>352</v>
      </c>
      <c r="AT71" s="122">
        <v>62.85</v>
      </c>
      <c r="AU71" s="122">
        <v>8.56</v>
      </c>
      <c r="AV71" s="61">
        <v>342.64473980626269</v>
      </c>
      <c r="AW71" s="61">
        <v>10.293893710979138</v>
      </c>
      <c r="AX71" s="131">
        <v>23.86</v>
      </c>
      <c r="AY71" s="10" t="s">
        <v>352</v>
      </c>
      <c r="AZ71" s="10" t="s">
        <v>352</v>
      </c>
      <c r="BA71" s="10" t="s">
        <v>352</v>
      </c>
      <c r="BB71" s="10" t="s">
        <v>352</v>
      </c>
      <c r="BC71" s="10" t="s">
        <v>352</v>
      </c>
      <c r="BD71" s="10" t="s">
        <v>352</v>
      </c>
      <c r="BE71" s="10" t="s">
        <v>352</v>
      </c>
      <c r="BF71" s="10" t="s">
        <v>352</v>
      </c>
      <c r="BG71" s="10" t="s">
        <v>352</v>
      </c>
      <c r="BH71" s="10" t="s">
        <v>352</v>
      </c>
      <c r="BI71" s="172" t="s">
        <v>351</v>
      </c>
      <c r="BJ71" s="10" t="s">
        <v>352</v>
      </c>
      <c r="BK71" s="10" t="s">
        <v>352</v>
      </c>
      <c r="BL71" s="10" t="s">
        <v>352</v>
      </c>
      <c r="BM71" s="10" t="s">
        <v>352</v>
      </c>
      <c r="BN71" s="10" t="s">
        <v>352</v>
      </c>
      <c r="BO71" s="10" t="s">
        <v>352</v>
      </c>
      <c r="BP71" s="10" t="s">
        <v>352</v>
      </c>
      <c r="BQ71" s="10" t="s">
        <v>352</v>
      </c>
      <c r="BR71" s="10" t="s">
        <v>352</v>
      </c>
      <c r="BS71" s="10" t="s">
        <v>352</v>
      </c>
      <c r="BT71" s="188" t="s">
        <v>353</v>
      </c>
      <c r="BU71" s="131">
        <v>41.13</v>
      </c>
      <c r="BV71" s="10" t="s">
        <v>352</v>
      </c>
      <c r="BW71" s="10" t="s">
        <v>352</v>
      </c>
      <c r="BX71" s="10" t="s">
        <v>352</v>
      </c>
      <c r="BY71" s="10" t="s">
        <v>352</v>
      </c>
      <c r="BZ71" s="10" t="s">
        <v>352</v>
      </c>
      <c r="CA71" s="10" t="s">
        <v>352</v>
      </c>
      <c r="CB71" s="10" t="s">
        <v>352</v>
      </c>
      <c r="CC71" s="10" t="s">
        <v>352</v>
      </c>
      <c r="CD71" s="10" t="s">
        <v>352</v>
      </c>
    </row>
    <row r="72" spans="1:82">
      <c r="A72" s="3" t="s">
        <v>434</v>
      </c>
      <c r="B72" s="5" t="s">
        <v>440</v>
      </c>
      <c r="C72" s="27" t="s">
        <v>349</v>
      </c>
      <c r="D72" s="5" t="s">
        <v>441</v>
      </c>
      <c r="E72" s="29">
        <v>9201</v>
      </c>
      <c r="F72" s="5" t="s">
        <v>441</v>
      </c>
      <c r="G72" s="4">
        <v>9201</v>
      </c>
      <c r="H72" s="10" t="s">
        <v>352</v>
      </c>
      <c r="I72" s="10" t="s">
        <v>352</v>
      </c>
      <c r="J72" s="10" t="s">
        <v>352</v>
      </c>
      <c r="K72" s="10" t="s">
        <v>352</v>
      </c>
      <c r="L72" s="10" t="s">
        <v>352</v>
      </c>
      <c r="M72" s="10" t="s">
        <v>352</v>
      </c>
      <c r="N72" s="10" t="s">
        <v>352</v>
      </c>
      <c r="O72" s="60">
        <v>1031.82</v>
      </c>
      <c r="P72" s="10" t="s">
        <v>352</v>
      </c>
      <c r="Q72" s="121">
        <v>775.23</v>
      </c>
      <c r="R72" s="123">
        <v>1.39</v>
      </c>
      <c r="S72" s="60">
        <v>372.44</v>
      </c>
      <c r="T72" s="10" t="s">
        <v>352</v>
      </c>
      <c r="U72" s="10" t="s">
        <v>352</v>
      </c>
      <c r="V72" s="10" t="s">
        <v>352</v>
      </c>
      <c r="W72" s="10" t="s">
        <v>352</v>
      </c>
      <c r="X72" s="10" t="s">
        <v>352</v>
      </c>
      <c r="Y72" s="10" t="s">
        <v>352</v>
      </c>
      <c r="Z72" s="10" t="s">
        <v>352</v>
      </c>
      <c r="AA72" s="10" t="s">
        <v>352</v>
      </c>
      <c r="AB72" s="10" t="s">
        <v>352</v>
      </c>
      <c r="AC72" s="10" t="s">
        <v>352</v>
      </c>
      <c r="AD72" s="10" t="s">
        <v>352</v>
      </c>
      <c r="AE72" s="10" t="s">
        <v>352</v>
      </c>
      <c r="AF72" s="10" t="s">
        <v>352</v>
      </c>
      <c r="AG72" s="10" t="s">
        <v>352</v>
      </c>
      <c r="AH72" s="10" t="s">
        <v>352</v>
      </c>
      <c r="AI72" s="10" t="s">
        <v>352</v>
      </c>
      <c r="AJ72" s="150">
        <v>1.78</v>
      </c>
      <c r="AK72" s="152">
        <v>388.88</v>
      </c>
      <c r="AL72" s="10" t="s">
        <v>352</v>
      </c>
      <c r="AM72" s="10" t="s">
        <v>352</v>
      </c>
      <c r="AN72" s="10" t="s">
        <v>352</v>
      </c>
      <c r="AO72" s="10" t="s">
        <v>352</v>
      </c>
      <c r="AP72" s="10" t="s">
        <v>352</v>
      </c>
      <c r="AQ72" s="160">
        <v>714.15</v>
      </c>
      <c r="AR72" s="161">
        <v>357.3</v>
      </c>
      <c r="AS72" s="10" t="s">
        <v>352</v>
      </c>
      <c r="AT72" s="122">
        <v>46.73</v>
      </c>
      <c r="AU72" s="122">
        <v>3.17</v>
      </c>
      <c r="AV72" s="61">
        <v>483.97893119719083</v>
      </c>
      <c r="AW72" s="61">
        <v>15.735488244318386</v>
      </c>
      <c r="AX72" s="131">
        <v>12.26</v>
      </c>
      <c r="AY72" s="10" t="s">
        <v>352</v>
      </c>
      <c r="AZ72" s="10" t="s">
        <v>352</v>
      </c>
      <c r="BA72" s="10" t="s">
        <v>352</v>
      </c>
      <c r="BB72" s="10" t="s">
        <v>352</v>
      </c>
      <c r="BC72" s="10" t="s">
        <v>352</v>
      </c>
      <c r="BD72" s="10" t="s">
        <v>352</v>
      </c>
      <c r="BE72" s="10" t="s">
        <v>352</v>
      </c>
      <c r="BF72" s="10" t="s">
        <v>352</v>
      </c>
      <c r="BG72" s="10" t="s">
        <v>352</v>
      </c>
      <c r="BH72" s="10" t="s">
        <v>352</v>
      </c>
      <c r="BI72" s="172" t="s">
        <v>351</v>
      </c>
      <c r="BJ72" s="10" t="s">
        <v>352</v>
      </c>
      <c r="BK72" s="10" t="s">
        <v>352</v>
      </c>
      <c r="BL72" s="10" t="s">
        <v>352</v>
      </c>
      <c r="BM72" s="10" t="s">
        <v>352</v>
      </c>
      <c r="BN72" s="10" t="s">
        <v>352</v>
      </c>
      <c r="BO72" s="10" t="s">
        <v>352</v>
      </c>
      <c r="BP72" s="10" t="s">
        <v>352</v>
      </c>
      <c r="BQ72" s="10" t="s">
        <v>352</v>
      </c>
      <c r="BR72" s="10" t="s">
        <v>352</v>
      </c>
      <c r="BS72" s="10" t="s">
        <v>352</v>
      </c>
      <c r="BT72" s="188" t="s">
        <v>353</v>
      </c>
      <c r="BU72" s="131">
        <v>69.91</v>
      </c>
      <c r="BV72" s="10" t="s">
        <v>352</v>
      </c>
      <c r="BW72" s="10" t="s">
        <v>352</v>
      </c>
      <c r="BX72" s="10" t="s">
        <v>352</v>
      </c>
      <c r="BY72" s="10" t="s">
        <v>352</v>
      </c>
      <c r="BZ72" s="10" t="s">
        <v>352</v>
      </c>
      <c r="CA72" s="10" t="s">
        <v>352</v>
      </c>
      <c r="CB72" s="10" t="s">
        <v>352</v>
      </c>
      <c r="CC72" s="10" t="s">
        <v>352</v>
      </c>
      <c r="CD72" s="10" t="s">
        <v>352</v>
      </c>
    </row>
    <row r="73" spans="1:82">
      <c r="A73" s="3" t="s">
        <v>442</v>
      </c>
      <c r="B73" s="3" t="s">
        <v>443</v>
      </c>
      <c r="C73" s="27" t="s">
        <v>349</v>
      </c>
      <c r="D73" s="3" t="s">
        <v>444</v>
      </c>
      <c r="E73" s="29">
        <v>10001</v>
      </c>
      <c r="F73" s="3" t="s">
        <v>445</v>
      </c>
      <c r="G73" s="4">
        <v>10101</v>
      </c>
      <c r="H73" s="10" t="s">
        <v>352</v>
      </c>
      <c r="I73" s="10" t="s">
        <v>352</v>
      </c>
      <c r="J73" s="10" t="s">
        <v>352</v>
      </c>
      <c r="K73" s="10" t="s">
        <v>352</v>
      </c>
      <c r="L73" s="10" t="s">
        <v>352</v>
      </c>
      <c r="M73" s="10" t="s">
        <v>352</v>
      </c>
      <c r="N73" s="10" t="s">
        <v>352</v>
      </c>
      <c r="O73" s="60">
        <v>1275.82</v>
      </c>
      <c r="P73" s="10" t="s">
        <v>352</v>
      </c>
      <c r="Q73" s="121">
        <v>673.12</v>
      </c>
      <c r="R73" s="123">
        <v>1.26</v>
      </c>
      <c r="S73" s="60">
        <v>483.26</v>
      </c>
      <c r="T73" s="10" t="s">
        <v>352</v>
      </c>
      <c r="U73" s="10" t="s">
        <v>352</v>
      </c>
      <c r="V73" s="10" t="s">
        <v>352</v>
      </c>
      <c r="W73" s="10" t="s">
        <v>352</v>
      </c>
      <c r="X73" s="10" t="s">
        <v>352</v>
      </c>
      <c r="Y73" s="10" t="s">
        <v>352</v>
      </c>
      <c r="Z73" s="10" t="s">
        <v>352</v>
      </c>
      <c r="AA73" s="10" t="s">
        <v>352</v>
      </c>
      <c r="AB73" s="10" t="s">
        <v>352</v>
      </c>
      <c r="AC73" s="10" t="s">
        <v>352</v>
      </c>
      <c r="AD73" s="10" t="s">
        <v>352</v>
      </c>
      <c r="AE73" s="10" t="s">
        <v>352</v>
      </c>
      <c r="AF73" s="10" t="s">
        <v>352</v>
      </c>
      <c r="AG73" s="10" t="s">
        <v>352</v>
      </c>
      <c r="AH73" s="10" t="s">
        <v>352</v>
      </c>
      <c r="AI73" s="10" t="s">
        <v>352</v>
      </c>
      <c r="AJ73" s="150">
        <v>5.94</v>
      </c>
      <c r="AK73" s="152">
        <v>229.77</v>
      </c>
      <c r="AL73" s="10" t="s">
        <v>352</v>
      </c>
      <c r="AM73" s="10" t="s">
        <v>352</v>
      </c>
      <c r="AN73" s="10" t="s">
        <v>352</v>
      </c>
      <c r="AO73" s="10" t="s">
        <v>352</v>
      </c>
      <c r="AP73" s="10" t="s">
        <v>352</v>
      </c>
      <c r="AQ73" s="160">
        <v>760.33</v>
      </c>
      <c r="AR73" s="161">
        <v>591.36</v>
      </c>
      <c r="AS73" s="10" t="s">
        <v>352</v>
      </c>
      <c r="AT73" s="122">
        <v>47.58</v>
      </c>
      <c r="AU73" s="122">
        <v>6.5</v>
      </c>
      <c r="AV73" s="61">
        <v>517.56005261093298</v>
      </c>
      <c r="AW73" s="61">
        <v>16.651571281152794</v>
      </c>
      <c r="AX73" s="131">
        <v>13.17</v>
      </c>
      <c r="AY73" s="10" t="s">
        <v>352</v>
      </c>
      <c r="AZ73" s="10" t="s">
        <v>352</v>
      </c>
      <c r="BA73" s="10" t="s">
        <v>352</v>
      </c>
      <c r="BB73" s="10" t="s">
        <v>352</v>
      </c>
      <c r="BC73" s="10" t="s">
        <v>352</v>
      </c>
      <c r="BD73" s="10" t="s">
        <v>352</v>
      </c>
      <c r="BE73" s="10" t="s">
        <v>352</v>
      </c>
      <c r="BF73" s="10" t="s">
        <v>352</v>
      </c>
      <c r="BG73" s="10" t="s">
        <v>352</v>
      </c>
      <c r="BH73" s="10" t="s">
        <v>352</v>
      </c>
      <c r="BI73" s="172">
        <v>12705</v>
      </c>
      <c r="BJ73" s="10" t="s">
        <v>352</v>
      </c>
      <c r="BK73" s="10" t="s">
        <v>352</v>
      </c>
      <c r="BL73" s="10" t="s">
        <v>352</v>
      </c>
      <c r="BM73" s="10" t="s">
        <v>352</v>
      </c>
      <c r="BN73" s="10" t="s">
        <v>352</v>
      </c>
      <c r="BO73" s="10" t="s">
        <v>352</v>
      </c>
      <c r="BP73" s="10" t="s">
        <v>352</v>
      </c>
      <c r="BQ73" s="10" t="s">
        <v>352</v>
      </c>
      <c r="BR73" s="10" t="s">
        <v>352</v>
      </c>
      <c r="BS73" s="10" t="s">
        <v>352</v>
      </c>
      <c r="BT73" s="188" t="s">
        <v>353</v>
      </c>
      <c r="BU73" s="131">
        <v>36.44</v>
      </c>
      <c r="BV73" s="10" t="s">
        <v>352</v>
      </c>
      <c r="BW73" s="10" t="s">
        <v>352</v>
      </c>
      <c r="BX73" s="10" t="s">
        <v>352</v>
      </c>
      <c r="BY73" s="10" t="s">
        <v>352</v>
      </c>
      <c r="BZ73" s="10" t="s">
        <v>352</v>
      </c>
      <c r="CA73" s="10" t="s">
        <v>352</v>
      </c>
      <c r="CB73" s="10" t="s">
        <v>352</v>
      </c>
      <c r="CC73" s="10" t="s">
        <v>352</v>
      </c>
      <c r="CD73" s="10" t="s">
        <v>352</v>
      </c>
    </row>
    <row r="74" spans="1:82">
      <c r="A74" s="3" t="s">
        <v>442</v>
      </c>
      <c r="B74" s="3" t="s">
        <v>443</v>
      </c>
      <c r="C74" s="27" t="s">
        <v>349</v>
      </c>
      <c r="D74" s="3" t="s">
        <v>444</v>
      </c>
      <c r="E74" s="29">
        <v>10001</v>
      </c>
      <c r="F74" s="3" t="s">
        <v>446</v>
      </c>
      <c r="G74" s="4">
        <v>10109</v>
      </c>
      <c r="H74" s="10" t="s">
        <v>352</v>
      </c>
      <c r="I74" s="10" t="s">
        <v>352</v>
      </c>
      <c r="J74" s="10" t="s">
        <v>352</v>
      </c>
      <c r="K74" s="10" t="s">
        <v>352</v>
      </c>
      <c r="L74" s="10" t="s">
        <v>352</v>
      </c>
      <c r="M74" s="10" t="s">
        <v>352</v>
      </c>
      <c r="N74" s="10" t="s">
        <v>352</v>
      </c>
      <c r="O74" s="60">
        <v>1466.95</v>
      </c>
      <c r="P74" s="10" t="s">
        <v>352</v>
      </c>
      <c r="Q74" s="121">
        <v>742.57</v>
      </c>
      <c r="R74" s="123">
        <v>1.05</v>
      </c>
      <c r="S74" s="60">
        <v>642.16999999999996</v>
      </c>
      <c r="T74" s="10" t="s">
        <v>352</v>
      </c>
      <c r="U74" s="10" t="s">
        <v>352</v>
      </c>
      <c r="V74" s="10" t="s">
        <v>352</v>
      </c>
      <c r="W74" s="10" t="s">
        <v>352</v>
      </c>
      <c r="X74" s="10" t="s">
        <v>352</v>
      </c>
      <c r="Y74" s="10" t="s">
        <v>352</v>
      </c>
      <c r="Z74" s="10" t="s">
        <v>352</v>
      </c>
      <c r="AA74" s="10" t="s">
        <v>352</v>
      </c>
      <c r="AB74" s="10" t="s">
        <v>352</v>
      </c>
      <c r="AC74" s="10" t="s">
        <v>352</v>
      </c>
      <c r="AD74" s="10" t="s">
        <v>352</v>
      </c>
      <c r="AE74" s="10" t="s">
        <v>352</v>
      </c>
      <c r="AF74" s="10" t="s">
        <v>352</v>
      </c>
      <c r="AG74" s="10" t="s">
        <v>352</v>
      </c>
      <c r="AH74" s="10" t="s">
        <v>352</v>
      </c>
      <c r="AI74" s="10" t="s">
        <v>352</v>
      </c>
      <c r="AJ74" s="150">
        <v>20.57</v>
      </c>
      <c r="AK74" s="152">
        <v>382.56</v>
      </c>
      <c r="AL74" s="10" t="s">
        <v>352</v>
      </c>
      <c r="AM74" s="10" t="s">
        <v>352</v>
      </c>
      <c r="AN74" s="10" t="s">
        <v>352</v>
      </c>
      <c r="AO74" s="10" t="s">
        <v>352</v>
      </c>
      <c r="AP74" s="10" t="s">
        <v>352</v>
      </c>
      <c r="AQ74" s="160">
        <v>1170.6400000000001</v>
      </c>
      <c r="AR74" s="161">
        <v>903.51</v>
      </c>
      <c r="AS74" s="10" t="s">
        <v>352</v>
      </c>
      <c r="AT74" s="122">
        <v>71.95</v>
      </c>
      <c r="AU74" s="122">
        <v>21.76</v>
      </c>
      <c r="AV74" s="61">
        <v>694.96530341060088</v>
      </c>
      <c r="AW74" s="61">
        <v>19.362402303578776</v>
      </c>
      <c r="AX74" s="131">
        <v>16.03</v>
      </c>
      <c r="AY74" s="10" t="s">
        <v>352</v>
      </c>
      <c r="AZ74" s="10" t="s">
        <v>352</v>
      </c>
      <c r="BA74" s="10" t="s">
        <v>352</v>
      </c>
      <c r="BB74" s="10" t="s">
        <v>352</v>
      </c>
      <c r="BC74" s="10" t="s">
        <v>352</v>
      </c>
      <c r="BD74" s="10" t="s">
        <v>352</v>
      </c>
      <c r="BE74" s="10" t="s">
        <v>352</v>
      </c>
      <c r="BF74" s="10" t="s">
        <v>352</v>
      </c>
      <c r="BG74" s="10" t="s">
        <v>352</v>
      </c>
      <c r="BH74" s="10" t="s">
        <v>352</v>
      </c>
      <c r="BI74" s="172" t="s">
        <v>351</v>
      </c>
      <c r="BJ74" s="10" t="s">
        <v>352</v>
      </c>
      <c r="BK74" s="10" t="s">
        <v>352</v>
      </c>
      <c r="BL74" s="10" t="s">
        <v>352</v>
      </c>
      <c r="BM74" s="10" t="s">
        <v>352</v>
      </c>
      <c r="BN74" s="10" t="s">
        <v>352</v>
      </c>
      <c r="BO74" s="10" t="s">
        <v>352</v>
      </c>
      <c r="BP74" s="10" t="s">
        <v>352</v>
      </c>
      <c r="BQ74" s="10" t="s">
        <v>352</v>
      </c>
      <c r="BR74" s="10" t="s">
        <v>352</v>
      </c>
      <c r="BS74" s="10" t="s">
        <v>352</v>
      </c>
      <c r="BT74" s="188" t="s">
        <v>355</v>
      </c>
      <c r="BU74" s="131">
        <v>15.07</v>
      </c>
      <c r="BV74" s="10" t="s">
        <v>352</v>
      </c>
      <c r="BW74" s="10" t="s">
        <v>352</v>
      </c>
      <c r="BX74" s="10" t="s">
        <v>352</v>
      </c>
      <c r="BY74" s="10" t="s">
        <v>352</v>
      </c>
      <c r="BZ74" s="10" t="s">
        <v>352</v>
      </c>
      <c r="CA74" s="10" t="s">
        <v>352</v>
      </c>
      <c r="CB74" s="10" t="s">
        <v>352</v>
      </c>
      <c r="CC74" s="10" t="s">
        <v>352</v>
      </c>
      <c r="CD74" s="10" t="s">
        <v>352</v>
      </c>
    </row>
    <row r="75" spans="1:82">
      <c r="A75" s="3" t="s">
        <v>442</v>
      </c>
      <c r="B75" s="5" t="s">
        <v>447</v>
      </c>
      <c r="C75" s="27" t="s">
        <v>349</v>
      </c>
      <c r="D75" s="5" t="s">
        <v>448</v>
      </c>
      <c r="E75" s="29">
        <v>10201</v>
      </c>
      <c r="F75" s="5" t="s">
        <v>448</v>
      </c>
      <c r="G75" s="4">
        <v>10201</v>
      </c>
      <c r="H75" s="10" t="s">
        <v>352</v>
      </c>
      <c r="I75" s="10" t="s">
        <v>352</v>
      </c>
      <c r="J75" s="10" t="s">
        <v>352</v>
      </c>
      <c r="K75" s="10" t="s">
        <v>352</v>
      </c>
      <c r="L75" s="10" t="s">
        <v>352</v>
      </c>
      <c r="M75" s="10" t="s">
        <v>352</v>
      </c>
      <c r="N75" s="10" t="s">
        <v>352</v>
      </c>
      <c r="O75" s="60">
        <v>854.15</v>
      </c>
      <c r="P75" s="10" t="s">
        <v>352</v>
      </c>
      <c r="Q75" s="121">
        <v>765.15</v>
      </c>
      <c r="R75" s="123">
        <v>1.83</v>
      </c>
      <c r="S75" s="60">
        <v>466.48</v>
      </c>
      <c r="T75" s="10" t="s">
        <v>352</v>
      </c>
      <c r="U75" s="10" t="s">
        <v>352</v>
      </c>
      <c r="V75" s="10" t="s">
        <v>352</v>
      </c>
      <c r="W75" s="10" t="s">
        <v>352</v>
      </c>
      <c r="X75" s="10" t="s">
        <v>352</v>
      </c>
      <c r="Y75" s="10" t="s">
        <v>352</v>
      </c>
      <c r="Z75" s="10" t="s">
        <v>352</v>
      </c>
      <c r="AA75" s="10" t="s">
        <v>352</v>
      </c>
      <c r="AB75" s="10" t="s">
        <v>352</v>
      </c>
      <c r="AC75" s="10" t="s">
        <v>352</v>
      </c>
      <c r="AD75" s="10" t="s">
        <v>352</v>
      </c>
      <c r="AE75" s="10" t="s">
        <v>352</v>
      </c>
      <c r="AF75" s="10" t="s">
        <v>352</v>
      </c>
      <c r="AG75" s="10" t="s">
        <v>352</v>
      </c>
      <c r="AH75" s="10" t="s">
        <v>352</v>
      </c>
      <c r="AI75" s="10" t="s">
        <v>352</v>
      </c>
      <c r="AJ75" s="150">
        <v>4.2</v>
      </c>
      <c r="AK75" s="152">
        <v>235.26</v>
      </c>
      <c r="AL75" s="10" t="s">
        <v>352</v>
      </c>
      <c r="AM75" s="10" t="s">
        <v>352</v>
      </c>
      <c r="AN75" s="10" t="s">
        <v>352</v>
      </c>
      <c r="AO75" s="10" t="s">
        <v>352</v>
      </c>
      <c r="AP75" s="10" t="s">
        <v>352</v>
      </c>
      <c r="AQ75" s="160">
        <v>844.89</v>
      </c>
      <c r="AR75" s="161">
        <v>470.73</v>
      </c>
      <c r="AS75" s="10" t="s">
        <v>352</v>
      </c>
      <c r="AT75" s="122">
        <v>54.88</v>
      </c>
      <c r="AU75" s="122">
        <v>10.77</v>
      </c>
      <c r="AV75" s="61">
        <v>558.2312047588332</v>
      </c>
      <c r="AW75" s="61">
        <v>16.361039342953767</v>
      </c>
      <c r="AX75" s="131">
        <v>7.14</v>
      </c>
      <c r="AY75" s="10" t="s">
        <v>352</v>
      </c>
      <c r="AZ75" s="10" t="s">
        <v>352</v>
      </c>
      <c r="BA75" s="10" t="s">
        <v>352</v>
      </c>
      <c r="BB75" s="10" t="s">
        <v>352</v>
      </c>
      <c r="BC75" s="10" t="s">
        <v>352</v>
      </c>
      <c r="BD75" s="10" t="s">
        <v>352</v>
      </c>
      <c r="BE75" s="10" t="s">
        <v>352</v>
      </c>
      <c r="BF75" s="10" t="s">
        <v>352</v>
      </c>
      <c r="BG75" s="10" t="s">
        <v>352</v>
      </c>
      <c r="BH75" s="10" t="s">
        <v>352</v>
      </c>
      <c r="BI75" s="172" t="s">
        <v>351</v>
      </c>
      <c r="BJ75" s="10" t="s">
        <v>352</v>
      </c>
      <c r="BK75" s="10" t="s">
        <v>352</v>
      </c>
      <c r="BL75" s="10" t="s">
        <v>352</v>
      </c>
      <c r="BM75" s="10" t="s">
        <v>352</v>
      </c>
      <c r="BN75" s="10" t="s">
        <v>352</v>
      </c>
      <c r="BO75" s="10" t="s">
        <v>352</v>
      </c>
      <c r="BP75" s="10" t="s">
        <v>352</v>
      </c>
      <c r="BQ75" s="10" t="s">
        <v>352</v>
      </c>
      <c r="BR75" s="10" t="s">
        <v>352</v>
      </c>
      <c r="BS75" s="10" t="s">
        <v>352</v>
      </c>
      <c r="BT75" s="188" t="s">
        <v>355</v>
      </c>
      <c r="BU75" s="131">
        <v>67.28</v>
      </c>
      <c r="BV75" s="10" t="s">
        <v>352</v>
      </c>
      <c r="BW75" s="10" t="s">
        <v>352</v>
      </c>
      <c r="BX75" s="10" t="s">
        <v>352</v>
      </c>
      <c r="BY75" s="10" t="s">
        <v>352</v>
      </c>
      <c r="BZ75" s="10" t="s">
        <v>352</v>
      </c>
      <c r="CA75" s="10" t="s">
        <v>352</v>
      </c>
      <c r="CB75" s="10" t="s">
        <v>352</v>
      </c>
      <c r="CC75" s="10" t="s">
        <v>352</v>
      </c>
      <c r="CD75" s="10" t="s">
        <v>352</v>
      </c>
    </row>
    <row r="76" spans="1:82">
      <c r="A76" s="3" t="s">
        <v>442</v>
      </c>
      <c r="B76" s="3" t="s">
        <v>449</v>
      </c>
      <c r="C76" s="27" t="s">
        <v>349</v>
      </c>
      <c r="D76" s="3" t="s">
        <v>449</v>
      </c>
      <c r="E76" s="29">
        <v>10301</v>
      </c>
      <c r="F76" s="3" t="s">
        <v>449</v>
      </c>
      <c r="G76" s="4">
        <v>10301</v>
      </c>
      <c r="H76" s="10" t="s">
        <v>352</v>
      </c>
      <c r="I76" s="10" t="s">
        <v>352</v>
      </c>
      <c r="J76" s="10" t="s">
        <v>352</v>
      </c>
      <c r="K76" s="10" t="s">
        <v>352</v>
      </c>
      <c r="L76" s="10" t="s">
        <v>352</v>
      </c>
      <c r="M76" s="10" t="s">
        <v>352</v>
      </c>
      <c r="N76" s="10" t="s">
        <v>352</v>
      </c>
      <c r="O76" s="60">
        <v>1138.1300000000001</v>
      </c>
      <c r="P76" s="10" t="s">
        <v>352</v>
      </c>
      <c r="Q76" s="121">
        <v>587.54</v>
      </c>
      <c r="R76" s="123">
        <v>1.19</v>
      </c>
      <c r="S76" s="60">
        <v>410.44</v>
      </c>
      <c r="T76" s="10" t="s">
        <v>352</v>
      </c>
      <c r="U76" s="10" t="s">
        <v>352</v>
      </c>
      <c r="V76" s="10" t="s">
        <v>352</v>
      </c>
      <c r="W76" s="10" t="s">
        <v>352</v>
      </c>
      <c r="X76" s="10" t="s">
        <v>352</v>
      </c>
      <c r="Y76" s="10" t="s">
        <v>352</v>
      </c>
      <c r="Z76" s="10" t="s">
        <v>352</v>
      </c>
      <c r="AA76" s="10" t="s">
        <v>352</v>
      </c>
      <c r="AB76" s="10" t="s">
        <v>352</v>
      </c>
      <c r="AC76" s="10" t="s">
        <v>352</v>
      </c>
      <c r="AD76" s="10" t="s">
        <v>352</v>
      </c>
      <c r="AE76" s="10" t="s">
        <v>352</v>
      </c>
      <c r="AF76" s="10" t="s">
        <v>352</v>
      </c>
      <c r="AG76" s="10" t="s">
        <v>352</v>
      </c>
      <c r="AH76" s="10" t="s">
        <v>352</v>
      </c>
      <c r="AI76" s="10" t="s">
        <v>352</v>
      </c>
      <c r="AJ76" s="150">
        <v>8.07</v>
      </c>
      <c r="AK76" s="152">
        <v>348.31</v>
      </c>
      <c r="AL76" s="10" t="s">
        <v>352</v>
      </c>
      <c r="AM76" s="10" t="s">
        <v>352</v>
      </c>
      <c r="AN76" s="10" t="s">
        <v>352</v>
      </c>
      <c r="AO76" s="10" t="s">
        <v>352</v>
      </c>
      <c r="AP76" s="10" t="s">
        <v>352</v>
      </c>
      <c r="AQ76" s="160">
        <v>793.84</v>
      </c>
      <c r="AR76" s="161">
        <v>449.51</v>
      </c>
      <c r="AS76" s="10" t="s">
        <v>352</v>
      </c>
      <c r="AT76" s="122">
        <v>51.99</v>
      </c>
      <c r="AU76" s="122">
        <v>7.57</v>
      </c>
      <c r="AV76" s="61">
        <v>611.10635895505789</v>
      </c>
      <c r="AW76" s="61">
        <v>20.599158064702149</v>
      </c>
      <c r="AX76" s="131">
        <v>8.3699999999999992</v>
      </c>
      <c r="AY76" s="10" t="s">
        <v>352</v>
      </c>
      <c r="AZ76" s="10" t="s">
        <v>352</v>
      </c>
      <c r="BA76" s="10" t="s">
        <v>352</v>
      </c>
      <c r="BB76" s="10" t="s">
        <v>352</v>
      </c>
      <c r="BC76" s="10" t="s">
        <v>352</v>
      </c>
      <c r="BD76" s="10" t="s">
        <v>352</v>
      </c>
      <c r="BE76" s="10" t="s">
        <v>352</v>
      </c>
      <c r="BF76" s="10" t="s">
        <v>352</v>
      </c>
      <c r="BG76" s="10" t="s">
        <v>352</v>
      </c>
      <c r="BH76" s="10" t="s">
        <v>352</v>
      </c>
      <c r="BI76" s="172" t="s">
        <v>351</v>
      </c>
      <c r="BJ76" s="10" t="s">
        <v>352</v>
      </c>
      <c r="BK76" s="10" t="s">
        <v>352</v>
      </c>
      <c r="BL76" s="10" t="s">
        <v>352</v>
      </c>
      <c r="BM76" s="10" t="s">
        <v>352</v>
      </c>
      <c r="BN76" s="10" t="s">
        <v>352</v>
      </c>
      <c r="BO76" s="10" t="s">
        <v>352</v>
      </c>
      <c r="BP76" s="10" t="s">
        <v>352</v>
      </c>
      <c r="BQ76" s="10" t="s">
        <v>352</v>
      </c>
      <c r="BR76" s="10" t="s">
        <v>352</v>
      </c>
      <c r="BS76" s="10" t="s">
        <v>352</v>
      </c>
      <c r="BT76" s="188" t="s">
        <v>355</v>
      </c>
      <c r="BU76" s="131">
        <v>35.74</v>
      </c>
      <c r="BV76" s="10" t="s">
        <v>352</v>
      </c>
      <c r="BW76" s="10" t="s">
        <v>352</v>
      </c>
      <c r="BX76" s="10" t="s">
        <v>352</v>
      </c>
      <c r="BY76" s="10" t="s">
        <v>352</v>
      </c>
      <c r="BZ76" s="10" t="s">
        <v>352</v>
      </c>
      <c r="CA76" s="10" t="s">
        <v>352</v>
      </c>
      <c r="CB76" s="10" t="s">
        <v>352</v>
      </c>
      <c r="CC76" s="10" t="s">
        <v>352</v>
      </c>
      <c r="CD76" s="10" t="s">
        <v>352</v>
      </c>
    </row>
    <row r="77" spans="1:82">
      <c r="A77" s="3" t="s">
        <v>450</v>
      </c>
      <c r="B77" s="5" t="s">
        <v>451</v>
      </c>
      <c r="C77" s="27" t="s">
        <v>349</v>
      </c>
      <c r="D77" s="5" t="s">
        <v>451</v>
      </c>
      <c r="E77" s="29">
        <v>11101</v>
      </c>
      <c r="F77" s="5" t="s">
        <v>451</v>
      </c>
      <c r="G77" s="4">
        <v>11101</v>
      </c>
      <c r="H77" s="10" t="s">
        <v>352</v>
      </c>
      <c r="I77" s="10" t="s">
        <v>352</v>
      </c>
      <c r="J77" s="10" t="s">
        <v>352</v>
      </c>
      <c r="K77" s="10" t="s">
        <v>352</v>
      </c>
      <c r="L77" s="10" t="s">
        <v>352</v>
      </c>
      <c r="M77" s="10" t="s">
        <v>352</v>
      </c>
      <c r="N77" s="10" t="s">
        <v>352</v>
      </c>
      <c r="O77" s="60">
        <v>1101.93</v>
      </c>
      <c r="P77" s="10" t="s">
        <v>352</v>
      </c>
      <c r="Q77" s="121">
        <v>495.5</v>
      </c>
      <c r="R77" s="123">
        <v>1.62</v>
      </c>
      <c r="S77" s="60">
        <v>391.4</v>
      </c>
      <c r="T77" s="10" t="s">
        <v>352</v>
      </c>
      <c r="U77" s="10" t="s">
        <v>352</v>
      </c>
      <c r="V77" s="10" t="s">
        <v>352</v>
      </c>
      <c r="W77" s="10" t="s">
        <v>352</v>
      </c>
      <c r="X77" s="10" t="s">
        <v>352</v>
      </c>
      <c r="Y77" s="10" t="s">
        <v>352</v>
      </c>
      <c r="Z77" s="10" t="s">
        <v>352</v>
      </c>
      <c r="AA77" s="10" t="s">
        <v>352</v>
      </c>
      <c r="AB77" s="10" t="s">
        <v>352</v>
      </c>
      <c r="AC77" s="10" t="s">
        <v>352</v>
      </c>
      <c r="AD77" s="10" t="s">
        <v>352</v>
      </c>
      <c r="AE77" s="10" t="s">
        <v>352</v>
      </c>
      <c r="AF77" s="10" t="s">
        <v>352</v>
      </c>
      <c r="AG77" s="10" t="s">
        <v>352</v>
      </c>
      <c r="AH77" s="10" t="s">
        <v>352</v>
      </c>
      <c r="AI77" s="10" t="s">
        <v>352</v>
      </c>
      <c r="AJ77" s="150">
        <v>4.9000000000000004</v>
      </c>
      <c r="AK77" s="152">
        <v>401.9</v>
      </c>
      <c r="AL77" s="10" t="s">
        <v>352</v>
      </c>
      <c r="AM77" s="10" t="s">
        <v>352</v>
      </c>
      <c r="AN77" s="10" t="s">
        <v>352</v>
      </c>
      <c r="AO77" s="10" t="s">
        <v>352</v>
      </c>
      <c r="AP77" s="10" t="s">
        <v>352</v>
      </c>
      <c r="AQ77" s="160">
        <v>832.37</v>
      </c>
      <c r="AR77" s="161">
        <v>507.72</v>
      </c>
      <c r="AS77" s="10" t="s">
        <v>352</v>
      </c>
      <c r="AT77" s="122">
        <v>39.299999999999997</v>
      </c>
      <c r="AU77" s="122">
        <v>4.3600000000000003</v>
      </c>
      <c r="AV77" s="61">
        <v>598.52786540483703</v>
      </c>
      <c r="AW77" s="61">
        <v>18.598268256820781</v>
      </c>
      <c r="AX77" s="131">
        <v>13.68</v>
      </c>
      <c r="AY77" s="10" t="s">
        <v>352</v>
      </c>
      <c r="AZ77" s="10" t="s">
        <v>352</v>
      </c>
      <c r="BA77" s="10" t="s">
        <v>352</v>
      </c>
      <c r="BB77" s="10" t="s">
        <v>352</v>
      </c>
      <c r="BC77" s="10" t="s">
        <v>352</v>
      </c>
      <c r="BD77" s="10" t="s">
        <v>352</v>
      </c>
      <c r="BE77" s="10" t="s">
        <v>352</v>
      </c>
      <c r="BF77" s="10" t="s">
        <v>352</v>
      </c>
      <c r="BG77" s="10" t="s">
        <v>352</v>
      </c>
      <c r="BH77" s="10" t="s">
        <v>352</v>
      </c>
      <c r="BI77" s="172" t="s">
        <v>351</v>
      </c>
      <c r="BJ77" s="10" t="s">
        <v>352</v>
      </c>
      <c r="BK77" s="10" t="s">
        <v>352</v>
      </c>
      <c r="BL77" s="10" t="s">
        <v>352</v>
      </c>
      <c r="BM77" s="10" t="s">
        <v>352</v>
      </c>
      <c r="BN77" s="10" t="s">
        <v>352</v>
      </c>
      <c r="BO77" s="10" t="s">
        <v>352</v>
      </c>
      <c r="BP77" s="10" t="s">
        <v>352</v>
      </c>
      <c r="BQ77" s="10" t="s">
        <v>352</v>
      </c>
      <c r="BR77" s="10" t="s">
        <v>352</v>
      </c>
      <c r="BS77" s="10" t="s">
        <v>352</v>
      </c>
      <c r="BT77" s="188" t="s">
        <v>355</v>
      </c>
      <c r="BU77" s="131">
        <v>58.08</v>
      </c>
      <c r="BV77" s="10" t="s">
        <v>352</v>
      </c>
      <c r="BW77" s="10" t="s">
        <v>352</v>
      </c>
      <c r="BX77" s="10" t="s">
        <v>352</v>
      </c>
      <c r="BY77" s="10" t="s">
        <v>352</v>
      </c>
      <c r="BZ77" s="10" t="s">
        <v>352</v>
      </c>
      <c r="CA77" s="10" t="s">
        <v>352</v>
      </c>
      <c r="CB77" s="10" t="s">
        <v>352</v>
      </c>
      <c r="CC77" s="10" t="s">
        <v>352</v>
      </c>
      <c r="CD77" s="10" t="s">
        <v>352</v>
      </c>
    </row>
    <row r="78" spans="1:82">
      <c r="A78" s="3" t="s">
        <v>452</v>
      </c>
      <c r="B78" s="3" t="s">
        <v>452</v>
      </c>
      <c r="C78" s="27" t="s">
        <v>349</v>
      </c>
      <c r="D78" s="3" t="s">
        <v>453</v>
      </c>
      <c r="E78" s="29">
        <v>12101</v>
      </c>
      <c r="F78" s="6" t="s">
        <v>453</v>
      </c>
      <c r="G78" s="4">
        <v>12101</v>
      </c>
      <c r="H78" s="10" t="s">
        <v>352</v>
      </c>
      <c r="I78" s="10" t="s">
        <v>352</v>
      </c>
      <c r="J78" s="10" t="s">
        <v>352</v>
      </c>
      <c r="K78" s="10" t="s">
        <v>352</v>
      </c>
      <c r="L78" s="10" t="s">
        <v>352</v>
      </c>
      <c r="M78" s="10" t="s">
        <v>352</v>
      </c>
      <c r="N78" s="10" t="s">
        <v>352</v>
      </c>
      <c r="O78" s="60">
        <v>1146.3900000000001</v>
      </c>
      <c r="P78" s="10" t="s">
        <v>352</v>
      </c>
      <c r="Q78" s="121">
        <v>832.34</v>
      </c>
      <c r="R78" s="123">
        <v>1.1200000000000001</v>
      </c>
      <c r="S78" s="60">
        <v>499.84</v>
      </c>
      <c r="T78" s="10" t="s">
        <v>352</v>
      </c>
      <c r="U78" s="10" t="s">
        <v>352</v>
      </c>
      <c r="V78" s="10" t="s">
        <v>352</v>
      </c>
      <c r="W78" s="10" t="s">
        <v>352</v>
      </c>
      <c r="X78" s="10" t="s">
        <v>352</v>
      </c>
      <c r="Y78" s="10" t="s">
        <v>352</v>
      </c>
      <c r="Z78" s="10" t="s">
        <v>352</v>
      </c>
      <c r="AA78" s="10" t="s">
        <v>352</v>
      </c>
      <c r="AB78" s="10" t="s">
        <v>352</v>
      </c>
      <c r="AC78" s="10" t="s">
        <v>352</v>
      </c>
      <c r="AD78" s="10" t="s">
        <v>352</v>
      </c>
      <c r="AE78" s="10" t="s">
        <v>352</v>
      </c>
      <c r="AF78" s="10" t="s">
        <v>352</v>
      </c>
      <c r="AG78" s="10" t="s">
        <v>352</v>
      </c>
      <c r="AH78" s="10" t="s">
        <v>352</v>
      </c>
      <c r="AI78" s="10" t="s">
        <v>352</v>
      </c>
      <c r="AJ78" s="150">
        <v>2.11</v>
      </c>
      <c r="AK78" s="152">
        <v>259.89</v>
      </c>
      <c r="AL78" s="10" t="s">
        <v>352</v>
      </c>
      <c r="AM78" s="10" t="s">
        <v>352</v>
      </c>
      <c r="AN78" s="10" t="s">
        <v>352</v>
      </c>
      <c r="AO78" s="10" t="s">
        <v>352</v>
      </c>
      <c r="AP78" s="10" t="s">
        <v>352</v>
      </c>
      <c r="AQ78" s="160">
        <v>781.78</v>
      </c>
      <c r="AR78" s="161">
        <v>863.42</v>
      </c>
      <c r="AS78" s="10" t="s">
        <v>352</v>
      </c>
      <c r="AT78" s="122">
        <v>36.479999999999997</v>
      </c>
      <c r="AU78" s="122">
        <v>3.92</v>
      </c>
      <c r="AV78" s="61">
        <v>623.0109410973696</v>
      </c>
      <c r="AW78" s="61">
        <v>21.536229434302456</v>
      </c>
      <c r="AX78" s="131">
        <v>6.31</v>
      </c>
      <c r="AY78" s="10" t="s">
        <v>352</v>
      </c>
      <c r="AZ78" s="10" t="s">
        <v>352</v>
      </c>
      <c r="BA78" s="10" t="s">
        <v>352</v>
      </c>
      <c r="BB78" s="10" t="s">
        <v>352</v>
      </c>
      <c r="BC78" s="10" t="s">
        <v>352</v>
      </c>
      <c r="BD78" s="10" t="s">
        <v>352</v>
      </c>
      <c r="BE78" s="10" t="s">
        <v>352</v>
      </c>
      <c r="BF78" s="10" t="s">
        <v>352</v>
      </c>
      <c r="BG78" s="10" t="s">
        <v>352</v>
      </c>
      <c r="BH78" s="10" t="s">
        <v>352</v>
      </c>
      <c r="BI78" s="172" t="s">
        <v>351</v>
      </c>
      <c r="BJ78" s="10" t="s">
        <v>352</v>
      </c>
      <c r="BK78" s="10" t="s">
        <v>352</v>
      </c>
      <c r="BL78" s="10" t="s">
        <v>352</v>
      </c>
      <c r="BM78" s="10" t="s">
        <v>352</v>
      </c>
      <c r="BN78" s="10" t="s">
        <v>352</v>
      </c>
      <c r="BO78" s="10" t="s">
        <v>352</v>
      </c>
      <c r="BP78" s="10" t="s">
        <v>352</v>
      </c>
      <c r="BQ78" s="10" t="s">
        <v>352</v>
      </c>
      <c r="BR78" s="10" t="s">
        <v>352</v>
      </c>
      <c r="BS78" s="10" t="s">
        <v>352</v>
      </c>
      <c r="BT78" s="188" t="s">
        <v>353</v>
      </c>
      <c r="BU78" s="131">
        <v>30.84</v>
      </c>
      <c r="BV78" s="10" t="s">
        <v>352</v>
      </c>
      <c r="BW78" s="10" t="s">
        <v>352</v>
      </c>
      <c r="BX78" s="10" t="s">
        <v>352</v>
      </c>
      <c r="BY78" s="10" t="s">
        <v>352</v>
      </c>
      <c r="BZ78" s="10" t="s">
        <v>352</v>
      </c>
      <c r="CA78" s="10" t="s">
        <v>352</v>
      </c>
      <c r="CB78" s="10" t="s">
        <v>352</v>
      </c>
      <c r="CC78" s="10" t="s">
        <v>352</v>
      </c>
      <c r="CD78" s="10" t="s">
        <v>352</v>
      </c>
    </row>
    <row r="79" spans="1:82">
      <c r="A79" s="3" t="s">
        <v>454</v>
      </c>
      <c r="B79" s="3" t="s">
        <v>455</v>
      </c>
      <c r="C79" s="27" t="s">
        <v>456</v>
      </c>
      <c r="D79" s="3" t="s">
        <v>456</v>
      </c>
      <c r="E79" s="29">
        <v>13001</v>
      </c>
      <c r="F79" s="3" t="s">
        <v>455</v>
      </c>
      <c r="G79" s="4">
        <v>13101</v>
      </c>
      <c r="H79" s="10" t="s">
        <v>352</v>
      </c>
      <c r="I79" s="10" t="s">
        <v>352</v>
      </c>
      <c r="J79" s="10" t="s">
        <v>352</v>
      </c>
      <c r="K79" s="10" t="s">
        <v>352</v>
      </c>
      <c r="L79" s="10" t="s">
        <v>352</v>
      </c>
      <c r="M79" s="10" t="s">
        <v>352</v>
      </c>
      <c r="N79" s="10" t="s">
        <v>352</v>
      </c>
      <c r="O79" s="60">
        <v>1185.6400000000001</v>
      </c>
      <c r="P79" s="10" t="s">
        <v>352</v>
      </c>
      <c r="Q79" s="121">
        <v>384.8</v>
      </c>
      <c r="R79" s="123">
        <v>2.16</v>
      </c>
      <c r="S79" s="60">
        <v>389.63</v>
      </c>
      <c r="T79" s="10" t="s">
        <v>352</v>
      </c>
      <c r="U79" s="10" t="s">
        <v>352</v>
      </c>
      <c r="V79" s="10" t="s">
        <v>352</v>
      </c>
      <c r="W79" s="10" t="s">
        <v>352</v>
      </c>
      <c r="X79" s="10" t="s">
        <v>352</v>
      </c>
      <c r="Y79" s="10" t="s">
        <v>352</v>
      </c>
      <c r="Z79" s="10" t="s">
        <v>352</v>
      </c>
      <c r="AA79" s="10" t="s">
        <v>352</v>
      </c>
      <c r="AB79" s="10" t="s">
        <v>352</v>
      </c>
      <c r="AC79" s="10" t="s">
        <v>352</v>
      </c>
      <c r="AD79" s="10" t="s">
        <v>352</v>
      </c>
      <c r="AE79" s="10" t="s">
        <v>352</v>
      </c>
      <c r="AF79" s="10" t="s">
        <v>352</v>
      </c>
      <c r="AG79" s="10" t="s">
        <v>352</v>
      </c>
      <c r="AH79" s="10" t="s">
        <v>352</v>
      </c>
      <c r="AI79" s="10" t="s">
        <v>352</v>
      </c>
      <c r="AJ79" s="150">
        <v>2.78</v>
      </c>
      <c r="AK79" s="152">
        <v>121.04</v>
      </c>
      <c r="AL79" s="10" t="s">
        <v>352</v>
      </c>
      <c r="AM79" s="10" t="s">
        <v>352</v>
      </c>
      <c r="AN79" s="10" t="s">
        <v>352</v>
      </c>
      <c r="AO79" s="10" t="s">
        <v>352</v>
      </c>
      <c r="AP79" s="10" t="s">
        <v>352</v>
      </c>
      <c r="AQ79" s="160">
        <v>1145.54</v>
      </c>
      <c r="AR79" s="161">
        <v>1337.51</v>
      </c>
      <c r="AS79" s="10" t="s">
        <v>352</v>
      </c>
      <c r="AT79" s="122">
        <v>13.65</v>
      </c>
      <c r="AU79" s="122">
        <v>0.32</v>
      </c>
      <c r="AV79" s="61">
        <v>589.22983971981671</v>
      </c>
      <c r="AW79" s="61">
        <v>23.841143840666842</v>
      </c>
      <c r="AX79" s="131">
        <v>5.23</v>
      </c>
      <c r="AY79" s="10" t="s">
        <v>352</v>
      </c>
      <c r="AZ79" s="10" t="s">
        <v>352</v>
      </c>
      <c r="BA79" s="10" t="s">
        <v>352</v>
      </c>
      <c r="BB79" s="10" t="s">
        <v>352</v>
      </c>
      <c r="BC79" s="10" t="s">
        <v>352</v>
      </c>
      <c r="BD79" s="10" t="s">
        <v>352</v>
      </c>
      <c r="BE79" s="10" t="s">
        <v>352</v>
      </c>
      <c r="BF79" s="10" t="s">
        <v>352</v>
      </c>
      <c r="BG79" s="10" t="s">
        <v>352</v>
      </c>
      <c r="BH79" s="10" t="s">
        <v>352</v>
      </c>
      <c r="BI79" s="172">
        <v>220283</v>
      </c>
      <c r="BJ79" s="10" t="s">
        <v>352</v>
      </c>
      <c r="BK79" s="10" t="s">
        <v>352</v>
      </c>
      <c r="BL79" s="10" t="s">
        <v>352</v>
      </c>
      <c r="BM79" s="10" t="s">
        <v>352</v>
      </c>
      <c r="BN79" s="10" t="s">
        <v>352</v>
      </c>
      <c r="BO79" s="10" t="s">
        <v>352</v>
      </c>
      <c r="BP79" s="10" t="s">
        <v>352</v>
      </c>
      <c r="BQ79" s="10" t="s">
        <v>352</v>
      </c>
      <c r="BR79" s="10" t="s">
        <v>352</v>
      </c>
      <c r="BS79" s="10" t="s">
        <v>352</v>
      </c>
      <c r="BT79" s="188" t="s">
        <v>353</v>
      </c>
      <c r="BU79" s="131">
        <v>4.3099999999999996</v>
      </c>
      <c r="BV79" s="10" t="s">
        <v>352</v>
      </c>
      <c r="BW79" s="10" t="s">
        <v>352</v>
      </c>
      <c r="BX79" s="10" t="s">
        <v>352</v>
      </c>
      <c r="BY79" s="10" t="s">
        <v>352</v>
      </c>
      <c r="BZ79" s="10" t="s">
        <v>352</v>
      </c>
      <c r="CA79" s="10" t="s">
        <v>352</v>
      </c>
      <c r="CB79" s="10" t="s">
        <v>352</v>
      </c>
      <c r="CC79" s="10" t="s">
        <v>352</v>
      </c>
      <c r="CD79" s="10" t="s">
        <v>352</v>
      </c>
    </row>
    <row r="80" spans="1:82">
      <c r="A80" s="3" t="s">
        <v>454</v>
      </c>
      <c r="B80" s="3" t="s">
        <v>455</v>
      </c>
      <c r="C80" s="27" t="s">
        <v>456</v>
      </c>
      <c r="D80" s="3" t="s">
        <v>456</v>
      </c>
      <c r="E80" s="29">
        <v>13001</v>
      </c>
      <c r="F80" s="3" t="s">
        <v>457</v>
      </c>
      <c r="G80" s="4">
        <v>13102</v>
      </c>
      <c r="H80" s="10" t="s">
        <v>352</v>
      </c>
      <c r="I80" s="10" t="s">
        <v>352</v>
      </c>
      <c r="J80" s="10" t="s">
        <v>352</v>
      </c>
      <c r="K80" s="10" t="s">
        <v>352</v>
      </c>
      <c r="L80" s="10" t="s">
        <v>352</v>
      </c>
      <c r="M80" s="10" t="s">
        <v>352</v>
      </c>
      <c r="N80" s="10" t="s">
        <v>352</v>
      </c>
      <c r="O80" s="60">
        <v>1243.08</v>
      </c>
      <c r="P80" s="10" t="s">
        <v>352</v>
      </c>
      <c r="Q80" s="121">
        <v>733.7</v>
      </c>
      <c r="R80" s="123">
        <v>1.05</v>
      </c>
      <c r="S80" s="60">
        <v>349.78</v>
      </c>
      <c r="T80" s="10" t="s">
        <v>352</v>
      </c>
      <c r="U80" s="10" t="s">
        <v>352</v>
      </c>
      <c r="V80" s="10" t="s">
        <v>352</v>
      </c>
      <c r="W80" s="10" t="s">
        <v>352</v>
      </c>
      <c r="X80" s="10" t="s">
        <v>352</v>
      </c>
      <c r="Y80" s="10" t="s">
        <v>352</v>
      </c>
      <c r="Z80" s="10" t="s">
        <v>352</v>
      </c>
      <c r="AA80" s="10" t="s">
        <v>352</v>
      </c>
      <c r="AB80" s="10" t="s">
        <v>352</v>
      </c>
      <c r="AC80" s="10" t="s">
        <v>352</v>
      </c>
      <c r="AD80" s="10" t="s">
        <v>352</v>
      </c>
      <c r="AE80" s="10" t="s">
        <v>352</v>
      </c>
      <c r="AF80" s="10" t="s">
        <v>352</v>
      </c>
      <c r="AG80" s="10" t="s">
        <v>352</v>
      </c>
      <c r="AH80" s="10" t="s">
        <v>352</v>
      </c>
      <c r="AI80" s="10" t="s">
        <v>352</v>
      </c>
      <c r="AJ80" s="150">
        <v>4.5</v>
      </c>
      <c r="AK80" s="152">
        <v>294.52999999999997</v>
      </c>
      <c r="AL80" s="10" t="s">
        <v>352</v>
      </c>
      <c r="AM80" s="10" t="s">
        <v>352</v>
      </c>
      <c r="AN80" s="10" t="s">
        <v>352</v>
      </c>
      <c r="AO80" s="10" t="s">
        <v>352</v>
      </c>
      <c r="AP80" s="10" t="s">
        <v>352</v>
      </c>
      <c r="AQ80" s="160">
        <v>831.05</v>
      </c>
      <c r="AR80" s="161">
        <v>797.76</v>
      </c>
      <c r="AS80" s="10" t="s">
        <v>352</v>
      </c>
      <c r="AT80" s="122">
        <v>9.6300000000000008</v>
      </c>
      <c r="AU80" s="122">
        <v>0.35</v>
      </c>
      <c r="AV80" s="61">
        <v>693.22230673765966</v>
      </c>
      <c r="AW80" s="61">
        <v>19.465803318494537</v>
      </c>
      <c r="AX80" s="131">
        <v>5.48</v>
      </c>
      <c r="AY80" s="10" t="s">
        <v>352</v>
      </c>
      <c r="AZ80" s="10" t="s">
        <v>352</v>
      </c>
      <c r="BA80" s="10" t="s">
        <v>352</v>
      </c>
      <c r="BB80" s="10" t="s">
        <v>352</v>
      </c>
      <c r="BC80" s="10" t="s">
        <v>352</v>
      </c>
      <c r="BD80" s="10" t="s">
        <v>352</v>
      </c>
      <c r="BE80" s="10" t="s">
        <v>352</v>
      </c>
      <c r="BF80" s="10" t="s">
        <v>352</v>
      </c>
      <c r="BG80" s="10" t="s">
        <v>352</v>
      </c>
      <c r="BH80" s="10" t="s">
        <v>352</v>
      </c>
      <c r="BI80" s="172" t="s">
        <v>351</v>
      </c>
      <c r="BJ80" s="10" t="s">
        <v>352</v>
      </c>
      <c r="BK80" s="10" t="s">
        <v>352</v>
      </c>
      <c r="BL80" s="10" t="s">
        <v>352</v>
      </c>
      <c r="BM80" s="10" t="s">
        <v>352</v>
      </c>
      <c r="BN80" s="10" t="s">
        <v>352</v>
      </c>
      <c r="BO80" s="10" t="s">
        <v>352</v>
      </c>
      <c r="BP80" s="10" t="s">
        <v>352</v>
      </c>
      <c r="BQ80" s="10" t="s">
        <v>352</v>
      </c>
      <c r="BR80" s="10" t="s">
        <v>352</v>
      </c>
      <c r="BS80" s="10" t="s">
        <v>352</v>
      </c>
      <c r="BT80" s="188" t="s">
        <v>353</v>
      </c>
      <c r="BU80" s="131">
        <v>18.53</v>
      </c>
      <c r="BV80" s="10" t="s">
        <v>352</v>
      </c>
      <c r="BW80" s="10" t="s">
        <v>352</v>
      </c>
      <c r="BX80" s="10" t="s">
        <v>352</v>
      </c>
      <c r="BY80" s="10" t="s">
        <v>352</v>
      </c>
      <c r="BZ80" s="10" t="s">
        <v>352</v>
      </c>
      <c r="CA80" s="10" t="s">
        <v>352</v>
      </c>
      <c r="CB80" s="10" t="s">
        <v>352</v>
      </c>
      <c r="CC80" s="10" t="s">
        <v>352</v>
      </c>
      <c r="CD80" s="10" t="s">
        <v>352</v>
      </c>
    </row>
    <row r="81" spans="1:82">
      <c r="A81" s="3" t="s">
        <v>454</v>
      </c>
      <c r="B81" s="3" t="s">
        <v>455</v>
      </c>
      <c r="C81" s="27" t="s">
        <v>456</v>
      </c>
      <c r="D81" s="3" t="s">
        <v>456</v>
      </c>
      <c r="E81" s="29">
        <v>13001</v>
      </c>
      <c r="F81" s="3" t="s">
        <v>458</v>
      </c>
      <c r="G81" s="4">
        <v>13103</v>
      </c>
      <c r="H81" s="10" t="s">
        <v>352</v>
      </c>
      <c r="I81" s="10" t="s">
        <v>352</v>
      </c>
      <c r="J81" s="10" t="s">
        <v>352</v>
      </c>
      <c r="K81" s="10" t="s">
        <v>352</v>
      </c>
      <c r="L81" s="10" t="s">
        <v>352</v>
      </c>
      <c r="M81" s="10" t="s">
        <v>352</v>
      </c>
      <c r="N81" s="10" t="s">
        <v>352</v>
      </c>
      <c r="O81" s="60">
        <v>753.93</v>
      </c>
      <c r="P81" s="10" t="s">
        <v>352</v>
      </c>
      <c r="Q81" s="121">
        <v>362.07</v>
      </c>
      <c r="R81" s="123">
        <v>0.93</v>
      </c>
      <c r="S81" s="60">
        <v>278.31</v>
      </c>
      <c r="T81" s="10" t="s">
        <v>352</v>
      </c>
      <c r="U81" s="10" t="s">
        <v>352</v>
      </c>
      <c r="V81" s="10" t="s">
        <v>352</v>
      </c>
      <c r="W81" s="10" t="s">
        <v>352</v>
      </c>
      <c r="X81" s="10" t="s">
        <v>352</v>
      </c>
      <c r="Y81" s="10" t="s">
        <v>352</v>
      </c>
      <c r="Z81" s="10" t="s">
        <v>352</v>
      </c>
      <c r="AA81" s="10" t="s">
        <v>352</v>
      </c>
      <c r="AB81" s="10" t="s">
        <v>352</v>
      </c>
      <c r="AC81" s="10" t="s">
        <v>352</v>
      </c>
      <c r="AD81" s="10" t="s">
        <v>352</v>
      </c>
      <c r="AE81" s="10" t="s">
        <v>352</v>
      </c>
      <c r="AF81" s="10" t="s">
        <v>352</v>
      </c>
      <c r="AG81" s="10" t="s">
        <v>352</v>
      </c>
      <c r="AH81" s="10" t="s">
        <v>352</v>
      </c>
      <c r="AI81" s="10" t="s">
        <v>352</v>
      </c>
      <c r="AJ81" s="150">
        <v>6.32</v>
      </c>
      <c r="AK81" s="152">
        <v>44.92</v>
      </c>
      <c r="AL81" s="10" t="s">
        <v>352</v>
      </c>
      <c r="AM81" s="10" t="s">
        <v>352</v>
      </c>
      <c r="AN81" s="10" t="s">
        <v>352</v>
      </c>
      <c r="AO81" s="10" t="s">
        <v>352</v>
      </c>
      <c r="AP81" s="10" t="s">
        <v>352</v>
      </c>
      <c r="AQ81" s="160">
        <v>767.61</v>
      </c>
      <c r="AR81" s="161">
        <v>74.41</v>
      </c>
      <c r="AS81" s="10" t="s">
        <v>352</v>
      </c>
      <c r="AT81" s="122">
        <v>8.42</v>
      </c>
      <c r="AU81" s="122">
        <v>0.03</v>
      </c>
      <c r="AV81" s="61">
        <v>510.54078826764436</v>
      </c>
      <c r="AW81" s="61">
        <v>13.684062752254938</v>
      </c>
      <c r="AX81" s="131">
        <v>6.93</v>
      </c>
      <c r="AY81" s="10" t="s">
        <v>352</v>
      </c>
      <c r="AZ81" s="10" t="s">
        <v>352</v>
      </c>
      <c r="BA81" s="10" t="s">
        <v>352</v>
      </c>
      <c r="BB81" s="10" t="s">
        <v>352</v>
      </c>
      <c r="BC81" s="10" t="s">
        <v>352</v>
      </c>
      <c r="BD81" s="10" t="s">
        <v>352</v>
      </c>
      <c r="BE81" s="10" t="s">
        <v>352</v>
      </c>
      <c r="BF81" s="10" t="s">
        <v>352</v>
      </c>
      <c r="BG81" s="10" t="s">
        <v>352</v>
      </c>
      <c r="BH81" s="10" t="s">
        <v>352</v>
      </c>
      <c r="BI81" s="172">
        <v>11678</v>
      </c>
      <c r="BJ81" s="10" t="s">
        <v>352</v>
      </c>
      <c r="BK81" s="10" t="s">
        <v>352</v>
      </c>
      <c r="BL81" s="10" t="s">
        <v>352</v>
      </c>
      <c r="BM81" s="10" t="s">
        <v>352</v>
      </c>
      <c r="BN81" s="10" t="s">
        <v>352</v>
      </c>
      <c r="BO81" s="10" t="s">
        <v>352</v>
      </c>
      <c r="BP81" s="10" t="s">
        <v>352</v>
      </c>
      <c r="BQ81" s="10" t="s">
        <v>352</v>
      </c>
      <c r="BR81" s="10" t="s">
        <v>352</v>
      </c>
      <c r="BS81" s="10" t="s">
        <v>352</v>
      </c>
      <c r="BT81" s="188" t="s">
        <v>353</v>
      </c>
      <c r="BU81" s="131">
        <v>81.12</v>
      </c>
      <c r="BV81" s="10" t="s">
        <v>352</v>
      </c>
      <c r="BW81" s="10" t="s">
        <v>352</v>
      </c>
      <c r="BX81" s="10" t="s">
        <v>352</v>
      </c>
      <c r="BY81" s="10" t="s">
        <v>352</v>
      </c>
      <c r="BZ81" s="10" t="s">
        <v>352</v>
      </c>
      <c r="CA81" s="10" t="s">
        <v>352</v>
      </c>
      <c r="CB81" s="10" t="s">
        <v>352</v>
      </c>
      <c r="CC81" s="10" t="s">
        <v>352</v>
      </c>
      <c r="CD81" s="10" t="s">
        <v>352</v>
      </c>
    </row>
    <row r="82" spans="1:82">
      <c r="A82" s="3" t="s">
        <v>454</v>
      </c>
      <c r="B82" s="3" t="s">
        <v>455</v>
      </c>
      <c r="C82" s="27" t="s">
        <v>456</v>
      </c>
      <c r="D82" s="3" t="s">
        <v>456</v>
      </c>
      <c r="E82" s="29">
        <v>13001</v>
      </c>
      <c r="F82" s="3" t="s">
        <v>459</v>
      </c>
      <c r="G82" s="4">
        <v>13104</v>
      </c>
      <c r="H82" s="10" t="s">
        <v>352</v>
      </c>
      <c r="I82" s="10" t="s">
        <v>352</v>
      </c>
      <c r="J82" s="10" t="s">
        <v>352</v>
      </c>
      <c r="K82" s="10" t="s">
        <v>352</v>
      </c>
      <c r="L82" s="10" t="s">
        <v>352</v>
      </c>
      <c r="M82" s="10" t="s">
        <v>352</v>
      </c>
      <c r="N82" s="10" t="s">
        <v>352</v>
      </c>
      <c r="O82" s="60">
        <v>833.6</v>
      </c>
      <c r="P82" s="10" t="s">
        <v>352</v>
      </c>
      <c r="Q82" s="121">
        <v>361.62</v>
      </c>
      <c r="R82" s="123">
        <v>1.38</v>
      </c>
      <c r="S82" s="60">
        <v>308.24</v>
      </c>
      <c r="T82" s="10" t="s">
        <v>352</v>
      </c>
      <c r="U82" s="10" t="s">
        <v>352</v>
      </c>
      <c r="V82" s="10" t="s">
        <v>352</v>
      </c>
      <c r="W82" s="10" t="s">
        <v>352</v>
      </c>
      <c r="X82" s="10" t="s">
        <v>352</v>
      </c>
      <c r="Y82" s="10" t="s">
        <v>352</v>
      </c>
      <c r="Z82" s="10" t="s">
        <v>352</v>
      </c>
      <c r="AA82" s="10" t="s">
        <v>352</v>
      </c>
      <c r="AB82" s="10" t="s">
        <v>352</v>
      </c>
      <c r="AC82" s="10" t="s">
        <v>352</v>
      </c>
      <c r="AD82" s="10" t="s">
        <v>352</v>
      </c>
      <c r="AE82" s="10" t="s">
        <v>352</v>
      </c>
      <c r="AF82" s="10" t="s">
        <v>352</v>
      </c>
      <c r="AG82" s="10" t="s">
        <v>352</v>
      </c>
      <c r="AH82" s="10" t="s">
        <v>352</v>
      </c>
      <c r="AI82" s="10" t="s">
        <v>352</v>
      </c>
      <c r="AJ82" s="150">
        <v>5.03</v>
      </c>
      <c r="AK82" s="152">
        <v>79.739999999999995</v>
      </c>
      <c r="AL82" s="10" t="s">
        <v>352</v>
      </c>
      <c r="AM82" s="10" t="s">
        <v>352</v>
      </c>
      <c r="AN82" s="10" t="s">
        <v>352</v>
      </c>
      <c r="AO82" s="10" t="s">
        <v>352</v>
      </c>
      <c r="AP82" s="10" t="s">
        <v>352</v>
      </c>
      <c r="AQ82" s="160">
        <v>803.68</v>
      </c>
      <c r="AR82" s="161">
        <v>332.19</v>
      </c>
      <c r="AS82" s="10" t="s">
        <v>352</v>
      </c>
      <c r="AT82" s="122">
        <v>10.5</v>
      </c>
      <c r="AU82" s="122">
        <v>0.01</v>
      </c>
      <c r="AV82" s="61">
        <v>681.45225358826337</v>
      </c>
      <c r="AW82" s="61">
        <v>18.487014619778009</v>
      </c>
      <c r="AX82" s="131">
        <v>5.99</v>
      </c>
      <c r="AY82" s="10" t="s">
        <v>352</v>
      </c>
      <c r="AZ82" s="10" t="s">
        <v>352</v>
      </c>
      <c r="BA82" s="10" t="s">
        <v>352</v>
      </c>
      <c r="BB82" s="10" t="s">
        <v>352</v>
      </c>
      <c r="BC82" s="10" t="s">
        <v>352</v>
      </c>
      <c r="BD82" s="10" t="s">
        <v>352</v>
      </c>
      <c r="BE82" s="10" t="s">
        <v>352</v>
      </c>
      <c r="BF82" s="10" t="s">
        <v>352</v>
      </c>
      <c r="BG82" s="10" t="s">
        <v>352</v>
      </c>
      <c r="BH82" s="10" t="s">
        <v>352</v>
      </c>
      <c r="BI82" s="172">
        <v>16023</v>
      </c>
      <c r="BJ82" s="10" t="s">
        <v>352</v>
      </c>
      <c r="BK82" s="10" t="s">
        <v>352</v>
      </c>
      <c r="BL82" s="10" t="s">
        <v>352</v>
      </c>
      <c r="BM82" s="10" t="s">
        <v>352</v>
      </c>
      <c r="BN82" s="10" t="s">
        <v>352</v>
      </c>
      <c r="BO82" s="10" t="s">
        <v>352</v>
      </c>
      <c r="BP82" s="10" t="s">
        <v>352</v>
      </c>
      <c r="BQ82" s="10" t="s">
        <v>352</v>
      </c>
      <c r="BR82" s="10" t="s">
        <v>352</v>
      </c>
      <c r="BS82" s="10" t="s">
        <v>352</v>
      </c>
      <c r="BT82" s="188" t="s">
        <v>353</v>
      </c>
      <c r="BU82" s="131">
        <v>46.18</v>
      </c>
      <c r="BV82" s="10" t="s">
        <v>352</v>
      </c>
      <c r="BW82" s="10" t="s">
        <v>352</v>
      </c>
      <c r="BX82" s="10" t="s">
        <v>352</v>
      </c>
      <c r="BY82" s="10" t="s">
        <v>352</v>
      </c>
      <c r="BZ82" s="10" t="s">
        <v>352</v>
      </c>
      <c r="CA82" s="10" t="s">
        <v>352</v>
      </c>
      <c r="CB82" s="10" t="s">
        <v>352</v>
      </c>
      <c r="CC82" s="10" t="s">
        <v>352</v>
      </c>
      <c r="CD82" s="10" t="s">
        <v>352</v>
      </c>
    </row>
    <row r="83" spans="1:82">
      <c r="A83" s="3" t="s">
        <v>454</v>
      </c>
      <c r="B83" s="3" t="s">
        <v>455</v>
      </c>
      <c r="C83" s="27" t="s">
        <v>456</v>
      </c>
      <c r="D83" s="3" t="s">
        <v>456</v>
      </c>
      <c r="E83" s="29">
        <v>13001</v>
      </c>
      <c r="F83" s="3" t="s">
        <v>460</v>
      </c>
      <c r="G83" s="4">
        <v>13105</v>
      </c>
      <c r="H83" s="10" t="s">
        <v>352</v>
      </c>
      <c r="I83" s="10" t="s">
        <v>352</v>
      </c>
      <c r="J83" s="10" t="s">
        <v>352</v>
      </c>
      <c r="K83" s="10" t="s">
        <v>352</v>
      </c>
      <c r="L83" s="10" t="s">
        <v>352</v>
      </c>
      <c r="M83" s="10" t="s">
        <v>352</v>
      </c>
      <c r="N83" s="10" t="s">
        <v>352</v>
      </c>
      <c r="O83" s="60">
        <v>730.49</v>
      </c>
      <c r="P83" s="10" t="s">
        <v>352</v>
      </c>
      <c r="Q83" s="121">
        <v>382.68</v>
      </c>
      <c r="R83" s="123">
        <v>1.47</v>
      </c>
      <c r="S83" s="60">
        <v>294.3</v>
      </c>
      <c r="T83" s="10" t="s">
        <v>352</v>
      </c>
      <c r="U83" s="10" t="s">
        <v>352</v>
      </c>
      <c r="V83" s="10" t="s">
        <v>352</v>
      </c>
      <c r="W83" s="10" t="s">
        <v>352</v>
      </c>
      <c r="X83" s="10" t="s">
        <v>352</v>
      </c>
      <c r="Y83" s="10" t="s">
        <v>352</v>
      </c>
      <c r="Z83" s="10" t="s">
        <v>352</v>
      </c>
      <c r="AA83" s="10" t="s">
        <v>352</v>
      </c>
      <c r="AB83" s="10" t="s">
        <v>352</v>
      </c>
      <c r="AC83" s="10" t="s">
        <v>352</v>
      </c>
      <c r="AD83" s="10" t="s">
        <v>352</v>
      </c>
      <c r="AE83" s="10" t="s">
        <v>352</v>
      </c>
      <c r="AF83" s="10" t="s">
        <v>352</v>
      </c>
      <c r="AG83" s="10" t="s">
        <v>352</v>
      </c>
      <c r="AH83" s="10" t="s">
        <v>352</v>
      </c>
      <c r="AI83" s="10" t="s">
        <v>352</v>
      </c>
      <c r="AJ83" s="150">
        <v>2.33</v>
      </c>
      <c r="AK83" s="152">
        <v>125.58</v>
      </c>
      <c r="AL83" s="10" t="s">
        <v>352</v>
      </c>
      <c r="AM83" s="10" t="s">
        <v>352</v>
      </c>
      <c r="AN83" s="10" t="s">
        <v>352</v>
      </c>
      <c r="AO83" s="10" t="s">
        <v>352</v>
      </c>
      <c r="AP83" s="10" t="s">
        <v>352</v>
      </c>
      <c r="AQ83" s="160">
        <v>644.53</v>
      </c>
      <c r="AR83" s="161">
        <v>137.84</v>
      </c>
      <c r="AS83" s="10" t="s">
        <v>352</v>
      </c>
      <c r="AT83" s="122">
        <v>8.06</v>
      </c>
      <c r="AU83" s="122">
        <v>0.37</v>
      </c>
      <c r="AV83" s="61">
        <v>641.95302082264845</v>
      </c>
      <c r="AW83" s="61">
        <v>18.193023255813952</v>
      </c>
      <c r="AX83" s="131">
        <v>16.09</v>
      </c>
      <c r="AY83" s="10" t="s">
        <v>352</v>
      </c>
      <c r="AZ83" s="10" t="s">
        <v>352</v>
      </c>
      <c r="BA83" s="10" t="s">
        <v>352</v>
      </c>
      <c r="BB83" s="10" t="s">
        <v>352</v>
      </c>
      <c r="BC83" s="10" t="s">
        <v>352</v>
      </c>
      <c r="BD83" s="10" t="s">
        <v>352</v>
      </c>
      <c r="BE83" s="10" t="s">
        <v>352</v>
      </c>
      <c r="BF83" s="10" t="s">
        <v>352</v>
      </c>
      <c r="BG83" s="10" t="s">
        <v>352</v>
      </c>
      <c r="BH83" s="10" t="s">
        <v>352</v>
      </c>
      <c r="BI83" s="172" t="s">
        <v>351</v>
      </c>
      <c r="BJ83" s="10" t="s">
        <v>352</v>
      </c>
      <c r="BK83" s="10" t="s">
        <v>352</v>
      </c>
      <c r="BL83" s="10" t="s">
        <v>352</v>
      </c>
      <c r="BM83" s="10" t="s">
        <v>352</v>
      </c>
      <c r="BN83" s="10" t="s">
        <v>352</v>
      </c>
      <c r="BO83" s="10" t="s">
        <v>352</v>
      </c>
      <c r="BP83" s="10" t="s">
        <v>352</v>
      </c>
      <c r="BQ83" s="10" t="s">
        <v>352</v>
      </c>
      <c r="BR83" s="10" t="s">
        <v>352</v>
      </c>
      <c r="BS83" s="10" t="s">
        <v>352</v>
      </c>
      <c r="BT83" s="188" t="s">
        <v>355</v>
      </c>
      <c r="BU83" s="131">
        <v>72.78</v>
      </c>
      <c r="BV83" s="10" t="s">
        <v>352</v>
      </c>
      <c r="BW83" s="10" t="s">
        <v>352</v>
      </c>
      <c r="BX83" s="10" t="s">
        <v>352</v>
      </c>
      <c r="BY83" s="10" t="s">
        <v>352</v>
      </c>
      <c r="BZ83" s="10" t="s">
        <v>352</v>
      </c>
      <c r="CA83" s="10" t="s">
        <v>352</v>
      </c>
      <c r="CB83" s="10" t="s">
        <v>352</v>
      </c>
      <c r="CC83" s="10" t="s">
        <v>352</v>
      </c>
      <c r="CD83" s="10" t="s">
        <v>352</v>
      </c>
    </row>
    <row r="84" spans="1:82">
      <c r="A84" s="3" t="s">
        <v>454</v>
      </c>
      <c r="B84" s="3" t="s">
        <v>455</v>
      </c>
      <c r="C84" s="27" t="s">
        <v>456</v>
      </c>
      <c r="D84" s="3" t="s">
        <v>456</v>
      </c>
      <c r="E84" s="29">
        <v>13001</v>
      </c>
      <c r="F84" s="3" t="s">
        <v>461</v>
      </c>
      <c r="G84" s="4">
        <v>13106</v>
      </c>
      <c r="H84" s="10" t="s">
        <v>352</v>
      </c>
      <c r="I84" s="10" t="s">
        <v>352</v>
      </c>
      <c r="J84" s="10" t="s">
        <v>352</v>
      </c>
      <c r="K84" s="10" t="s">
        <v>352</v>
      </c>
      <c r="L84" s="10" t="s">
        <v>352</v>
      </c>
      <c r="M84" s="10" t="s">
        <v>352</v>
      </c>
      <c r="N84" s="10" t="s">
        <v>352</v>
      </c>
      <c r="O84" s="60">
        <v>1032.02</v>
      </c>
      <c r="P84" s="10" t="s">
        <v>352</v>
      </c>
      <c r="Q84" s="121">
        <v>441.76</v>
      </c>
      <c r="R84" s="123">
        <v>1.37</v>
      </c>
      <c r="S84" s="60">
        <v>328.11</v>
      </c>
      <c r="T84" s="10" t="s">
        <v>352</v>
      </c>
      <c r="U84" s="10" t="s">
        <v>352</v>
      </c>
      <c r="V84" s="10" t="s">
        <v>352</v>
      </c>
      <c r="W84" s="10" t="s">
        <v>352</v>
      </c>
      <c r="X84" s="10" t="s">
        <v>352</v>
      </c>
      <c r="Y84" s="10" t="s">
        <v>352</v>
      </c>
      <c r="Z84" s="10" t="s">
        <v>352</v>
      </c>
      <c r="AA84" s="10" t="s">
        <v>352</v>
      </c>
      <c r="AB84" s="10" t="s">
        <v>352</v>
      </c>
      <c r="AC84" s="10" t="s">
        <v>352</v>
      </c>
      <c r="AD84" s="10" t="s">
        <v>352</v>
      </c>
      <c r="AE84" s="10" t="s">
        <v>352</v>
      </c>
      <c r="AF84" s="10" t="s">
        <v>352</v>
      </c>
      <c r="AG84" s="10" t="s">
        <v>352</v>
      </c>
      <c r="AH84" s="10" t="s">
        <v>352</v>
      </c>
      <c r="AI84" s="10" t="s">
        <v>352</v>
      </c>
      <c r="AJ84" s="150">
        <v>6.77</v>
      </c>
      <c r="AK84" s="152">
        <v>74.95</v>
      </c>
      <c r="AL84" s="10" t="s">
        <v>352</v>
      </c>
      <c r="AM84" s="10" t="s">
        <v>352</v>
      </c>
      <c r="AN84" s="10" t="s">
        <v>352</v>
      </c>
      <c r="AO84" s="10" t="s">
        <v>352</v>
      </c>
      <c r="AP84" s="10" t="s">
        <v>352</v>
      </c>
      <c r="AQ84" s="160">
        <v>799</v>
      </c>
      <c r="AR84" s="161">
        <v>403.27</v>
      </c>
      <c r="AS84" s="10" t="s">
        <v>352</v>
      </c>
      <c r="AT84" s="122">
        <v>11.3</v>
      </c>
      <c r="AU84" s="122">
        <v>0.24</v>
      </c>
      <c r="AV84" s="61">
        <v>672.84514862211381</v>
      </c>
      <c r="AW84" s="61">
        <v>19.221730047584046</v>
      </c>
      <c r="AX84" s="131">
        <v>9.44</v>
      </c>
      <c r="AY84" s="10" t="s">
        <v>352</v>
      </c>
      <c r="AZ84" s="10" t="s">
        <v>352</v>
      </c>
      <c r="BA84" s="10" t="s">
        <v>352</v>
      </c>
      <c r="BB84" s="10" t="s">
        <v>352</v>
      </c>
      <c r="BC84" s="10" t="s">
        <v>352</v>
      </c>
      <c r="BD84" s="10" t="s">
        <v>352</v>
      </c>
      <c r="BE84" s="10" t="s">
        <v>352</v>
      </c>
      <c r="BF84" s="10" t="s">
        <v>352</v>
      </c>
      <c r="BG84" s="10" t="s">
        <v>352</v>
      </c>
      <c r="BH84" s="10" t="s">
        <v>352</v>
      </c>
      <c r="BI84" s="172">
        <v>54115</v>
      </c>
      <c r="BJ84" s="10" t="s">
        <v>352</v>
      </c>
      <c r="BK84" s="10" t="s">
        <v>352</v>
      </c>
      <c r="BL84" s="10" t="s">
        <v>352</v>
      </c>
      <c r="BM84" s="10" t="s">
        <v>352</v>
      </c>
      <c r="BN84" s="10" t="s">
        <v>352</v>
      </c>
      <c r="BO84" s="10" t="s">
        <v>352</v>
      </c>
      <c r="BP84" s="10" t="s">
        <v>352</v>
      </c>
      <c r="BQ84" s="10" t="s">
        <v>352</v>
      </c>
      <c r="BR84" s="10" t="s">
        <v>352</v>
      </c>
      <c r="BS84" s="10" t="s">
        <v>352</v>
      </c>
      <c r="BT84" s="188" t="s">
        <v>353</v>
      </c>
      <c r="BU84" s="131">
        <v>16.05</v>
      </c>
      <c r="BV84" s="10" t="s">
        <v>352</v>
      </c>
      <c r="BW84" s="10" t="s">
        <v>352</v>
      </c>
      <c r="BX84" s="10" t="s">
        <v>352</v>
      </c>
      <c r="BY84" s="10" t="s">
        <v>352</v>
      </c>
      <c r="BZ84" s="10" t="s">
        <v>352</v>
      </c>
      <c r="CA84" s="10" t="s">
        <v>352</v>
      </c>
      <c r="CB84" s="10" t="s">
        <v>352</v>
      </c>
      <c r="CC84" s="10" t="s">
        <v>352</v>
      </c>
      <c r="CD84" s="10" t="s">
        <v>352</v>
      </c>
    </row>
    <row r="85" spans="1:82">
      <c r="A85" s="3" t="s">
        <v>454</v>
      </c>
      <c r="B85" s="3" t="s">
        <v>455</v>
      </c>
      <c r="C85" s="27" t="s">
        <v>456</v>
      </c>
      <c r="D85" s="3" t="s">
        <v>456</v>
      </c>
      <c r="E85" s="29">
        <v>13001</v>
      </c>
      <c r="F85" s="3" t="s">
        <v>462</v>
      </c>
      <c r="G85" s="4">
        <v>13107</v>
      </c>
      <c r="H85" s="10" t="s">
        <v>352</v>
      </c>
      <c r="I85" s="10" t="s">
        <v>352</v>
      </c>
      <c r="J85" s="10" t="s">
        <v>352</v>
      </c>
      <c r="K85" s="10" t="s">
        <v>352</v>
      </c>
      <c r="L85" s="10" t="s">
        <v>352</v>
      </c>
      <c r="M85" s="10" t="s">
        <v>352</v>
      </c>
      <c r="N85" s="10" t="s">
        <v>352</v>
      </c>
      <c r="O85" s="60">
        <v>1313.16</v>
      </c>
      <c r="P85" s="10" t="s">
        <v>352</v>
      </c>
      <c r="Q85" s="121">
        <v>1331.51</v>
      </c>
      <c r="R85" s="123">
        <v>0.5</v>
      </c>
      <c r="S85" s="60">
        <v>795.39</v>
      </c>
      <c r="T85" s="10" t="s">
        <v>352</v>
      </c>
      <c r="U85" s="10" t="s">
        <v>352</v>
      </c>
      <c r="V85" s="10" t="s">
        <v>352</v>
      </c>
      <c r="W85" s="10" t="s">
        <v>352</v>
      </c>
      <c r="X85" s="10" t="s">
        <v>352</v>
      </c>
      <c r="Y85" s="10" t="s">
        <v>352</v>
      </c>
      <c r="Z85" s="10" t="s">
        <v>352</v>
      </c>
      <c r="AA85" s="10" t="s">
        <v>352</v>
      </c>
      <c r="AB85" s="10" t="s">
        <v>352</v>
      </c>
      <c r="AC85" s="10" t="s">
        <v>352</v>
      </c>
      <c r="AD85" s="10" t="s">
        <v>352</v>
      </c>
      <c r="AE85" s="10" t="s">
        <v>352</v>
      </c>
      <c r="AF85" s="10" t="s">
        <v>352</v>
      </c>
      <c r="AG85" s="10" t="s">
        <v>352</v>
      </c>
      <c r="AH85" s="10" t="s">
        <v>352</v>
      </c>
      <c r="AI85" s="10" t="s">
        <v>352</v>
      </c>
      <c r="AJ85" s="150">
        <v>1.78</v>
      </c>
      <c r="AK85" s="152">
        <v>66.650000000000006</v>
      </c>
      <c r="AL85" s="10" t="s">
        <v>352</v>
      </c>
      <c r="AM85" s="10" t="s">
        <v>352</v>
      </c>
      <c r="AN85" s="10" t="s">
        <v>352</v>
      </c>
      <c r="AO85" s="10" t="s">
        <v>352</v>
      </c>
      <c r="AP85" s="10" t="s">
        <v>352</v>
      </c>
      <c r="AQ85" s="160">
        <v>1032.25</v>
      </c>
      <c r="AR85" s="161">
        <v>925.53</v>
      </c>
      <c r="AS85" s="10" t="s">
        <v>352</v>
      </c>
      <c r="AT85" s="122">
        <v>36.1</v>
      </c>
      <c r="AU85" s="122">
        <v>2.2000000000000002</v>
      </c>
      <c r="AV85" s="61">
        <v>690.31716730995129</v>
      </c>
      <c r="AW85" s="61">
        <v>18.278117446324472</v>
      </c>
      <c r="AX85" s="131">
        <v>5.84</v>
      </c>
      <c r="AY85" s="10" t="s">
        <v>352</v>
      </c>
      <c r="AZ85" s="10" t="s">
        <v>352</v>
      </c>
      <c r="BA85" s="10" t="s">
        <v>352</v>
      </c>
      <c r="BB85" s="10" t="s">
        <v>352</v>
      </c>
      <c r="BC85" s="10" t="s">
        <v>352</v>
      </c>
      <c r="BD85" s="10" t="s">
        <v>352</v>
      </c>
      <c r="BE85" s="10" t="s">
        <v>352</v>
      </c>
      <c r="BF85" s="10" t="s">
        <v>352</v>
      </c>
      <c r="BG85" s="10" t="s">
        <v>352</v>
      </c>
      <c r="BH85" s="10" t="s">
        <v>352</v>
      </c>
      <c r="BI85" s="172" t="s">
        <v>351</v>
      </c>
      <c r="BJ85" s="10" t="s">
        <v>352</v>
      </c>
      <c r="BK85" s="10" t="s">
        <v>352</v>
      </c>
      <c r="BL85" s="10" t="s">
        <v>352</v>
      </c>
      <c r="BM85" s="10" t="s">
        <v>352</v>
      </c>
      <c r="BN85" s="10" t="s">
        <v>352</v>
      </c>
      <c r="BO85" s="10" t="s">
        <v>352</v>
      </c>
      <c r="BP85" s="10" t="s">
        <v>352</v>
      </c>
      <c r="BQ85" s="10" t="s">
        <v>352</v>
      </c>
      <c r="BR85" s="10" t="s">
        <v>352</v>
      </c>
      <c r="BS85" s="10" t="s">
        <v>352</v>
      </c>
      <c r="BT85" s="188" t="s">
        <v>353</v>
      </c>
      <c r="BU85" s="131">
        <v>7.96</v>
      </c>
      <c r="BV85" s="10" t="s">
        <v>352</v>
      </c>
      <c r="BW85" s="10" t="s">
        <v>352</v>
      </c>
      <c r="BX85" s="10" t="s">
        <v>352</v>
      </c>
      <c r="BY85" s="10" t="s">
        <v>352</v>
      </c>
      <c r="BZ85" s="10" t="s">
        <v>352</v>
      </c>
      <c r="CA85" s="10" t="s">
        <v>352</v>
      </c>
      <c r="CB85" s="10" t="s">
        <v>352</v>
      </c>
      <c r="CC85" s="10" t="s">
        <v>352</v>
      </c>
      <c r="CD85" s="10" t="s">
        <v>352</v>
      </c>
    </row>
    <row r="86" spans="1:82">
      <c r="A86" s="3" t="s">
        <v>454</v>
      </c>
      <c r="B86" s="3" t="s">
        <v>455</v>
      </c>
      <c r="C86" s="27" t="s">
        <v>456</v>
      </c>
      <c r="D86" s="3" t="s">
        <v>456</v>
      </c>
      <c r="E86" s="29">
        <v>13001</v>
      </c>
      <c r="F86" s="3" t="s">
        <v>463</v>
      </c>
      <c r="G86" s="4">
        <v>13108</v>
      </c>
      <c r="H86" s="10" t="s">
        <v>352</v>
      </c>
      <c r="I86" s="10" t="s">
        <v>352</v>
      </c>
      <c r="J86" s="10" t="s">
        <v>352</v>
      </c>
      <c r="K86" s="10" t="s">
        <v>352</v>
      </c>
      <c r="L86" s="10" t="s">
        <v>352</v>
      </c>
      <c r="M86" s="10" t="s">
        <v>352</v>
      </c>
      <c r="N86" s="10" t="s">
        <v>352</v>
      </c>
      <c r="O86" s="60">
        <v>889.55</v>
      </c>
      <c r="P86" s="10" t="s">
        <v>352</v>
      </c>
      <c r="Q86" s="121">
        <v>360.06</v>
      </c>
      <c r="R86" s="123">
        <v>1.5</v>
      </c>
      <c r="S86" s="60">
        <v>359.21</v>
      </c>
      <c r="T86" s="10" t="s">
        <v>352</v>
      </c>
      <c r="U86" s="10" t="s">
        <v>352</v>
      </c>
      <c r="V86" s="10" t="s">
        <v>352</v>
      </c>
      <c r="W86" s="10" t="s">
        <v>352</v>
      </c>
      <c r="X86" s="10" t="s">
        <v>352</v>
      </c>
      <c r="Y86" s="10" t="s">
        <v>352</v>
      </c>
      <c r="Z86" s="10" t="s">
        <v>352</v>
      </c>
      <c r="AA86" s="10" t="s">
        <v>352</v>
      </c>
      <c r="AB86" s="10" t="s">
        <v>352</v>
      </c>
      <c r="AC86" s="10" t="s">
        <v>352</v>
      </c>
      <c r="AD86" s="10" t="s">
        <v>352</v>
      </c>
      <c r="AE86" s="10" t="s">
        <v>352</v>
      </c>
      <c r="AF86" s="10" t="s">
        <v>352</v>
      </c>
      <c r="AG86" s="10" t="s">
        <v>352</v>
      </c>
      <c r="AH86" s="10" t="s">
        <v>352</v>
      </c>
      <c r="AI86" s="10" t="s">
        <v>352</v>
      </c>
      <c r="AJ86" s="150">
        <v>4.22</v>
      </c>
      <c r="AK86" s="152">
        <v>93.62</v>
      </c>
      <c r="AL86" s="10" t="s">
        <v>352</v>
      </c>
      <c r="AM86" s="10" t="s">
        <v>352</v>
      </c>
      <c r="AN86" s="10" t="s">
        <v>352</v>
      </c>
      <c r="AO86" s="10" t="s">
        <v>352</v>
      </c>
      <c r="AP86" s="10" t="s">
        <v>352</v>
      </c>
      <c r="AQ86" s="160">
        <v>819.7</v>
      </c>
      <c r="AR86" s="161">
        <v>569.25</v>
      </c>
      <c r="AS86" s="10" t="s">
        <v>352</v>
      </c>
      <c r="AT86" s="122">
        <v>9.19</v>
      </c>
      <c r="AU86" s="122">
        <v>0.4</v>
      </c>
      <c r="AV86" s="61">
        <v>661.69655934116065</v>
      </c>
      <c r="AW86" s="61">
        <v>19.398866715939885</v>
      </c>
      <c r="AX86" s="131">
        <v>9.06</v>
      </c>
      <c r="AY86" s="10" t="s">
        <v>352</v>
      </c>
      <c r="AZ86" s="10" t="s">
        <v>352</v>
      </c>
      <c r="BA86" s="10" t="s">
        <v>352</v>
      </c>
      <c r="BB86" s="10" t="s">
        <v>352</v>
      </c>
      <c r="BC86" s="10" t="s">
        <v>352</v>
      </c>
      <c r="BD86" s="10" t="s">
        <v>352</v>
      </c>
      <c r="BE86" s="10" t="s">
        <v>352</v>
      </c>
      <c r="BF86" s="10" t="s">
        <v>352</v>
      </c>
      <c r="BG86" s="10" t="s">
        <v>352</v>
      </c>
      <c r="BH86" s="10" t="s">
        <v>352</v>
      </c>
      <c r="BI86" s="172">
        <v>57616</v>
      </c>
      <c r="BJ86" s="10" t="s">
        <v>352</v>
      </c>
      <c r="BK86" s="10" t="s">
        <v>352</v>
      </c>
      <c r="BL86" s="10" t="s">
        <v>352</v>
      </c>
      <c r="BM86" s="10" t="s">
        <v>352</v>
      </c>
      <c r="BN86" s="10" t="s">
        <v>352</v>
      </c>
      <c r="BO86" s="10" t="s">
        <v>352</v>
      </c>
      <c r="BP86" s="10" t="s">
        <v>352</v>
      </c>
      <c r="BQ86" s="10" t="s">
        <v>352</v>
      </c>
      <c r="BR86" s="10" t="s">
        <v>352</v>
      </c>
      <c r="BS86" s="10" t="s">
        <v>352</v>
      </c>
      <c r="BT86" s="188" t="s">
        <v>353</v>
      </c>
      <c r="BU86" s="131">
        <v>23.98</v>
      </c>
      <c r="BV86" s="10" t="s">
        <v>352</v>
      </c>
      <c r="BW86" s="10" t="s">
        <v>352</v>
      </c>
      <c r="BX86" s="10" t="s">
        <v>352</v>
      </c>
      <c r="BY86" s="10" t="s">
        <v>352</v>
      </c>
      <c r="BZ86" s="10" t="s">
        <v>352</v>
      </c>
      <c r="CA86" s="10" t="s">
        <v>352</v>
      </c>
      <c r="CB86" s="10" t="s">
        <v>352</v>
      </c>
      <c r="CC86" s="10" t="s">
        <v>352</v>
      </c>
      <c r="CD86" s="10" t="s">
        <v>352</v>
      </c>
    </row>
    <row r="87" spans="1:82">
      <c r="A87" s="3" t="s">
        <v>454</v>
      </c>
      <c r="B87" s="3" t="s">
        <v>455</v>
      </c>
      <c r="C87" s="27" t="s">
        <v>456</v>
      </c>
      <c r="D87" s="3" t="s">
        <v>456</v>
      </c>
      <c r="E87" s="29">
        <v>13001</v>
      </c>
      <c r="F87" s="3" t="s">
        <v>464</v>
      </c>
      <c r="G87" s="4">
        <v>13109</v>
      </c>
      <c r="H87" s="10" t="s">
        <v>352</v>
      </c>
      <c r="I87" s="10" t="s">
        <v>352</v>
      </c>
      <c r="J87" s="10" t="s">
        <v>352</v>
      </c>
      <c r="K87" s="10" t="s">
        <v>352</v>
      </c>
      <c r="L87" s="10" t="s">
        <v>352</v>
      </c>
      <c r="M87" s="10" t="s">
        <v>352</v>
      </c>
      <c r="N87" s="10" t="s">
        <v>352</v>
      </c>
      <c r="O87" s="60">
        <v>1039.43</v>
      </c>
      <c r="P87" s="10" t="s">
        <v>352</v>
      </c>
      <c r="Q87" s="121">
        <v>402.71</v>
      </c>
      <c r="R87" s="123">
        <v>1.94</v>
      </c>
      <c r="S87" s="60">
        <v>330.55</v>
      </c>
      <c r="T87" s="10" t="s">
        <v>352</v>
      </c>
      <c r="U87" s="10" t="s">
        <v>352</v>
      </c>
      <c r="V87" s="10" t="s">
        <v>352</v>
      </c>
      <c r="W87" s="10" t="s">
        <v>352</v>
      </c>
      <c r="X87" s="10" t="s">
        <v>352</v>
      </c>
      <c r="Y87" s="10" t="s">
        <v>352</v>
      </c>
      <c r="Z87" s="10" t="s">
        <v>352</v>
      </c>
      <c r="AA87" s="10" t="s">
        <v>352</v>
      </c>
      <c r="AB87" s="10" t="s">
        <v>352</v>
      </c>
      <c r="AC87" s="10" t="s">
        <v>352</v>
      </c>
      <c r="AD87" s="10" t="s">
        <v>352</v>
      </c>
      <c r="AE87" s="10" t="s">
        <v>352</v>
      </c>
      <c r="AF87" s="10" t="s">
        <v>352</v>
      </c>
      <c r="AG87" s="10" t="s">
        <v>352</v>
      </c>
      <c r="AH87" s="10" t="s">
        <v>352</v>
      </c>
      <c r="AI87" s="10" t="s">
        <v>352</v>
      </c>
      <c r="AJ87" s="150">
        <v>3.98</v>
      </c>
      <c r="AK87" s="152">
        <v>196.15</v>
      </c>
      <c r="AL87" s="10" t="s">
        <v>352</v>
      </c>
      <c r="AM87" s="10" t="s">
        <v>352</v>
      </c>
      <c r="AN87" s="10" t="s">
        <v>352</v>
      </c>
      <c r="AO87" s="10" t="s">
        <v>352</v>
      </c>
      <c r="AP87" s="10" t="s">
        <v>352</v>
      </c>
      <c r="AQ87" s="160">
        <v>1007.41</v>
      </c>
      <c r="AR87" s="161">
        <v>364.51</v>
      </c>
      <c r="AS87" s="10" t="s">
        <v>352</v>
      </c>
      <c r="AT87" s="122">
        <v>5.1100000000000003</v>
      </c>
      <c r="AU87" s="122">
        <v>0.61</v>
      </c>
      <c r="AV87" s="61">
        <v>707.28909283445103</v>
      </c>
      <c r="AW87" s="61">
        <v>23.941095644901129</v>
      </c>
      <c r="AX87" s="131">
        <v>8.26</v>
      </c>
      <c r="AY87" s="10" t="s">
        <v>352</v>
      </c>
      <c r="AZ87" s="10" t="s">
        <v>352</v>
      </c>
      <c r="BA87" s="10" t="s">
        <v>352</v>
      </c>
      <c r="BB87" s="10" t="s">
        <v>352</v>
      </c>
      <c r="BC87" s="10" t="s">
        <v>352</v>
      </c>
      <c r="BD87" s="10" t="s">
        <v>352</v>
      </c>
      <c r="BE87" s="10" t="s">
        <v>352</v>
      </c>
      <c r="BF87" s="10" t="s">
        <v>352</v>
      </c>
      <c r="BG87" s="10" t="s">
        <v>352</v>
      </c>
      <c r="BH87" s="10" t="s">
        <v>352</v>
      </c>
      <c r="BI87" s="172">
        <v>12042</v>
      </c>
      <c r="BJ87" s="10" t="s">
        <v>352</v>
      </c>
      <c r="BK87" s="10" t="s">
        <v>352</v>
      </c>
      <c r="BL87" s="10" t="s">
        <v>352</v>
      </c>
      <c r="BM87" s="10" t="s">
        <v>352</v>
      </c>
      <c r="BN87" s="10" t="s">
        <v>352</v>
      </c>
      <c r="BO87" s="10" t="s">
        <v>352</v>
      </c>
      <c r="BP87" s="10" t="s">
        <v>352</v>
      </c>
      <c r="BQ87" s="10" t="s">
        <v>352</v>
      </c>
      <c r="BR87" s="10" t="s">
        <v>352</v>
      </c>
      <c r="BS87" s="10" t="s">
        <v>352</v>
      </c>
      <c r="BT87" s="188" t="s">
        <v>355</v>
      </c>
      <c r="BU87" s="131">
        <v>20.329999999999998</v>
      </c>
      <c r="BV87" s="10" t="s">
        <v>352</v>
      </c>
      <c r="BW87" s="10" t="s">
        <v>352</v>
      </c>
      <c r="BX87" s="10" t="s">
        <v>352</v>
      </c>
      <c r="BY87" s="10" t="s">
        <v>352</v>
      </c>
      <c r="BZ87" s="10" t="s">
        <v>352</v>
      </c>
      <c r="CA87" s="10" t="s">
        <v>352</v>
      </c>
      <c r="CB87" s="10" t="s">
        <v>352</v>
      </c>
      <c r="CC87" s="10" t="s">
        <v>352</v>
      </c>
      <c r="CD87" s="10" t="s">
        <v>352</v>
      </c>
    </row>
    <row r="88" spans="1:82">
      <c r="A88" s="3" t="s">
        <v>454</v>
      </c>
      <c r="B88" s="3" t="s">
        <v>455</v>
      </c>
      <c r="C88" s="27" t="s">
        <v>456</v>
      </c>
      <c r="D88" s="3" t="s">
        <v>456</v>
      </c>
      <c r="E88" s="29">
        <v>13001</v>
      </c>
      <c r="F88" s="3" t="s">
        <v>465</v>
      </c>
      <c r="G88" s="4">
        <v>13110</v>
      </c>
      <c r="H88" s="10" t="s">
        <v>352</v>
      </c>
      <c r="I88" s="10" t="s">
        <v>352</v>
      </c>
      <c r="J88" s="10" t="s">
        <v>352</v>
      </c>
      <c r="K88" s="10" t="s">
        <v>352</v>
      </c>
      <c r="L88" s="10" t="s">
        <v>352</v>
      </c>
      <c r="M88" s="10" t="s">
        <v>352</v>
      </c>
      <c r="N88" s="10" t="s">
        <v>352</v>
      </c>
      <c r="O88" s="60">
        <v>1171.98</v>
      </c>
      <c r="P88" s="10" t="s">
        <v>352</v>
      </c>
      <c r="Q88" s="121">
        <v>556.75</v>
      </c>
      <c r="R88" s="123">
        <v>1.32</v>
      </c>
      <c r="S88" s="60">
        <v>427.54</v>
      </c>
      <c r="T88" s="10" t="s">
        <v>352</v>
      </c>
      <c r="U88" s="10" t="s">
        <v>352</v>
      </c>
      <c r="V88" s="10" t="s">
        <v>352</v>
      </c>
      <c r="W88" s="10" t="s">
        <v>352</v>
      </c>
      <c r="X88" s="10" t="s">
        <v>352</v>
      </c>
      <c r="Y88" s="10" t="s">
        <v>352</v>
      </c>
      <c r="Z88" s="10" t="s">
        <v>352</v>
      </c>
      <c r="AA88" s="10" t="s">
        <v>352</v>
      </c>
      <c r="AB88" s="10" t="s">
        <v>352</v>
      </c>
      <c r="AC88" s="10" t="s">
        <v>352</v>
      </c>
      <c r="AD88" s="10" t="s">
        <v>352</v>
      </c>
      <c r="AE88" s="10" t="s">
        <v>352</v>
      </c>
      <c r="AF88" s="10" t="s">
        <v>352</v>
      </c>
      <c r="AG88" s="10" t="s">
        <v>352</v>
      </c>
      <c r="AH88" s="10" t="s">
        <v>352</v>
      </c>
      <c r="AI88" s="10" t="s">
        <v>352</v>
      </c>
      <c r="AJ88" s="150">
        <v>2.98</v>
      </c>
      <c r="AK88" s="152">
        <v>86.47</v>
      </c>
      <c r="AL88" s="10" t="s">
        <v>352</v>
      </c>
      <c r="AM88" s="10" t="s">
        <v>352</v>
      </c>
      <c r="AN88" s="10" t="s">
        <v>352</v>
      </c>
      <c r="AO88" s="10" t="s">
        <v>352</v>
      </c>
      <c r="AP88" s="10" t="s">
        <v>352</v>
      </c>
      <c r="AQ88" s="160">
        <v>1012.89</v>
      </c>
      <c r="AR88" s="161">
        <v>214.5</v>
      </c>
      <c r="AS88" s="10" t="s">
        <v>352</v>
      </c>
      <c r="AT88" s="122">
        <v>18.89</v>
      </c>
      <c r="AU88" s="122">
        <v>0.23</v>
      </c>
      <c r="AV88" s="61">
        <v>810.96636894205653</v>
      </c>
      <c r="AW88" s="61">
        <v>24.998446946448226</v>
      </c>
      <c r="AX88" s="131">
        <v>5.3</v>
      </c>
      <c r="AY88" s="10" t="s">
        <v>352</v>
      </c>
      <c r="AZ88" s="10" t="s">
        <v>352</v>
      </c>
      <c r="BA88" s="10" t="s">
        <v>352</v>
      </c>
      <c r="BB88" s="10" t="s">
        <v>352</v>
      </c>
      <c r="BC88" s="10" t="s">
        <v>352</v>
      </c>
      <c r="BD88" s="10" t="s">
        <v>352</v>
      </c>
      <c r="BE88" s="10" t="s">
        <v>352</v>
      </c>
      <c r="BF88" s="10" t="s">
        <v>352</v>
      </c>
      <c r="BG88" s="10" t="s">
        <v>352</v>
      </c>
      <c r="BH88" s="10" t="s">
        <v>352</v>
      </c>
      <c r="BI88" s="172">
        <v>27172</v>
      </c>
      <c r="BJ88" s="10" t="s">
        <v>352</v>
      </c>
      <c r="BK88" s="10" t="s">
        <v>352</v>
      </c>
      <c r="BL88" s="10" t="s">
        <v>352</v>
      </c>
      <c r="BM88" s="10" t="s">
        <v>352</v>
      </c>
      <c r="BN88" s="10" t="s">
        <v>352</v>
      </c>
      <c r="BO88" s="10" t="s">
        <v>352</v>
      </c>
      <c r="BP88" s="10" t="s">
        <v>352</v>
      </c>
      <c r="BQ88" s="10" t="s">
        <v>352</v>
      </c>
      <c r="BR88" s="10" t="s">
        <v>352</v>
      </c>
      <c r="BS88" s="10" t="s">
        <v>352</v>
      </c>
      <c r="BT88" s="188" t="s">
        <v>353</v>
      </c>
      <c r="BU88" s="131">
        <v>42.24</v>
      </c>
      <c r="BV88" s="10" t="s">
        <v>352</v>
      </c>
      <c r="BW88" s="10" t="s">
        <v>352</v>
      </c>
      <c r="BX88" s="10" t="s">
        <v>352</v>
      </c>
      <c r="BY88" s="10" t="s">
        <v>352</v>
      </c>
      <c r="BZ88" s="10" t="s">
        <v>352</v>
      </c>
      <c r="CA88" s="10" t="s">
        <v>352</v>
      </c>
      <c r="CB88" s="10" t="s">
        <v>352</v>
      </c>
      <c r="CC88" s="10" t="s">
        <v>352</v>
      </c>
      <c r="CD88" s="10" t="s">
        <v>352</v>
      </c>
    </row>
    <row r="89" spans="1:82">
      <c r="A89" s="3" t="s">
        <v>454</v>
      </c>
      <c r="B89" s="3" t="s">
        <v>455</v>
      </c>
      <c r="C89" s="27" t="s">
        <v>456</v>
      </c>
      <c r="D89" s="3" t="s">
        <v>456</v>
      </c>
      <c r="E89" s="29">
        <v>13001</v>
      </c>
      <c r="F89" s="3" t="s">
        <v>466</v>
      </c>
      <c r="G89" s="4">
        <v>13111</v>
      </c>
      <c r="H89" s="10" t="s">
        <v>352</v>
      </c>
      <c r="I89" s="10" t="s">
        <v>352</v>
      </c>
      <c r="J89" s="10" t="s">
        <v>352</v>
      </c>
      <c r="K89" s="10" t="s">
        <v>352</v>
      </c>
      <c r="L89" s="10" t="s">
        <v>352</v>
      </c>
      <c r="M89" s="10" t="s">
        <v>352</v>
      </c>
      <c r="N89" s="10" t="s">
        <v>352</v>
      </c>
      <c r="O89" s="60">
        <v>673.73</v>
      </c>
      <c r="P89" s="10" t="s">
        <v>352</v>
      </c>
      <c r="Q89" s="121">
        <v>400.03</v>
      </c>
      <c r="R89" s="123">
        <v>1.33</v>
      </c>
      <c r="S89" s="60">
        <v>288.75</v>
      </c>
      <c r="T89" s="10" t="s">
        <v>352</v>
      </c>
      <c r="U89" s="10" t="s">
        <v>352</v>
      </c>
      <c r="V89" s="10" t="s">
        <v>352</v>
      </c>
      <c r="W89" s="10" t="s">
        <v>352</v>
      </c>
      <c r="X89" s="10" t="s">
        <v>352</v>
      </c>
      <c r="Y89" s="10" t="s">
        <v>352</v>
      </c>
      <c r="Z89" s="10" t="s">
        <v>352</v>
      </c>
      <c r="AA89" s="10" t="s">
        <v>352</v>
      </c>
      <c r="AB89" s="10" t="s">
        <v>352</v>
      </c>
      <c r="AC89" s="10" t="s">
        <v>352</v>
      </c>
      <c r="AD89" s="10" t="s">
        <v>352</v>
      </c>
      <c r="AE89" s="10" t="s">
        <v>352</v>
      </c>
      <c r="AF89" s="10" t="s">
        <v>352</v>
      </c>
      <c r="AG89" s="10" t="s">
        <v>352</v>
      </c>
      <c r="AH89" s="10" t="s">
        <v>352</v>
      </c>
      <c r="AI89" s="10" t="s">
        <v>352</v>
      </c>
      <c r="AJ89" s="150">
        <v>4.9000000000000004</v>
      </c>
      <c r="AK89" s="152">
        <v>94.65</v>
      </c>
      <c r="AL89" s="10" t="s">
        <v>352</v>
      </c>
      <c r="AM89" s="10" t="s">
        <v>352</v>
      </c>
      <c r="AN89" s="10" t="s">
        <v>352</v>
      </c>
      <c r="AO89" s="10" t="s">
        <v>352</v>
      </c>
      <c r="AP89" s="10" t="s">
        <v>352</v>
      </c>
      <c r="AQ89" s="160">
        <v>818.69</v>
      </c>
      <c r="AR89" s="161">
        <v>218.68</v>
      </c>
      <c r="AS89" s="10" t="s">
        <v>352</v>
      </c>
      <c r="AT89" s="122">
        <v>5.07</v>
      </c>
      <c r="AU89" s="122">
        <v>0.05</v>
      </c>
      <c r="AV89" s="61">
        <v>593.42880733422544</v>
      </c>
      <c r="AW89" s="61">
        <v>17.00678051845264</v>
      </c>
      <c r="AX89" s="131">
        <v>7.46</v>
      </c>
      <c r="AY89" s="10" t="s">
        <v>352</v>
      </c>
      <c r="AZ89" s="10" t="s">
        <v>352</v>
      </c>
      <c r="BA89" s="10" t="s">
        <v>352</v>
      </c>
      <c r="BB89" s="10" t="s">
        <v>352</v>
      </c>
      <c r="BC89" s="10" t="s">
        <v>352</v>
      </c>
      <c r="BD89" s="10" t="s">
        <v>352</v>
      </c>
      <c r="BE89" s="10" t="s">
        <v>352</v>
      </c>
      <c r="BF89" s="10" t="s">
        <v>352</v>
      </c>
      <c r="BG89" s="10" t="s">
        <v>352</v>
      </c>
      <c r="BH89" s="10" t="s">
        <v>352</v>
      </c>
      <c r="BI89" s="172" t="s">
        <v>351</v>
      </c>
      <c r="BJ89" s="10" t="s">
        <v>352</v>
      </c>
      <c r="BK89" s="10" t="s">
        <v>352</v>
      </c>
      <c r="BL89" s="10" t="s">
        <v>352</v>
      </c>
      <c r="BM89" s="10" t="s">
        <v>352</v>
      </c>
      <c r="BN89" s="10" t="s">
        <v>352</v>
      </c>
      <c r="BO89" s="10" t="s">
        <v>352</v>
      </c>
      <c r="BP89" s="10" t="s">
        <v>352</v>
      </c>
      <c r="BQ89" s="10" t="s">
        <v>352</v>
      </c>
      <c r="BR89" s="10" t="s">
        <v>352</v>
      </c>
      <c r="BS89" s="10" t="s">
        <v>352</v>
      </c>
      <c r="BT89" s="188" t="s">
        <v>353</v>
      </c>
      <c r="BU89" s="131">
        <v>70.150000000000006</v>
      </c>
      <c r="BV89" s="10" t="s">
        <v>352</v>
      </c>
      <c r="BW89" s="10" t="s">
        <v>352</v>
      </c>
      <c r="BX89" s="10" t="s">
        <v>352</v>
      </c>
      <c r="BY89" s="10" t="s">
        <v>352</v>
      </c>
      <c r="BZ89" s="10" t="s">
        <v>352</v>
      </c>
      <c r="CA89" s="10" t="s">
        <v>352</v>
      </c>
      <c r="CB89" s="10" t="s">
        <v>352</v>
      </c>
      <c r="CC89" s="10" t="s">
        <v>352</v>
      </c>
      <c r="CD89" s="10" t="s">
        <v>352</v>
      </c>
    </row>
    <row r="90" spans="1:82">
      <c r="A90" s="3" t="s">
        <v>454</v>
      </c>
      <c r="B90" s="3" t="s">
        <v>455</v>
      </c>
      <c r="C90" s="27" t="s">
        <v>456</v>
      </c>
      <c r="D90" s="3" t="s">
        <v>456</v>
      </c>
      <c r="E90" s="29">
        <v>13001</v>
      </c>
      <c r="F90" s="3" t="s">
        <v>467</v>
      </c>
      <c r="G90" s="4">
        <v>13112</v>
      </c>
      <c r="H90" s="10" t="s">
        <v>352</v>
      </c>
      <c r="I90" s="10" t="s">
        <v>352</v>
      </c>
      <c r="J90" s="10" t="s">
        <v>352</v>
      </c>
      <c r="K90" s="10" t="s">
        <v>352</v>
      </c>
      <c r="L90" s="10" t="s">
        <v>352</v>
      </c>
      <c r="M90" s="10" t="s">
        <v>352</v>
      </c>
      <c r="N90" s="10" t="s">
        <v>352</v>
      </c>
      <c r="O90" s="60">
        <v>859.9</v>
      </c>
      <c r="P90" s="10" t="s">
        <v>352</v>
      </c>
      <c r="Q90" s="121">
        <v>444.13</v>
      </c>
      <c r="R90" s="123">
        <v>1.19</v>
      </c>
      <c r="S90" s="60">
        <v>304.41000000000003</v>
      </c>
      <c r="T90" s="10" t="s">
        <v>352</v>
      </c>
      <c r="U90" s="10" t="s">
        <v>352</v>
      </c>
      <c r="V90" s="10" t="s">
        <v>352</v>
      </c>
      <c r="W90" s="10" t="s">
        <v>352</v>
      </c>
      <c r="X90" s="10" t="s">
        <v>352</v>
      </c>
      <c r="Y90" s="10" t="s">
        <v>352</v>
      </c>
      <c r="Z90" s="10" t="s">
        <v>352</v>
      </c>
      <c r="AA90" s="10" t="s">
        <v>352</v>
      </c>
      <c r="AB90" s="10" t="s">
        <v>352</v>
      </c>
      <c r="AC90" s="10" t="s">
        <v>352</v>
      </c>
      <c r="AD90" s="10" t="s">
        <v>352</v>
      </c>
      <c r="AE90" s="10" t="s">
        <v>352</v>
      </c>
      <c r="AF90" s="10" t="s">
        <v>352</v>
      </c>
      <c r="AG90" s="10" t="s">
        <v>352</v>
      </c>
      <c r="AH90" s="10" t="s">
        <v>352</v>
      </c>
      <c r="AI90" s="10" t="s">
        <v>352</v>
      </c>
      <c r="AJ90" s="150">
        <v>7.39</v>
      </c>
      <c r="AK90" s="152">
        <v>120.42</v>
      </c>
      <c r="AL90" s="10" t="s">
        <v>352</v>
      </c>
      <c r="AM90" s="10" t="s">
        <v>352</v>
      </c>
      <c r="AN90" s="10" t="s">
        <v>352</v>
      </c>
      <c r="AO90" s="10" t="s">
        <v>352</v>
      </c>
      <c r="AP90" s="10" t="s">
        <v>352</v>
      </c>
      <c r="AQ90" s="160">
        <v>583.70000000000005</v>
      </c>
      <c r="AR90" s="161">
        <v>248.16</v>
      </c>
      <c r="AS90" s="10" t="s">
        <v>352</v>
      </c>
      <c r="AT90" s="122">
        <v>24.19</v>
      </c>
      <c r="AU90" s="122">
        <v>2.3199999999999998</v>
      </c>
      <c r="AV90" s="61">
        <v>310.04771481525296</v>
      </c>
      <c r="AW90" s="61">
        <v>8.3053846356986281</v>
      </c>
      <c r="AX90" s="131">
        <v>8.01</v>
      </c>
      <c r="AY90" s="10" t="s">
        <v>352</v>
      </c>
      <c r="AZ90" s="10" t="s">
        <v>352</v>
      </c>
      <c r="BA90" s="10" t="s">
        <v>352</v>
      </c>
      <c r="BB90" s="10" t="s">
        <v>352</v>
      </c>
      <c r="BC90" s="10" t="s">
        <v>352</v>
      </c>
      <c r="BD90" s="10" t="s">
        <v>352</v>
      </c>
      <c r="BE90" s="10" t="s">
        <v>352</v>
      </c>
      <c r="BF90" s="10" t="s">
        <v>352</v>
      </c>
      <c r="BG90" s="10" t="s">
        <v>352</v>
      </c>
      <c r="BH90" s="10" t="s">
        <v>352</v>
      </c>
      <c r="BI90" s="172" t="s">
        <v>351</v>
      </c>
      <c r="BJ90" s="10" t="s">
        <v>352</v>
      </c>
      <c r="BK90" s="10" t="s">
        <v>352</v>
      </c>
      <c r="BL90" s="10" t="s">
        <v>352</v>
      </c>
      <c r="BM90" s="10" t="s">
        <v>352</v>
      </c>
      <c r="BN90" s="10" t="s">
        <v>352</v>
      </c>
      <c r="BO90" s="10" t="s">
        <v>352</v>
      </c>
      <c r="BP90" s="10" t="s">
        <v>352</v>
      </c>
      <c r="BQ90" s="10" t="s">
        <v>352</v>
      </c>
      <c r="BR90" s="10" t="s">
        <v>352</v>
      </c>
      <c r="BS90" s="10" t="s">
        <v>352</v>
      </c>
      <c r="BT90" s="188" t="s">
        <v>353</v>
      </c>
      <c r="BU90" s="131">
        <v>80.58</v>
      </c>
      <c r="BV90" s="10" t="s">
        <v>352</v>
      </c>
      <c r="BW90" s="10" t="s">
        <v>352</v>
      </c>
      <c r="BX90" s="10" t="s">
        <v>352</v>
      </c>
      <c r="BY90" s="10" t="s">
        <v>352</v>
      </c>
      <c r="BZ90" s="10" t="s">
        <v>352</v>
      </c>
      <c r="CA90" s="10" t="s">
        <v>352</v>
      </c>
      <c r="CB90" s="10" t="s">
        <v>352</v>
      </c>
      <c r="CC90" s="10" t="s">
        <v>352</v>
      </c>
      <c r="CD90" s="10" t="s">
        <v>352</v>
      </c>
    </row>
    <row r="91" spans="1:82">
      <c r="A91" s="3" t="s">
        <v>454</v>
      </c>
      <c r="B91" s="3" t="s">
        <v>455</v>
      </c>
      <c r="C91" s="27" t="s">
        <v>456</v>
      </c>
      <c r="D91" s="3" t="s">
        <v>456</v>
      </c>
      <c r="E91" s="29">
        <v>13001</v>
      </c>
      <c r="F91" s="3" t="s">
        <v>468</v>
      </c>
      <c r="G91" s="4">
        <v>13113</v>
      </c>
      <c r="H91" s="10" t="s">
        <v>352</v>
      </c>
      <c r="I91" s="10" t="s">
        <v>352</v>
      </c>
      <c r="J91" s="10" t="s">
        <v>352</v>
      </c>
      <c r="K91" s="10" t="s">
        <v>352</v>
      </c>
      <c r="L91" s="10" t="s">
        <v>352</v>
      </c>
      <c r="M91" s="10" t="s">
        <v>352</v>
      </c>
      <c r="N91" s="10" t="s">
        <v>352</v>
      </c>
      <c r="O91" s="60">
        <v>1244.3399999999999</v>
      </c>
      <c r="P91" s="10" t="s">
        <v>352</v>
      </c>
      <c r="Q91" s="121">
        <v>783.55</v>
      </c>
      <c r="R91" s="123">
        <v>0.82</v>
      </c>
      <c r="S91" s="60">
        <v>636.16</v>
      </c>
      <c r="T91" s="10" t="s">
        <v>352</v>
      </c>
      <c r="U91" s="10" t="s">
        <v>352</v>
      </c>
      <c r="V91" s="10" t="s">
        <v>352</v>
      </c>
      <c r="W91" s="10" t="s">
        <v>352</v>
      </c>
      <c r="X91" s="10" t="s">
        <v>352</v>
      </c>
      <c r="Y91" s="10" t="s">
        <v>352</v>
      </c>
      <c r="Z91" s="10" t="s">
        <v>352</v>
      </c>
      <c r="AA91" s="10" t="s">
        <v>352</v>
      </c>
      <c r="AB91" s="10" t="s">
        <v>352</v>
      </c>
      <c r="AC91" s="10" t="s">
        <v>352</v>
      </c>
      <c r="AD91" s="10" t="s">
        <v>352</v>
      </c>
      <c r="AE91" s="10" t="s">
        <v>352</v>
      </c>
      <c r="AF91" s="10" t="s">
        <v>352</v>
      </c>
      <c r="AG91" s="10" t="s">
        <v>352</v>
      </c>
      <c r="AH91" s="10" t="s">
        <v>352</v>
      </c>
      <c r="AI91" s="10" t="s">
        <v>352</v>
      </c>
      <c r="AJ91" s="150">
        <v>5.98</v>
      </c>
      <c r="AK91" s="152">
        <v>163.59</v>
      </c>
      <c r="AL91" s="10" t="s">
        <v>352</v>
      </c>
      <c r="AM91" s="10" t="s">
        <v>352</v>
      </c>
      <c r="AN91" s="10" t="s">
        <v>352</v>
      </c>
      <c r="AO91" s="10" t="s">
        <v>352</v>
      </c>
      <c r="AP91" s="10" t="s">
        <v>352</v>
      </c>
      <c r="AQ91" s="160">
        <v>1393.46</v>
      </c>
      <c r="AR91" s="161">
        <v>635.1</v>
      </c>
      <c r="AS91" s="10" t="s">
        <v>352</v>
      </c>
      <c r="AT91" s="122">
        <v>55.56</v>
      </c>
      <c r="AU91" s="122">
        <v>1.59</v>
      </c>
      <c r="AV91" s="61">
        <v>810.30468006952867</v>
      </c>
      <c r="AW91" s="61">
        <v>24.644894864940351</v>
      </c>
      <c r="AX91" s="131">
        <v>3.3</v>
      </c>
      <c r="AY91" s="10" t="s">
        <v>352</v>
      </c>
      <c r="AZ91" s="10" t="s">
        <v>352</v>
      </c>
      <c r="BA91" s="10" t="s">
        <v>352</v>
      </c>
      <c r="BB91" s="10" t="s">
        <v>352</v>
      </c>
      <c r="BC91" s="10" t="s">
        <v>352</v>
      </c>
      <c r="BD91" s="10" t="s">
        <v>352</v>
      </c>
      <c r="BE91" s="10" t="s">
        <v>352</v>
      </c>
      <c r="BF91" s="10" t="s">
        <v>352</v>
      </c>
      <c r="BG91" s="10" t="s">
        <v>352</v>
      </c>
      <c r="BH91" s="10" t="s">
        <v>352</v>
      </c>
      <c r="BI91" s="172" t="s">
        <v>351</v>
      </c>
      <c r="BJ91" s="10" t="s">
        <v>352</v>
      </c>
      <c r="BK91" s="10" t="s">
        <v>352</v>
      </c>
      <c r="BL91" s="10" t="s">
        <v>352</v>
      </c>
      <c r="BM91" s="10" t="s">
        <v>352</v>
      </c>
      <c r="BN91" s="10" t="s">
        <v>352</v>
      </c>
      <c r="BO91" s="10" t="s">
        <v>352</v>
      </c>
      <c r="BP91" s="10" t="s">
        <v>352</v>
      </c>
      <c r="BQ91" s="10" t="s">
        <v>352</v>
      </c>
      <c r="BR91" s="10" t="s">
        <v>352</v>
      </c>
      <c r="BS91" s="10" t="s">
        <v>352</v>
      </c>
      <c r="BT91" s="188" t="s">
        <v>353</v>
      </c>
      <c r="BU91" s="131">
        <v>6.16</v>
      </c>
      <c r="BV91" s="10" t="s">
        <v>352</v>
      </c>
      <c r="BW91" s="10" t="s">
        <v>352</v>
      </c>
      <c r="BX91" s="10" t="s">
        <v>352</v>
      </c>
      <c r="BY91" s="10" t="s">
        <v>352</v>
      </c>
      <c r="BZ91" s="10" t="s">
        <v>352</v>
      </c>
      <c r="CA91" s="10" t="s">
        <v>352</v>
      </c>
      <c r="CB91" s="10" t="s">
        <v>352</v>
      </c>
      <c r="CC91" s="10" t="s">
        <v>352</v>
      </c>
      <c r="CD91" s="10" t="s">
        <v>352</v>
      </c>
    </row>
    <row r="92" spans="1:82">
      <c r="A92" s="3" t="s">
        <v>454</v>
      </c>
      <c r="B92" s="3" t="s">
        <v>455</v>
      </c>
      <c r="C92" s="27" t="s">
        <v>456</v>
      </c>
      <c r="D92" s="3" t="s">
        <v>456</v>
      </c>
      <c r="E92" s="29">
        <v>13001</v>
      </c>
      <c r="F92" s="3" t="s">
        <v>469</v>
      </c>
      <c r="G92" s="4">
        <v>13114</v>
      </c>
      <c r="H92" s="10" t="s">
        <v>352</v>
      </c>
      <c r="I92" s="10" t="s">
        <v>352</v>
      </c>
      <c r="J92" s="10" t="s">
        <v>352</v>
      </c>
      <c r="K92" s="10" t="s">
        <v>352</v>
      </c>
      <c r="L92" s="10" t="s">
        <v>352</v>
      </c>
      <c r="M92" s="10" t="s">
        <v>352</v>
      </c>
      <c r="N92" s="10" t="s">
        <v>352</v>
      </c>
      <c r="O92" s="60">
        <v>2099.15</v>
      </c>
      <c r="P92" s="10" t="s">
        <v>352</v>
      </c>
      <c r="Q92" s="121">
        <v>1390.84</v>
      </c>
      <c r="R92" s="123">
        <v>0.37</v>
      </c>
      <c r="S92" s="60">
        <v>1097.19</v>
      </c>
      <c r="T92" s="10" t="s">
        <v>352</v>
      </c>
      <c r="U92" s="10" t="s">
        <v>352</v>
      </c>
      <c r="V92" s="10" t="s">
        <v>352</v>
      </c>
      <c r="W92" s="10" t="s">
        <v>352</v>
      </c>
      <c r="X92" s="10" t="s">
        <v>352</v>
      </c>
      <c r="Y92" s="10" t="s">
        <v>352</v>
      </c>
      <c r="Z92" s="10" t="s">
        <v>352</v>
      </c>
      <c r="AA92" s="10" t="s">
        <v>352</v>
      </c>
      <c r="AB92" s="10" t="s">
        <v>352</v>
      </c>
      <c r="AC92" s="10" t="s">
        <v>352</v>
      </c>
      <c r="AD92" s="10" t="s">
        <v>352</v>
      </c>
      <c r="AE92" s="10" t="s">
        <v>352</v>
      </c>
      <c r="AF92" s="10" t="s">
        <v>352</v>
      </c>
      <c r="AG92" s="10" t="s">
        <v>352</v>
      </c>
      <c r="AH92" s="10" t="s">
        <v>352</v>
      </c>
      <c r="AI92" s="10" t="s">
        <v>352</v>
      </c>
      <c r="AJ92" s="150">
        <v>1.21</v>
      </c>
      <c r="AK92" s="152">
        <v>71.05</v>
      </c>
      <c r="AL92" s="10" t="s">
        <v>352</v>
      </c>
      <c r="AM92" s="10" t="s">
        <v>352</v>
      </c>
      <c r="AN92" s="10" t="s">
        <v>352</v>
      </c>
      <c r="AO92" s="10" t="s">
        <v>352</v>
      </c>
      <c r="AP92" s="10" t="s">
        <v>352</v>
      </c>
      <c r="AQ92" s="160">
        <v>1480.51</v>
      </c>
      <c r="AR92" s="161">
        <v>1183.72</v>
      </c>
      <c r="AS92" s="10" t="s">
        <v>352</v>
      </c>
      <c r="AT92" s="162">
        <v>54.95</v>
      </c>
      <c r="AU92" s="122">
        <v>1.38</v>
      </c>
      <c r="AV92" s="61">
        <v>839.24025846876839</v>
      </c>
      <c r="AW92" s="61">
        <v>31.099380515722931</v>
      </c>
      <c r="AX92" s="131">
        <v>2.76</v>
      </c>
      <c r="AY92" s="10" t="s">
        <v>352</v>
      </c>
      <c r="AZ92" s="10" t="s">
        <v>352</v>
      </c>
      <c r="BA92" s="10" t="s">
        <v>352</v>
      </c>
      <c r="BB92" s="10" t="s">
        <v>352</v>
      </c>
      <c r="BC92" s="10" t="s">
        <v>352</v>
      </c>
      <c r="BD92" s="10" t="s">
        <v>352</v>
      </c>
      <c r="BE92" s="10" t="s">
        <v>352</v>
      </c>
      <c r="BF92" s="10" t="s">
        <v>352</v>
      </c>
      <c r="BG92" s="10" t="s">
        <v>352</v>
      </c>
      <c r="BH92" s="10" t="s">
        <v>352</v>
      </c>
      <c r="BI92" s="172">
        <v>40827</v>
      </c>
      <c r="BJ92" s="10" t="s">
        <v>352</v>
      </c>
      <c r="BK92" s="10" t="s">
        <v>352</v>
      </c>
      <c r="BL92" s="10" t="s">
        <v>352</v>
      </c>
      <c r="BM92" s="10" t="s">
        <v>352</v>
      </c>
      <c r="BN92" s="10" t="s">
        <v>352</v>
      </c>
      <c r="BO92" s="10" t="s">
        <v>352</v>
      </c>
      <c r="BP92" s="10" t="s">
        <v>352</v>
      </c>
      <c r="BQ92" s="10" t="s">
        <v>352</v>
      </c>
      <c r="BR92" s="10" t="s">
        <v>352</v>
      </c>
      <c r="BS92" s="10" t="s">
        <v>352</v>
      </c>
      <c r="BT92" s="188" t="s">
        <v>353</v>
      </c>
      <c r="BU92" s="131">
        <v>1.31</v>
      </c>
      <c r="BV92" s="10" t="s">
        <v>352</v>
      </c>
      <c r="BW92" s="10" t="s">
        <v>352</v>
      </c>
      <c r="BX92" s="10" t="s">
        <v>352</v>
      </c>
      <c r="BY92" s="10" t="s">
        <v>352</v>
      </c>
      <c r="BZ92" s="10" t="s">
        <v>352</v>
      </c>
      <c r="CA92" s="10" t="s">
        <v>352</v>
      </c>
      <c r="CB92" s="10" t="s">
        <v>352</v>
      </c>
      <c r="CC92" s="10" t="s">
        <v>352</v>
      </c>
      <c r="CD92" s="10" t="s">
        <v>352</v>
      </c>
    </row>
    <row r="93" spans="1:82">
      <c r="A93" s="3" t="s">
        <v>454</v>
      </c>
      <c r="B93" s="3" t="s">
        <v>455</v>
      </c>
      <c r="C93" s="27" t="s">
        <v>456</v>
      </c>
      <c r="D93" s="3" t="s">
        <v>456</v>
      </c>
      <c r="E93" s="29">
        <v>13001</v>
      </c>
      <c r="F93" s="3" t="s">
        <v>470</v>
      </c>
      <c r="G93" s="4">
        <v>13115</v>
      </c>
      <c r="H93" s="10" t="s">
        <v>352</v>
      </c>
      <c r="I93" s="10" t="s">
        <v>352</v>
      </c>
      <c r="J93" s="10" t="s">
        <v>352</v>
      </c>
      <c r="K93" s="10" t="s">
        <v>352</v>
      </c>
      <c r="L93" s="10" t="s">
        <v>352</v>
      </c>
      <c r="M93" s="10" t="s">
        <v>352</v>
      </c>
      <c r="N93" s="10" t="s">
        <v>352</v>
      </c>
      <c r="O93" s="60">
        <v>2888.76</v>
      </c>
      <c r="P93" s="10" t="s">
        <v>352</v>
      </c>
      <c r="Q93" s="121">
        <v>3190.98</v>
      </c>
      <c r="R93" s="123">
        <v>0.25</v>
      </c>
      <c r="S93" s="60">
        <v>2614.17</v>
      </c>
      <c r="T93" s="10" t="s">
        <v>352</v>
      </c>
      <c r="U93" s="10" t="s">
        <v>352</v>
      </c>
      <c r="V93" s="10" t="s">
        <v>352</v>
      </c>
      <c r="W93" s="10" t="s">
        <v>352</v>
      </c>
      <c r="X93" s="10" t="s">
        <v>352</v>
      </c>
      <c r="Y93" s="10" t="s">
        <v>352</v>
      </c>
      <c r="Z93" s="10" t="s">
        <v>352</v>
      </c>
      <c r="AA93" s="10" t="s">
        <v>352</v>
      </c>
      <c r="AB93" s="10" t="s">
        <v>352</v>
      </c>
      <c r="AC93" s="10" t="s">
        <v>352</v>
      </c>
      <c r="AD93" s="10" t="s">
        <v>352</v>
      </c>
      <c r="AE93" s="10" t="s">
        <v>352</v>
      </c>
      <c r="AF93" s="10" t="s">
        <v>352</v>
      </c>
      <c r="AG93" s="10" t="s">
        <v>352</v>
      </c>
      <c r="AH93" s="10" t="s">
        <v>352</v>
      </c>
      <c r="AI93" s="10" t="s">
        <v>352</v>
      </c>
      <c r="AJ93" s="150">
        <v>0</v>
      </c>
      <c r="AK93" s="152">
        <v>41.91</v>
      </c>
      <c r="AL93" s="10" t="s">
        <v>352</v>
      </c>
      <c r="AM93" s="10" t="s">
        <v>352</v>
      </c>
      <c r="AN93" s="10" t="s">
        <v>352</v>
      </c>
      <c r="AO93" s="10" t="s">
        <v>352</v>
      </c>
      <c r="AP93" s="10" t="s">
        <v>352</v>
      </c>
      <c r="AQ93" s="160">
        <v>1582.54</v>
      </c>
      <c r="AR93" s="161">
        <v>771.66</v>
      </c>
      <c r="AS93" s="10" t="s">
        <v>352</v>
      </c>
      <c r="AT93" s="122">
        <v>67</v>
      </c>
      <c r="AU93" s="122">
        <v>3.22</v>
      </c>
      <c r="AV93" s="61">
        <v>732.13417598444346</v>
      </c>
      <c r="AW93" s="61">
        <v>18.206583061994262</v>
      </c>
      <c r="AX93" s="131">
        <v>3.04</v>
      </c>
      <c r="AY93" s="10" t="s">
        <v>352</v>
      </c>
      <c r="AZ93" s="10" t="s">
        <v>352</v>
      </c>
      <c r="BA93" s="10" t="s">
        <v>352</v>
      </c>
      <c r="BB93" s="10" t="s">
        <v>352</v>
      </c>
      <c r="BC93" s="10" t="s">
        <v>352</v>
      </c>
      <c r="BD93" s="10" t="s">
        <v>352</v>
      </c>
      <c r="BE93" s="10" t="s">
        <v>352</v>
      </c>
      <c r="BF93" s="10" t="s">
        <v>352</v>
      </c>
      <c r="BG93" s="10" t="s">
        <v>352</v>
      </c>
      <c r="BH93" s="10" t="s">
        <v>352</v>
      </c>
      <c r="BI93" s="172">
        <v>13201</v>
      </c>
      <c r="BJ93" s="10" t="s">
        <v>352</v>
      </c>
      <c r="BK93" s="10" t="s">
        <v>352</v>
      </c>
      <c r="BL93" s="10" t="s">
        <v>352</v>
      </c>
      <c r="BM93" s="10" t="s">
        <v>352</v>
      </c>
      <c r="BN93" s="10" t="s">
        <v>352</v>
      </c>
      <c r="BO93" s="10" t="s">
        <v>352</v>
      </c>
      <c r="BP93" s="10" t="s">
        <v>352</v>
      </c>
      <c r="BQ93" s="10" t="s">
        <v>352</v>
      </c>
      <c r="BR93" s="10" t="s">
        <v>352</v>
      </c>
      <c r="BS93" s="10" t="s">
        <v>352</v>
      </c>
      <c r="BT93" s="188" t="s">
        <v>353</v>
      </c>
      <c r="BU93" s="131">
        <v>2</v>
      </c>
      <c r="BV93" s="10" t="s">
        <v>352</v>
      </c>
      <c r="BW93" s="10" t="s">
        <v>352</v>
      </c>
      <c r="BX93" s="10" t="s">
        <v>352</v>
      </c>
      <c r="BY93" s="10" t="s">
        <v>352</v>
      </c>
      <c r="BZ93" s="10" t="s">
        <v>352</v>
      </c>
      <c r="CA93" s="10" t="s">
        <v>352</v>
      </c>
      <c r="CB93" s="10" t="s">
        <v>352</v>
      </c>
      <c r="CC93" s="10" t="s">
        <v>352</v>
      </c>
      <c r="CD93" s="10" t="s">
        <v>352</v>
      </c>
    </row>
    <row r="94" spans="1:82">
      <c r="A94" s="3" t="s">
        <v>454</v>
      </c>
      <c r="B94" s="3" t="s">
        <v>455</v>
      </c>
      <c r="C94" s="27" t="s">
        <v>456</v>
      </c>
      <c r="D94" s="3" t="s">
        <v>456</v>
      </c>
      <c r="E94" s="29">
        <v>13001</v>
      </c>
      <c r="F94" s="3" t="s">
        <v>471</v>
      </c>
      <c r="G94" s="4">
        <v>13116</v>
      </c>
      <c r="H94" s="10" t="s">
        <v>352</v>
      </c>
      <c r="I94" s="10" t="s">
        <v>352</v>
      </c>
      <c r="J94" s="10" t="s">
        <v>352</v>
      </c>
      <c r="K94" s="10" t="s">
        <v>352</v>
      </c>
      <c r="L94" s="10" t="s">
        <v>352</v>
      </c>
      <c r="M94" s="10" t="s">
        <v>352</v>
      </c>
      <c r="N94" s="10" t="s">
        <v>352</v>
      </c>
      <c r="O94" s="60">
        <v>809.37</v>
      </c>
      <c r="P94" s="10" t="s">
        <v>352</v>
      </c>
      <c r="Q94" s="121">
        <v>331.7</v>
      </c>
      <c r="R94" s="123">
        <v>0.95</v>
      </c>
      <c r="S94" s="60">
        <v>271.47000000000003</v>
      </c>
      <c r="T94" s="10" t="s">
        <v>352</v>
      </c>
      <c r="U94" s="10" t="s">
        <v>352</v>
      </c>
      <c r="V94" s="10" t="s">
        <v>352</v>
      </c>
      <c r="W94" s="10" t="s">
        <v>352</v>
      </c>
      <c r="X94" s="10" t="s">
        <v>352</v>
      </c>
      <c r="Y94" s="10" t="s">
        <v>352</v>
      </c>
      <c r="Z94" s="10" t="s">
        <v>352</v>
      </c>
      <c r="AA94" s="10" t="s">
        <v>352</v>
      </c>
      <c r="AB94" s="10" t="s">
        <v>352</v>
      </c>
      <c r="AC94" s="10" t="s">
        <v>352</v>
      </c>
      <c r="AD94" s="10" t="s">
        <v>352</v>
      </c>
      <c r="AE94" s="10" t="s">
        <v>352</v>
      </c>
      <c r="AF94" s="10" t="s">
        <v>352</v>
      </c>
      <c r="AG94" s="10" t="s">
        <v>352</v>
      </c>
      <c r="AH94" s="10" t="s">
        <v>352</v>
      </c>
      <c r="AI94" s="10" t="s">
        <v>352</v>
      </c>
      <c r="AJ94" s="150">
        <v>6.74</v>
      </c>
      <c r="AK94" s="152">
        <v>19.260000000000002</v>
      </c>
      <c r="AL94" s="10" t="s">
        <v>352</v>
      </c>
      <c r="AM94" s="10" t="s">
        <v>352</v>
      </c>
      <c r="AN94" s="10" t="s">
        <v>352</v>
      </c>
      <c r="AO94" s="10" t="s">
        <v>352</v>
      </c>
      <c r="AP94" s="10" t="s">
        <v>352</v>
      </c>
      <c r="AQ94" s="160">
        <v>759.76</v>
      </c>
      <c r="AR94" s="161">
        <v>218.12</v>
      </c>
      <c r="AS94" s="10" t="s">
        <v>352</v>
      </c>
      <c r="AT94" s="122">
        <v>4.09</v>
      </c>
      <c r="AU94" s="122">
        <v>0.03</v>
      </c>
      <c r="AV94" s="61">
        <v>532.97669372638507</v>
      </c>
      <c r="AW94" s="61">
        <v>13.716843980166562</v>
      </c>
      <c r="AX94" s="131">
        <v>11.14</v>
      </c>
      <c r="AY94" s="10" t="s">
        <v>352</v>
      </c>
      <c r="AZ94" s="10" t="s">
        <v>352</v>
      </c>
      <c r="BA94" s="10" t="s">
        <v>352</v>
      </c>
      <c r="BB94" s="10" t="s">
        <v>352</v>
      </c>
      <c r="BC94" s="10" t="s">
        <v>352</v>
      </c>
      <c r="BD94" s="10" t="s">
        <v>352</v>
      </c>
      <c r="BE94" s="10" t="s">
        <v>352</v>
      </c>
      <c r="BF94" s="10" t="s">
        <v>352</v>
      </c>
      <c r="BG94" s="10" t="s">
        <v>352</v>
      </c>
      <c r="BH94" s="10" t="s">
        <v>352</v>
      </c>
      <c r="BI94" s="172" t="s">
        <v>351</v>
      </c>
      <c r="BJ94" s="10" t="s">
        <v>352</v>
      </c>
      <c r="BK94" s="10" t="s">
        <v>352</v>
      </c>
      <c r="BL94" s="10" t="s">
        <v>352</v>
      </c>
      <c r="BM94" s="10" t="s">
        <v>352</v>
      </c>
      <c r="BN94" s="10" t="s">
        <v>352</v>
      </c>
      <c r="BO94" s="10" t="s">
        <v>352</v>
      </c>
      <c r="BP94" s="10" t="s">
        <v>352</v>
      </c>
      <c r="BQ94" s="10" t="s">
        <v>352</v>
      </c>
      <c r="BR94" s="10" t="s">
        <v>352</v>
      </c>
      <c r="BS94" s="10" t="s">
        <v>352</v>
      </c>
      <c r="BT94" s="188" t="s">
        <v>355</v>
      </c>
      <c r="BU94" s="131">
        <v>67.459999999999994</v>
      </c>
      <c r="BV94" s="10" t="s">
        <v>352</v>
      </c>
      <c r="BW94" s="10" t="s">
        <v>352</v>
      </c>
      <c r="BX94" s="10" t="s">
        <v>352</v>
      </c>
      <c r="BY94" s="10" t="s">
        <v>352</v>
      </c>
      <c r="BZ94" s="10" t="s">
        <v>352</v>
      </c>
      <c r="CA94" s="10" t="s">
        <v>352</v>
      </c>
      <c r="CB94" s="10" t="s">
        <v>352</v>
      </c>
      <c r="CC94" s="10" t="s">
        <v>352</v>
      </c>
      <c r="CD94" s="10" t="s">
        <v>352</v>
      </c>
    </row>
    <row r="95" spans="1:82">
      <c r="A95" s="3" t="s">
        <v>454</v>
      </c>
      <c r="B95" s="3" t="s">
        <v>455</v>
      </c>
      <c r="C95" s="27" t="s">
        <v>456</v>
      </c>
      <c r="D95" s="3" t="s">
        <v>456</v>
      </c>
      <c r="E95" s="29">
        <v>13001</v>
      </c>
      <c r="F95" s="3" t="s">
        <v>472</v>
      </c>
      <c r="G95" s="4">
        <v>13117</v>
      </c>
      <c r="H95" s="10" t="s">
        <v>352</v>
      </c>
      <c r="I95" s="10" t="s">
        <v>352</v>
      </c>
      <c r="J95" s="10" t="s">
        <v>352</v>
      </c>
      <c r="K95" s="10" t="s">
        <v>352</v>
      </c>
      <c r="L95" s="10" t="s">
        <v>352</v>
      </c>
      <c r="M95" s="10" t="s">
        <v>352</v>
      </c>
      <c r="N95" s="10" t="s">
        <v>352</v>
      </c>
      <c r="O95" s="60">
        <v>760.15</v>
      </c>
      <c r="P95" s="10" t="s">
        <v>352</v>
      </c>
      <c r="Q95" s="121">
        <v>345.23</v>
      </c>
      <c r="R95" s="123">
        <v>1.08</v>
      </c>
      <c r="S95" s="60">
        <v>273.37</v>
      </c>
      <c r="T95" s="10" t="s">
        <v>352</v>
      </c>
      <c r="U95" s="10" t="s">
        <v>352</v>
      </c>
      <c r="V95" s="10" t="s">
        <v>352</v>
      </c>
      <c r="W95" s="10" t="s">
        <v>352</v>
      </c>
      <c r="X95" s="10" t="s">
        <v>352</v>
      </c>
      <c r="Y95" s="10" t="s">
        <v>352</v>
      </c>
      <c r="Z95" s="10" t="s">
        <v>352</v>
      </c>
      <c r="AA95" s="10" t="s">
        <v>352</v>
      </c>
      <c r="AB95" s="10" t="s">
        <v>352</v>
      </c>
      <c r="AC95" s="10" t="s">
        <v>352</v>
      </c>
      <c r="AD95" s="10" t="s">
        <v>352</v>
      </c>
      <c r="AE95" s="10" t="s">
        <v>352</v>
      </c>
      <c r="AF95" s="10" t="s">
        <v>352</v>
      </c>
      <c r="AG95" s="10" t="s">
        <v>352</v>
      </c>
      <c r="AH95" s="10" t="s">
        <v>352</v>
      </c>
      <c r="AI95" s="10" t="s">
        <v>352</v>
      </c>
      <c r="AJ95" s="150">
        <v>3.83</v>
      </c>
      <c r="AK95" s="152">
        <v>126.43</v>
      </c>
      <c r="AL95" s="10" t="s">
        <v>352</v>
      </c>
      <c r="AM95" s="10" t="s">
        <v>352</v>
      </c>
      <c r="AN95" s="10" t="s">
        <v>352</v>
      </c>
      <c r="AO95" s="10" t="s">
        <v>352</v>
      </c>
      <c r="AP95" s="10" t="s">
        <v>352</v>
      </c>
      <c r="AQ95" s="160">
        <v>719.34</v>
      </c>
      <c r="AR95" s="161">
        <v>169.26</v>
      </c>
      <c r="AS95" s="10" t="s">
        <v>352</v>
      </c>
      <c r="AT95" s="122">
        <v>6.53</v>
      </c>
      <c r="AU95" s="122">
        <v>0.06</v>
      </c>
      <c r="AV95" s="61">
        <v>561.99836756903824</v>
      </c>
      <c r="AW95" s="61">
        <v>15.828089231152362</v>
      </c>
      <c r="AX95" s="131">
        <v>8.49</v>
      </c>
      <c r="AY95" s="10" t="s">
        <v>352</v>
      </c>
      <c r="AZ95" s="10" t="s">
        <v>352</v>
      </c>
      <c r="BA95" s="10" t="s">
        <v>352</v>
      </c>
      <c r="BB95" s="10" t="s">
        <v>352</v>
      </c>
      <c r="BC95" s="10" t="s">
        <v>352</v>
      </c>
      <c r="BD95" s="10" t="s">
        <v>352</v>
      </c>
      <c r="BE95" s="10" t="s">
        <v>352</v>
      </c>
      <c r="BF95" s="10" t="s">
        <v>352</v>
      </c>
      <c r="BG95" s="10" t="s">
        <v>352</v>
      </c>
      <c r="BH95" s="10" t="s">
        <v>352</v>
      </c>
      <c r="BI95" s="172">
        <v>11130</v>
      </c>
      <c r="BJ95" s="10" t="s">
        <v>352</v>
      </c>
      <c r="BK95" s="10" t="s">
        <v>352</v>
      </c>
      <c r="BL95" s="10" t="s">
        <v>352</v>
      </c>
      <c r="BM95" s="10" t="s">
        <v>352</v>
      </c>
      <c r="BN95" s="10" t="s">
        <v>352</v>
      </c>
      <c r="BO95" s="10" t="s">
        <v>352</v>
      </c>
      <c r="BP95" s="10" t="s">
        <v>352</v>
      </c>
      <c r="BQ95" s="10" t="s">
        <v>352</v>
      </c>
      <c r="BR95" s="10" t="s">
        <v>352</v>
      </c>
      <c r="BS95" s="10" t="s">
        <v>352</v>
      </c>
      <c r="BT95" s="188" t="s">
        <v>355</v>
      </c>
      <c r="BU95" s="131">
        <v>70.489999999999995</v>
      </c>
      <c r="BV95" s="10" t="s">
        <v>352</v>
      </c>
      <c r="BW95" s="10" t="s">
        <v>352</v>
      </c>
      <c r="BX95" s="10" t="s">
        <v>352</v>
      </c>
      <c r="BY95" s="10" t="s">
        <v>352</v>
      </c>
      <c r="BZ95" s="10" t="s">
        <v>352</v>
      </c>
      <c r="CA95" s="10" t="s">
        <v>352</v>
      </c>
      <c r="CB95" s="10" t="s">
        <v>352</v>
      </c>
      <c r="CC95" s="10" t="s">
        <v>352</v>
      </c>
      <c r="CD95" s="10" t="s">
        <v>352</v>
      </c>
    </row>
    <row r="96" spans="1:82">
      <c r="A96" s="3" t="s">
        <v>454</v>
      </c>
      <c r="B96" s="3" t="s">
        <v>455</v>
      </c>
      <c r="C96" s="27" t="s">
        <v>456</v>
      </c>
      <c r="D96" s="3" t="s">
        <v>456</v>
      </c>
      <c r="E96" s="29">
        <v>13001</v>
      </c>
      <c r="F96" s="3" t="s">
        <v>473</v>
      </c>
      <c r="G96" s="4">
        <v>13118</v>
      </c>
      <c r="H96" s="10" t="s">
        <v>352</v>
      </c>
      <c r="I96" s="10" t="s">
        <v>352</v>
      </c>
      <c r="J96" s="10" t="s">
        <v>352</v>
      </c>
      <c r="K96" s="10" t="s">
        <v>352</v>
      </c>
      <c r="L96" s="10" t="s">
        <v>352</v>
      </c>
      <c r="M96" s="10" t="s">
        <v>352</v>
      </c>
      <c r="N96" s="10" t="s">
        <v>352</v>
      </c>
      <c r="O96" s="60">
        <v>1135.94</v>
      </c>
      <c r="P96" s="10" t="s">
        <v>352</v>
      </c>
      <c r="Q96" s="121">
        <v>537.11</v>
      </c>
      <c r="R96" s="123">
        <v>1.03</v>
      </c>
      <c r="S96" s="60">
        <v>401.02</v>
      </c>
      <c r="T96" s="10" t="s">
        <v>352</v>
      </c>
      <c r="U96" s="10" t="s">
        <v>352</v>
      </c>
      <c r="V96" s="10" t="s">
        <v>352</v>
      </c>
      <c r="W96" s="10" t="s">
        <v>352</v>
      </c>
      <c r="X96" s="10" t="s">
        <v>352</v>
      </c>
      <c r="Y96" s="10" t="s">
        <v>352</v>
      </c>
      <c r="Z96" s="10" t="s">
        <v>352</v>
      </c>
      <c r="AA96" s="10" t="s">
        <v>352</v>
      </c>
      <c r="AB96" s="10" t="s">
        <v>352</v>
      </c>
      <c r="AC96" s="10" t="s">
        <v>352</v>
      </c>
      <c r="AD96" s="10" t="s">
        <v>352</v>
      </c>
      <c r="AE96" s="10" t="s">
        <v>352</v>
      </c>
      <c r="AF96" s="10" t="s">
        <v>352</v>
      </c>
      <c r="AG96" s="10" t="s">
        <v>352</v>
      </c>
      <c r="AH96" s="10" t="s">
        <v>352</v>
      </c>
      <c r="AI96" s="10" t="s">
        <v>352</v>
      </c>
      <c r="AJ96" s="150">
        <v>0</v>
      </c>
      <c r="AK96" s="152">
        <v>92.1</v>
      </c>
      <c r="AL96" s="10" t="s">
        <v>352</v>
      </c>
      <c r="AM96" s="10" t="s">
        <v>352</v>
      </c>
      <c r="AN96" s="10" t="s">
        <v>352</v>
      </c>
      <c r="AO96" s="10" t="s">
        <v>352</v>
      </c>
      <c r="AP96" s="10" t="s">
        <v>352</v>
      </c>
      <c r="AQ96" s="160">
        <v>955.34</v>
      </c>
      <c r="AR96" s="161">
        <v>547.49</v>
      </c>
      <c r="AS96" s="10" t="s">
        <v>352</v>
      </c>
      <c r="AT96" s="122">
        <v>12</v>
      </c>
      <c r="AU96" s="122">
        <v>0.54</v>
      </c>
      <c r="AV96" s="61">
        <v>713.76859871196984</v>
      </c>
      <c r="AW96" s="61">
        <v>23.872692836186726</v>
      </c>
      <c r="AX96" s="131">
        <v>5.23</v>
      </c>
      <c r="AY96" s="10" t="s">
        <v>352</v>
      </c>
      <c r="AZ96" s="10" t="s">
        <v>352</v>
      </c>
      <c r="BA96" s="10" t="s">
        <v>352</v>
      </c>
      <c r="BB96" s="10" t="s">
        <v>352</v>
      </c>
      <c r="BC96" s="10" t="s">
        <v>352</v>
      </c>
      <c r="BD96" s="10" t="s">
        <v>352</v>
      </c>
      <c r="BE96" s="10" t="s">
        <v>352</v>
      </c>
      <c r="BF96" s="10" t="s">
        <v>352</v>
      </c>
      <c r="BG96" s="10" t="s">
        <v>352</v>
      </c>
      <c r="BH96" s="10" t="s">
        <v>352</v>
      </c>
      <c r="BI96" s="172">
        <v>13783</v>
      </c>
      <c r="BJ96" s="10" t="s">
        <v>352</v>
      </c>
      <c r="BK96" s="10" t="s">
        <v>352</v>
      </c>
      <c r="BL96" s="10" t="s">
        <v>352</v>
      </c>
      <c r="BM96" s="10" t="s">
        <v>352</v>
      </c>
      <c r="BN96" s="10" t="s">
        <v>352</v>
      </c>
      <c r="BO96" s="10" t="s">
        <v>352</v>
      </c>
      <c r="BP96" s="10" t="s">
        <v>352</v>
      </c>
      <c r="BQ96" s="10" t="s">
        <v>352</v>
      </c>
      <c r="BR96" s="10" t="s">
        <v>352</v>
      </c>
      <c r="BS96" s="10" t="s">
        <v>352</v>
      </c>
      <c r="BT96" s="188" t="s">
        <v>353</v>
      </c>
      <c r="BU96" s="131">
        <v>17.75</v>
      </c>
      <c r="BV96" s="10" t="s">
        <v>352</v>
      </c>
      <c r="BW96" s="10" t="s">
        <v>352</v>
      </c>
      <c r="BX96" s="10" t="s">
        <v>352</v>
      </c>
      <c r="BY96" s="10" t="s">
        <v>352</v>
      </c>
      <c r="BZ96" s="10" t="s">
        <v>352</v>
      </c>
      <c r="CA96" s="10" t="s">
        <v>352</v>
      </c>
      <c r="CB96" s="10" t="s">
        <v>352</v>
      </c>
      <c r="CC96" s="10" t="s">
        <v>352</v>
      </c>
      <c r="CD96" s="10" t="s">
        <v>352</v>
      </c>
    </row>
    <row r="97" spans="1:82">
      <c r="A97" s="3" t="s">
        <v>454</v>
      </c>
      <c r="B97" s="3" t="s">
        <v>455</v>
      </c>
      <c r="C97" s="27" t="s">
        <v>456</v>
      </c>
      <c r="D97" s="3" t="s">
        <v>456</v>
      </c>
      <c r="E97" s="29">
        <v>13001</v>
      </c>
      <c r="F97" s="3" t="s">
        <v>474</v>
      </c>
      <c r="G97" s="4">
        <v>13119</v>
      </c>
      <c r="H97" s="10" t="s">
        <v>352</v>
      </c>
      <c r="I97" s="10" t="s">
        <v>352</v>
      </c>
      <c r="J97" s="10" t="s">
        <v>352</v>
      </c>
      <c r="K97" s="10" t="s">
        <v>352</v>
      </c>
      <c r="L97" s="10" t="s">
        <v>352</v>
      </c>
      <c r="M97" s="10" t="s">
        <v>352</v>
      </c>
      <c r="N97" s="10" t="s">
        <v>352</v>
      </c>
      <c r="O97" s="60">
        <v>1258.33</v>
      </c>
      <c r="P97" s="10" t="s">
        <v>352</v>
      </c>
      <c r="Q97" s="121">
        <v>538.27</v>
      </c>
      <c r="R97" s="123">
        <v>1.33</v>
      </c>
      <c r="S97" s="60">
        <v>384.19</v>
      </c>
      <c r="T97" s="10" t="s">
        <v>352</v>
      </c>
      <c r="U97" s="10" t="s">
        <v>352</v>
      </c>
      <c r="V97" s="10" t="s">
        <v>352</v>
      </c>
      <c r="W97" s="10" t="s">
        <v>352</v>
      </c>
      <c r="X97" s="10" t="s">
        <v>352</v>
      </c>
      <c r="Y97" s="10" t="s">
        <v>352</v>
      </c>
      <c r="Z97" s="10" t="s">
        <v>352</v>
      </c>
      <c r="AA97" s="10" t="s">
        <v>352</v>
      </c>
      <c r="AB97" s="10" t="s">
        <v>352</v>
      </c>
      <c r="AC97" s="10" t="s">
        <v>352</v>
      </c>
      <c r="AD97" s="10" t="s">
        <v>352</v>
      </c>
      <c r="AE97" s="10" t="s">
        <v>352</v>
      </c>
      <c r="AF97" s="10" t="s">
        <v>352</v>
      </c>
      <c r="AG97" s="10" t="s">
        <v>352</v>
      </c>
      <c r="AH97" s="10" t="s">
        <v>352</v>
      </c>
      <c r="AI97" s="10" t="s">
        <v>352</v>
      </c>
      <c r="AJ97" s="150">
        <v>2.59</v>
      </c>
      <c r="AK97" s="152">
        <v>90.56</v>
      </c>
      <c r="AL97" s="10" t="s">
        <v>352</v>
      </c>
      <c r="AM97" s="10" t="s">
        <v>352</v>
      </c>
      <c r="AN97" s="10" t="s">
        <v>352</v>
      </c>
      <c r="AO97" s="10" t="s">
        <v>352</v>
      </c>
      <c r="AP97" s="10" t="s">
        <v>352</v>
      </c>
      <c r="AQ97" s="160">
        <v>848.94</v>
      </c>
      <c r="AR97" s="161">
        <v>330.82</v>
      </c>
      <c r="AS97" s="10" t="s">
        <v>352</v>
      </c>
      <c r="AT97" s="122">
        <v>14.21</v>
      </c>
      <c r="AU97" s="122">
        <v>0.42</v>
      </c>
      <c r="AV97" s="61">
        <v>843.151657607365</v>
      </c>
      <c r="AW97" s="61">
        <v>23.806223589495424</v>
      </c>
      <c r="AX97" s="131">
        <v>8.2100000000000009</v>
      </c>
      <c r="AY97" s="10" t="s">
        <v>352</v>
      </c>
      <c r="AZ97" s="10" t="s">
        <v>352</v>
      </c>
      <c r="BA97" s="10" t="s">
        <v>352</v>
      </c>
      <c r="BB97" s="10" t="s">
        <v>352</v>
      </c>
      <c r="BC97" s="10" t="s">
        <v>352</v>
      </c>
      <c r="BD97" s="10" t="s">
        <v>352</v>
      </c>
      <c r="BE97" s="10" t="s">
        <v>352</v>
      </c>
      <c r="BF97" s="10" t="s">
        <v>352</v>
      </c>
      <c r="BG97" s="10" t="s">
        <v>352</v>
      </c>
      <c r="BH97" s="10" t="s">
        <v>352</v>
      </c>
      <c r="BI97" s="172">
        <v>23063</v>
      </c>
      <c r="BJ97" s="10" t="s">
        <v>352</v>
      </c>
      <c r="BK97" s="10" t="s">
        <v>352</v>
      </c>
      <c r="BL97" s="10" t="s">
        <v>352</v>
      </c>
      <c r="BM97" s="10" t="s">
        <v>352</v>
      </c>
      <c r="BN97" s="10" t="s">
        <v>352</v>
      </c>
      <c r="BO97" s="10" t="s">
        <v>352</v>
      </c>
      <c r="BP97" s="10" t="s">
        <v>352</v>
      </c>
      <c r="BQ97" s="10" t="s">
        <v>352</v>
      </c>
      <c r="BR97" s="10" t="s">
        <v>352</v>
      </c>
      <c r="BS97" s="10" t="s">
        <v>352</v>
      </c>
      <c r="BT97" s="188" t="s">
        <v>353</v>
      </c>
      <c r="BU97" s="131">
        <v>44</v>
      </c>
      <c r="BV97" s="10" t="s">
        <v>352</v>
      </c>
      <c r="BW97" s="10" t="s">
        <v>352</v>
      </c>
      <c r="BX97" s="10" t="s">
        <v>352</v>
      </c>
      <c r="BY97" s="10" t="s">
        <v>352</v>
      </c>
      <c r="BZ97" s="10" t="s">
        <v>352</v>
      </c>
      <c r="CA97" s="10" t="s">
        <v>352</v>
      </c>
      <c r="CB97" s="10" t="s">
        <v>352</v>
      </c>
      <c r="CC97" s="10" t="s">
        <v>352</v>
      </c>
      <c r="CD97" s="10" t="s">
        <v>352</v>
      </c>
    </row>
    <row r="98" spans="1:82">
      <c r="A98" s="3" t="s">
        <v>454</v>
      </c>
      <c r="B98" s="3" t="s">
        <v>455</v>
      </c>
      <c r="C98" s="27" t="s">
        <v>456</v>
      </c>
      <c r="D98" s="3" t="s">
        <v>456</v>
      </c>
      <c r="E98" s="29">
        <v>13001</v>
      </c>
      <c r="F98" s="3" t="s">
        <v>475</v>
      </c>
      <c r="G98" s="4">
        <v>13120</v>
      </c>
      <c r="H98" s="10" t="s">
        <v>352</v>
      </c>
      <c r="I98" s="10" t="s">
        <v>352</v>
      </c>
      <c r="J98" s="10" t="s">
        <v>352</v>
      </c>
      <c r="K98" s="10" t="s">
        <v>352</v>
      </c>
      <c r="L98" s="10" t="s">
        <v>352</v>
      </c>
      <c r="M98" s="10" t="s">
        <v>352</v>
      </c>
      <c r="N98" s="10" t="s">
        <v>352</v>
      </c>
      <c r="O98" s="60">
        <v>1089.4000000000001</v>
      </c>
      <c r="P98" s="10" t="s">
        <v>352</v>
      </c>
      <c r="Q98" s="121">
        <v>535.08000000000004</v>
      </c>
      <c r="R98" s="123">
        <v>1.08</v>
      </c>
      <c r="S98" s="60">
        <v>462.1</v>
      </c>
      <c r="T98" s="10" t="s">
        <v>352</v>
      </c>
      <c r="U98" s="10" t="s">
        <v>352</v>
      </c>
      <c r="V98" s="10" t="s">
        <v>352</v>
      </c>
      <c r="W98" s="10" t="s">
        <v>352</v>
      </c>
      <c r="X98" s="10" t="s">
        <v>352</v>
      </c>
      <c r="Y98" s="10" t="s">
        <v>352</v>
      </c>
      <c r="Z98" s="10" t="s">
        <v>352</v>
      </c>
      <c r="AA98" s="10" t="s">
        <v>352</v>
      </c>
      <c r="AB98" s="10" t="s">
        <v>352</v>
      </c>
      <c r="AC98" s="10" t="s">
        <v>352</v>
      </c>
      <c r="AD98" s="10" t="s">
        <v>352</v>
      </c>
      <c r="AE98" s="10" t="s">
        <v>352</v>
      </c>
      <c r="AF98" s="10" t="s">
        <v>352</v>
      </c>
      <c r="AG98" s="10" t="s">
        <v>352</v>
      </c>
      <c r="AH98" s="10" t="s">
        <v>352</v>
      </c>
      <c r="AI98" s="10" t="s">
        <v>352</v>
      </c>
      <c r="AJ98" s="150">
        <v>0.8</v>
      </c>
      <c r="AK98" s="152">
        <v>141.88999999999999</v>
      </c>
      <c r="AL98" s="10" t="s">
        <v>352</v>
      </c>
      <c r="AM98" s="10" t="s">
        <v>352</v>
      </c>
      <c r="AN98" s="10" t="s">
        <v>352</v>
      </c>
      <c r="AO98" s="10" t="s">
        <v>352</v>
      </c>
      <c r="AP98" s="10" t="s">
        <v>352</v>
      </c>
      <c r="AQ98" s="160">
        <v>1192.3900000000001</v>
      </c>
      <c r="AR98" s="161">
        <v>678.73</v>
      </c>
      <c r="AS98" s="10" t="s">
        <v>352</v>
      </c>
      <c r="AT98" s="122">
        <v>23.06</v>
      </c>
      <c r="AU98" s="122">
        <v>0.16</v>
      </c>
      <c r="AV98" s="61">
        <v>790.90425636682357</v>
      </c>
      <c r="AW98" s="61">
        <v>32.099347700965659</v>
      </c>
      <c r="AX98" s="131">
        <v>2.82</v>
      </c>
      <c r="AY98" s="10" t="s">
        <v>352</v>
      </c>
      <c r="AZ98" s="10" t="s">
        <v>352</v>
      </c>
      <c r="BA98" s="10" t="s">
        <v>352</v>
      </c>
      <c r="BB98" s="10" t="s">
        <v>352</v>
      </c>
      <c r="BC98" s="10" t="s">
        <v>352</v>
      </c>
      <c r="BD98" s="10" t="s">
        <v>352</v>
      </c>
      <c r="BE98" s="10" t="s">
        <v>352</v>
      </c>
      <c r="BF98" s="10" t="s">
        <v>352</v>
      </c>
      <c r="BG98" s="10" t="s">
        <v>352</v>
      </c>
      <c r="BH98" s="10" t="s">
        <v>352</v>
      </c>
      <c r="BI98" s="172">
        <v>28751</v>
      </c>
      <c r="BJ98" s="10" t="s">
        <v>352</v>
      </c>
      <c r="BK98" s="10" t="s">
        <v>352</v>
      </c>
      <c r="BL98" s="10" t="s">
        <v>352</v>
      </c>
      <c r="BM98" s="10" t="s">
        <v>352</v>
      </c>
      <c r="BN98" s="10" t="s">
        <v>352</v>
      </c>
      <c r="BO98" s="10" t="s">
        <v>352</v>
      </c>
      <c r="BP98" s="10" t="s">
        <v>352</v>
      </c>
      <c r="BQ98" s="10" t="s">
        <v>352</v>
      </c>
      <c r="BR98" s="10" t="s">
        <v>352</v>
      </c>
      <c r="BS98" s="10" t="s">
        <v>352</v>
      </c>
      <c r="BT98" s="188" t="s">
        <v>353</v>
      </c>
      <c r="BU98" s="131">
        <v>7.3</v>
      </c>
      <c r="BV98" s="10" t="s">
        <v>352</v>
      </c>
      <c r="BW98" s="10" t="s">
        <v>352</v>
      </c>
      <c r="BX98" s="10" t="s">
        <v>352</v>
      </c>
      <c r="BY98" s="10" t="s">
        <v>352</v>
      </c>
      <c r="BZ98" s="10" t="s">
        <v>352</v>
      </c>
      <c r="CA98" s="10" t="s">
        <v>352</v>
      </c>
      <c r="CB98" s="10" t="s">
        <v>352</v>
      </c>
      <c r="CC98" s="10" t="s">
        <v>352</v>
      </c>
      <c r="CD98" s="10" t="s">
        <v>352</v>
      </c>
    </row>
    <row r="99" spans="1:82">
      <c r="A99" s="3" t="s">
        <v>454</v>
      </c>
      <c r="B99" s="3" t="s">
        <v>455</v>
      </c>
      <c r="C99" s="27" t="s">
        <v>456</v>
      </c>
      <c r="D99" s="3" t="s">
        <v>456</v>
      </c>
      <c r="E99" s="29">
        <v>13001</v>
      </c>
      <c r="F99" s="3" t="s">
        <v>476</v>
      </c>
      <c r="G99" s="4">
        <v>13121</v>
      </c>
      <c r="H99" s="10" t="s">
        <v>352</v>
      </c>
      <c r="I99" s="10" t="s">
        <v>352</v>
      </c>
      <c r="J99" s="10" t="s">
        <v>352</v>
      </c>
      <c r="K99" s="10" t="s">
        <v>352</v>
      </c>
      <c r="L99" s="10" t="s">
        <v>352</v>
      </c>
      <c r="M99" s="10" t="s">
        <v>352</v>
      </c>
      <c r="N99" s="10" t="s">
        <v>352</v>
      </c>
      <c r="O99" s="60">
        <v>695.3</v>
      </c>
      <c r="P99" s="10" t="s">
        <v>352</v>
      </c>
      <c r="Q99" s="121">
        <v>362.65</v>
      </c>
      <c r="R99" s="123">
        <v>1.31</v>
      </c>
      <c r="S99" s="60">
        <v>275.89999999999998</v>
      </c>
      <c r="T99" s="10" t="s">
        <v>352</v>
      </c>
      <c r="U99" s="10" t="s">
        <v>352</v>
      </c>
      <c r="V99" s="10" t="s">
        <v>352</v>
      </c>
      <c r="W99" s="10" t="s">
        <v>352</v>
      </c>
      <c r="X99" s="10" t="s">
        <v>352</v>
      </c>
      <c r="Y99" s="10" t="s">
        <v>352</v>
      </c>
      <c r="Z99" s="10" t="s">
        <v>352</v>
      </c>
      <c r="AA99" s="10" t="s">
        <v>352</v>
      </c>
      <c r="AB99" s="10" t="s">
        <v>352</v>
      </c>
      <c r="AC99" s="10" t="s">
        <v>352</v>
      </c>
      <c r="AD99" s="10" t="s">
        <v>352</v>
      </c>
      <c r="AE99" s="10" t="s">
        <v>352</v>
      </c>
      <c r="AF99" s="10" t="s">
        <v>352</v>
      </c>
      <c r="AG99" s="10" t="s">
        <v>352</v>
      </c>
      <c r="AH99" s="10" t="s">
        <v>352</v>
      </c>
      <c r="AI99" s="10" t="s">
        <v>352</v>
      </c>
      <c r="AJ99" s="150">
        <v>10.199999999999999</v>
      </c>
      <c r="AK99" s="152">
        <v>70.5</v>
      </c>
      <c r="AL99" s="10" t="s">
        <v>352</v>
      </c>
      <c r="AM99" s="10" t="s">
        <v>352</v>
      </c>
      <c r="AN99" s="10" t="s">
        <v>352</v>
      </c>
      <c r="AO99" s="10" t="s">
        <v>352</v>
      </c>
      <c r="AP99" s="10" t="s">
        <v>352</v>
      </c>
      <c r="AQ99" s="160">
        <v>857.74</v>
      </c>
      <c r="AR99" s="161">
        <v>183.85</v>
      </c>
      <c r="AS99" s="10" t="s">
        <v>352</v>
      </c>
      <c r="AT99" s="122">
        <v>5.04</v>
      </c>
      <c r="AU99" s="122">
        <v>0.16</v>
      </c>
      <c r="AV99" s="61">
        <v>702.90097815891727</v>
      </c>
      <c r="AW99" s="61">
        <v>19.464207860634676</v>
      </c>
      <c r="AX99" s="131">
        <v>8.74</v>
      </c>
      <c r="AY99" s="10" t="s">
        <v>352</v>
      </c>
      <c r="AZ99" s="10" t="s">
        <v>352</v>
      </c>
      <c r="BA99" s="10" t="s">
        <v>352</v>
      </c>
      <c r="BB99" s="10" t="s">
        <v>352</v>
      </c>
      <c r="BC99" s="10" t="s">
        <v>352</v>
      </c>
      <c r="BD99" s="10" t="s">
        <v>352</v>
      </c>
      <c r="BE99" s="10" t="s">
        <v>352</v>
      </c>
      <c r="BF99" s="10" t="s">
        <v>352</v>
      </c>
      <c r="BG99" s="10" t="s">
        <v>352</v>
      </c>
      <c r="BH99" s="10" t="s">
        <v>352</v>
      </c>
      <c r="BI99" s="172" t="s">
        <v>351</v>
      </c>
      <c r="BJ99" s="10" t="s">
        <v>352</v>
      </c>
      <c r="BK99" s="10" t="s">
        <v>352</v>
      </c>
      <c r="BL99" s="10" t="s">
        <v>352</v>
      </c>
      <c r="BM99" s="10" t="s">
        <v>352</v>
      </c>
      <c r="BN99" s="10" t="s">
        <v>352</v>
      </c>
      <c r="BO99" s="10" t="s">
        <v>352</v>
      </c>
      <c r="BP99" s="10" t="s">
        <v>352</v>
      </c>
      <c r="BQ99" s="10" t="s">
        <v>352</v>
      </c>
      <c r="BR99" s="10" t="s">
        <v>352</v>
      </c>
      <c r="BS99" s="10" t="s">
        <v>352</v>
      </c>
      <c r="BT99" s="188" t="s">
        <v>355</v>
      </c>
      <c r="BU99" s="131">
        <v>61.23</v>
      </c>
      <c r="BV99" s="10" t="s">
        <v>352</v>
      </c>
      <c r="BW99" s="10" t="s">
        <v>352</v>
      </c>
      <c r="BX99" s="10" t="s">
        <v>352</v>
      </c>
      <c r="BY99" s="10" t="s">
        <v>352</v>
      </c>
      <c r="BZ99" s="10" t="s">
        <v>352</v>
      </c>
      <c r="CA99" s="10" t="s">
        <v>352</v>
      </c>
      <c r="CB99" s="10" t="s">
        <v>352</v>
      </c>
      <c r="CC99" s="10" t="s">
        <v>352</v>
      </c>
      <c r="CD99" s="10" t="s">
        <v>352</v>
      </c>
    </row>
    <row r="100" spans="1:82">
      <c r="A100" s="3" t="s">
        <v>454</v>
      </c>
      <c r="B100" s="3" t="s">
        <v>455</v>
      </c>
      <c r="C100" s="27" t="s">
        <v>456</v>
      </c>
      <c r="D100" s="3" t="s">
        <v>456</v>
      </c>
      <c r="E100" s="29">
        <v>13001</v>
      </c>
      <c r="F100" s="3" t="s">
        <v>477</v>
      </c>
      <c r="G100" s="4">
        <v>13122</v>
      </c>
      <c r="H100" s="10" t="s">
        <v>352</v>
      </c>
      <c r="I100" s="10" t="s">
        <v>352</v>
      </c>
      <c r="J100" s="10" t="s">
        <v>352</v>
      </c>
      <c r="K100" s="10" t="s">
        <v>352</v>
      </c>
      <c r="L100" s="10" t="s">
        <v>352</v>
      </c>
      <c r="M100" s="10" t="s">
        <v>352</v>
      </c>
      <c r="N100" s="10" t="s">
        <v>352</v>
      </c>
      <c r="O100" s="60">
        <v>1067.57</v>
      </c>
      <c r="P100" s="10" t="s">
        <v>352</v>
      </c>
      <c r="Q100" s="121">
        <v>760.66</v>
      </c>
      <c r="R100" s="123">
        <v>0.83</v>
      </c>
      <c r="S100" s="60">
        <v>546.67999999999995</v>
      </c>
      <c r="T100" s="10" t="s">
        <v>352</v>
      </c>
      <c r="U100" s="10" t="s">
        <v>352</v>
      </c>
      <c r="V100" s="10" t="s">
        <v>352</v>
      </c>
      <c r="W100" s="10" t="s">
        <v>352</v>
      </c>
      <c r="X100" s="10" t="s">
        <v>352</v>
      </c>
      <c r="Y100" s="10" t="s">
        <v>352</v>
      </c>
      <c r="Z100" s="10" t="s">
        <v>352</v>
      </c>
      <c r="AA100" s="10" t="s">
        <v>352</v>
      </c>
      <c r="AB100" s="10" t="s">
        <v>352</v>
      </c>
      <c r="AC100" s="10" t="s">
        <v>352</v>
      </c>
      <c r="AD100" s="10" t="s">
        <v>352</v>
      </c>
      <c r="AE100" s="10" t="s">
        <v>352</v>
      </c>
      <c r="AF100" s="10" t="s">
        <v>352</v>
      </c>
      <c r="AG100" s="10" t="s">
        <v>352</v>
      </c>
      <c r="AH100" s="10" t="s">
        <v>352</v>
      </c>
      <c r="AI100" s="10" t="s">
        <v>352</v>
      </c>
      <c r="AJ100" s="150">
        <v>3.75</v>
      </c>
      <c r="AK100" s="152">
        <v>78.709999999999994</v>
      </c>
      <c r="AL100" s="10" t="s">
        <v>352</v>
      </c>
      <c r="AM100" s="10" t="s">
        <v>352</v>
      </c>
      <c r="AN100" s="10" t="s">
        <v>352</v>
      </c>
      <c r="AO100" s="10" t="s">
        <v>352</v>
      </c>
      <c r="AP100" s="10" t="s">
        <v>352</v>
      </c>
      <c r="AQ100" s="160">
        <v>953.54</v>
      </c>
      <c r="AR100" s="161">
        <v>187.68</v>
      </c>
      <c r="AS100" s="10" t="s">
        <v>352</v>
      </c>
      <c r="AT100" s="122">
        <v>32.020000000000003</v>
      </c>
      <c r="AU100" s="122">
        <v>0.6</v>
      </c>
      <c r="AV100" s="61">
        <v>673.40235333250178</v>
      </c>
      <c r="AW100" s="61">
        <v>18.211530821070625</v>
      </c>
      <c r="AX100" s="131">
        <v>5.89</v>
      </c>
      <c r="AY100" s="10" t="s">
        <v>352</v>
      </c>
      <c r="AZ100" s="10" t="s">
        <v>352</v>
      </c>
      <c r="BA100" s="10" t="s">
        <v>352</v>
      </c>
      <c r="BB100" s="10" t="s">
        <v>352</v>
      </c>
      <c r="BC100" s="10" t="s">
        <v>352</v>
      </c>
      <c r="BD100" s="10" t="s">
        <v>352</v>
      </c>
      <c r="BE100" s="10" t="s">
        <v>352</v>
      </c>
      <c r="BF100" s="10" t="s">
        <v>352</v>
      </c>
      <c r="BG100" s="10" t="s">
        <v>352</v>
      </c>
      <c r="BH100" s="10" t="s">
        <v>352</v>
      </c>
      <c r="BI100" s="172">
        <v>16683</v>
      </c>
      <c r="BJ100" s="10" t="s">
        <v>352</v>
      </c>
      <c r="BK100" s="10" t="s">
        <v>352</v>
      </c>
      <c r="BL100" s="10" t="s">
        <v>352</v>
      </c>
      <c r="BM100" s="10" t="s">
        <v>352</v>
      </c>
      <c r="BN100" s="10" t="s">
        <v>352</v>
      </c>
      <c r="BO100" s="10" t="s">
        <v>352</v>
      </c>
      <c r="BP100" s="10" t="s">
        <v>352</v>
      </c>
      <c r="BQ100" s="10" t="s">
        <v>352</v>
      </c>
      <c r="BR100" s="10" t="s">
        <v>352</v>
      </c>
      <c r="BS100" s="10" t="s">
        <v>352</v>
      </c>
      <c r="BT100" s="188" t="s">
        <v>353</v>
      </c>
      <c r="BU100" s="131">
        <v>26.33</v>
      </c>
      <c r="BV100" s="10" t="s">
        <v>352</v>
      </c>
      <c r="BW100" s="10" t="s">
        <v>352</v>
      </c>
      <c r="BX100" s="10" t="s">
        <v>352</v>
      </c>
      <c r="BY100" s="10" t="s">
        <v>352</v>
      </c>
      <c r="BZ100" s="10" t="s">
        <v>352</v>
      </c>
      <c r="CA100" s="10" t="s">
        <v>352</v>
      </c>
      <c r="CB100" s="10" t="s">
        <v>352</v>
      </c>
      <c r="CC100" s="10" t="s">
        <v>352</v>
      </c>
      <c r="CD100" s="10" t="s">
        <v>352</v>
      </c>
    </row>
    <row r="101" spans="1:82">
      <c r="A101" s="3" t="s">
        <v>454</v>
      </c>
      <c r="B101" s="3" t="s">
        <v>455</v>
      </c>
      <c r="C101" s="27" t="s">
        <v>456</v>
      </c>
      <c r="D101" s="3" t="s">
        <v>456</v>
      </c>
      <c r="E101" s="29">
        <v>13001</v>
      </c>
      <c r="F101" s="3" t="s">
        <v>478</v>
      </c>
      <c r="G101" s="4">
        <v>13123</v>
      </c>
      <c r="H101" s="10" t="s">
        <v>352</v>
      </c>
      <c r="I101" s="10" t="s">
        <v>352</v>
      </c>
      <c r="J101" s="10" t="s">
        <v>352</v>
      </c>
      <c r="K101" s="10" t="s">
        <v>352</v>
      </c>
      <c r="L101" s="10" t="s">
        <v>352</v>
      </c>
      <c r="M101" s="10" t="s">
        <v>352</v>
      </c>
      <c r="N101" s="10" t="s">
        <v>352</v>
      </c>
      <c r="O101" s="60">
        <v>1084.74</v>
      </c>
      <c r="P101" s="10" t="s">
        <v>352</v>
      </c>
      <c r="Q101" s="121">
        <v>690.76</v>
      </c>
      <c r="R101" s="123">
        <v>1.45</v>
      </c>
      <c r="S101" s="60">
        <v>808.55</v>
      </c>
      <c r="T101" s="10" t="s">
        <v>352</v>
      </c>
      <c r="U101" s="10" t="s">
        <v>352</v>
      </c>
      <c r="V101" s="10" t="s">
        <v>352</v>
      </c>
      <c r="W101" s="10" t="s">
        <v>352</v>
      </c>
      <c r="X101" s="10" t="s">
        <v>352</v>
      </c>
      <c r="Y101" s="10" t="s">
        <v>352</v>
      </c>
      <c r="Z101" s="10" t="s">
        <v>352</v>
      </c>
      <c r="AA101" s="10" t="s">
        <v>352</v>
      </c>
      <c r="AB101" s="10" t="s">
        <v>352</v>
      </c>
      <c r="AC101" s="10" t="s">
        <v>352</v>
      </c>
      <c r="AD101" s="10" t="s">
        <v>352</v>
      </c>
      <c r="AE101" s="10" t="s">
        <v>352</v>
      </c>
      <c r="AF101" s="10" t="s">
        <v>352</v>
      </c>
      <c r="AG101" s="10" t="s">
        <v>352</v>
      </c>
      <c r="AH101" s="10" t="s">
        <v>352</v>
      </c>
      <c r="AI101" s="10" t="s">
        <v>352</v>
      </c>
      <c r="AJ101" s="150">
        <v>1.9</v>
      </c>
      <c r="AK101" s="152">
        <v>201.59</v>
      </c>
      <c r="AL101" s="10" t="s">
        <v>352</v>
      </c>
      <c r="AM101" s="10" t="s">
        <v>352</v>
      </c>
      <c r="AN101" s="10" t="s">
        <v>352</v>
      </c>
      <c r="AO101" s="10" t="s">
        <v>352</v>
      </c>
      <c r="AP101" s="10" t="s">
        <v>352</v>
      </c>
      <c r="AQ101" s="160">
        <v>1694.2</v>
      </c>
      <c r="AR101" s="161">
        <v>1839.1</v>
      </c>
      <c r="AS101" s="10" t="s">
        <v>352</v>
      </c>
      <c r="AT101" s="122">
        <v>36.380000000000003</v>
      </c>
      <c r="AU101" s="122">
        <v>0.19</v>
      </c>
      <c r="AV101" s="61">
        <v>738.17357707482904</v>
      </c>
      <c r="AW101" s="61">
        <v>34.275336135252836</v>
      </c>
      <c r="AX101" s="131">
        <v>3.07</v>
      </c>
      <c r="AY101" s="10" t="s">
        <v>352</v>
      </c>
      <c r="AZ101" s="10" t="s">
        <v>352</v>
      </c>
      <c r="BA101" s="10" t="s">
        <v>352</v>
      </c>
      <c r="BB101" s="10" t="s">
        <v>352</v>
      </c>
      <c r="BC101" s="10" t="s">
        <v>352</v>
      </c>
      <c r="BD101" s="10" t="s">
        <v>352</v>
      </c>
      <c r="BE101" s="10" t="s">
        <v>352</v>
      </c>
      <c r="BF101" s="10" t="s">
        <v>352</v>
      </c>
      <c r="BG101" s="10" t="s">
        <v>352</v>
      </c>
      <c r="BH101" s="10" t="s">
        <v>352</v>
      </c>
      <c r="BI101" s="172">
        <v>22539</v>
      </c>
      <c r="BJ101" s="10" t="s">
        <v>352</v>
      </c>
      <c r="BK101" s="10" t="s">
        <v>352</v>
      </c>
      <c r="BL101" s="10" t="s">
        <v>352</v>
      </c>
      <c r="BM101" s="10" t="s">
        <v>352</v>
      </c>
      <c r="BN101" s="10" t="s">
        <v>352</v>
      </c>
      <c r="BO101" s="10" t="s">
        <v>352</v>
      </c>
      <c r="BP101" s="10" t="s">
        <v>352</v>
      </c>
      <c r="BQ101" s="10" t="s">
        <v>352</v>
      </c>
      <c r="BR101" s="10" t="s">
        <v>352</v>
      </c>
      <c r="BS101" s="10" t="s">
        <v>352</v>
      </c>
      <c r="BT101" s="188" t="s">
        <v>353</v>
      </c>
      <c r="BU101" s="131">
        <v>2.15</v>
      </c>
      <c r="BV101" s="10" t="s">
        <v>352</v>
      </c>
      <c r="BW101" s="10" t="s">
        <v>352</v>
      </c>
      <c r="BX101" s="10" t="s">
        <v>352</v>
      </c>
      <c r="BY101" s="10" t="s">
        <v>352</v>
      </c>
      <c r="BZ101" s="10" t="s">
        <v>352</v>
      </c>
      <c r="CA101" s="10" t="s">
        <v>352</v>
      </c>
      <c r="CB101" s="10" t="s">
        <v>352</v>
      </c>
      <c r="CC101" s="10" t="s">
        <v>352</v>
      </c>
      <c r="CD101" s="10" t="s">
        <v>352</v>
      </c>
    </row>
    <row r="102" spans="1:82">
      <c r="A102" s="3" t="s">
        <v>454</v>
      </c>
      <c r="B102" s="3" t="s">
        <v>455</v>
      </c>
      <c r="C102" s="27" t="s">
        <v>456</v>
      </c>
      <c r="D102" s="3" t="s">
        <v>456</v>
      </c>
      <c r="E102" s="29">
        <v>13001</v>
      </c>
      <c r="F102" s="3" t="s">
        <v>479</v>
      </c>
      <c r="G102" s="4">
        <v>13124</v>
      </c>
      <c r="H102" s="10" t="s">
        <v>352</v>
      </c>
      <c r="I102" s="10" t="s">
        <v>352</v>
      </c>
      <c r="J102" s="10" t="s">
        <v>352</v>
      </c>
      <c r="K102" s="10" t="s">
        <v>352</v>
      </c>
      <c r="L102" s="10" t="s">
        <v>352</v>
      </c>
      <c r="M102" s="10" t="s">
        <v>352</v>
      </c>
      <c r="N102" s="10" t="s">
        <v>352</v>
      </c>
      <c r="O102" s="60">
        <v>660.45</v>
      </c>
      <c r="P102" s="10" t="s">
        <v>352</v>
      </c>
      <c r="Q102" s="121">
        <v>374.17</v>
      </c>
      <c r="R102" s="123">
        <v>0.97</v>
      </c>
      <c r="S102" s="60">
        <v>384.8</v>
      </c>
      <c r="T102" s="10" t="s">
        <v>352</v>
      </c>
      <c r="U102" s="10" t="s">
        <v>352</v>
      </c>
      <c r="V102" s="10" t="s">
        <v>352</v>
      </c>
      <c r="W102" s="10" t="s">
        <v>352</v>
      </c>
      <c r="X102" s="10" t="s">
        <v>352</v>
      </c>
      <c r="Y102" s="10" t="s">
        <v>352</v>
      </c>
      <c r="Z102" s="10" t="s">
        <v>352</v>
      </c>
      <c r="AA102" s="10" t="s">
        <v>352</v>
      </c>
      <c r="AB102" s="10" t="s">
        <v>352</v>
      </c>
      <c r="AC102" s="10" t="s">
        <v>352</v>
      </c>
      <c r="AD102" s="10" t="s">
        <v>352</v>
      </c>
      <c r="AE102" s="10" t="s">
        <v>352</v>
      </c>
      <c r="AF102" s="10" t="s">
        <v>352</v>
      </c>
      <c r="AG102" s="10" t="s">
        <v>352</v>
      </c>
      <c r="AH102" s="10" t="s">
        <v>352</v>
      </c>
      <c r="AI102" s="10" t="s">
        <v>352</v>
      </c>
      <c r="AJ102" s="150">
        <v>5.93</v>
      </c>
      <c r="AK102" s="152">
        <v>109.43</v>
      </c>
      <c r="AL102" s="10" t="s">
        <v>352</v>
      </c>
      <c r="AM102" s="10" t="s">
        <v>352</v>
      </c>
      <c r="AN102" s="10" t="s">
        <v>352</v>
      </c>
      <c r="AO102" s="10" t="s">
        <v>352</v>
      </c>
      <c r="AP102" s="10" t="s">
        <v>352</v>
      </c>
      <c r="AQ102" s="160">
        <v>860.85</v>
      </c>
      <c r="AR102" s="161">
        <v>865.35</v>
      </c>
      <c r="AS102" s="10" t="s">
        <v>352</v>
      </c>
      <c r="AT102" s="122">
        <v>11.36</v>
      </c>
      <c r="AU102" s="122">
        <v>0.14000000000000001</v>
      </c>
      <c r="AV102" s="61">
        <v>729.19046310888768</v>
      </c>
      <c r="AW102" s="61">
        <v>19.923046231517073</v>
      </c>
      <c r="AX102" s="131">
        <v>8.7100000000000009</v>
      </c>
      <c r="AY102" s="10" t="s">
        <v>352</v>
      </c>
      <c r="AZ102" s="10" t="s">
        <v>352</v>
      </c>
      <c r="BA102" s="10" t="s">
        <v>352</v>
      </c>
      <c r="BB102" s="10" t="s">
        <v>352</v>
      </c>
      <c r="BC102" s="10" t="s">
        <v>352</v>
      </c>
      <c r="BD102" s="10" t="s">
        <v>352</v>
      </c>
      <c r="BE102" s="10" t="s">
        <v>352</v>
      </c>
      <c r="BF102" s="10" t="s">
        <v>352</v>
      </c>
      <c r="BG102" s="10" t="s">
        <v>352</v>
      </c>
      <c r="BH102" s="10" t="s">
        <v>352</v>
      </c>
      <c r="BI102" s="172">
        <v>12445</v>
      </c>
      <c r="BJ102" s="10" t="s">
        <v>352</v>
      </c>
      <c r="BK102" s="10" t="s">
        <v>352</v>
      </c>
      <c r="BL102" s="10" t="s">
        <v>352</v>
      </c>
      <c r="BM102" s="10" t="s">
        <v>352</v>
      </c>
      <c r="BN102" s="10" t="s">
        <v>352</v>
      </c>
      <c r="BO102" s="10" t="s">
        <v>352</v>
      </c>
      <c r="BP102" s="10" t="s">
        <v>352</v>
      </c>
      <c r="BQ102" s="10" t="s">
        <v>352</v>
      </c>
      <c r="BR102" s="10" t="s">
        <v>352</v>
      </c>
      <c r="BS102" s="10" t="s">
        <v>352</v>
      </c>
      <c r="BT102" s="188" t="s">
        <v>355</v>
      </c>
      <c r="BU102" s="131">
        <v>30.22</v>
      </c>
      <c r="BV102" s="10" t="s">
        <v>352</v>
      </c>
      <c r="BW102" s="10" t="s">
        <v>352</v>
      </c>
      <c r="BX102" s="10" t="s">
        <v>352</v>
      </c>
      <c r="BY102" s="10" t="s">
        <v>352</v>
      </c>
      <c r="BZ102" s="10" t="s">
        <v>352</v>
      </c>
      <c r="CA102" s="10" t="s">
        <v>352</v>
      </c>
      <c r="CB102" s="10" t="s">
        <v>352</v>
      </c>
      <c r="CC102" s="10" t="s">
        <v>352</v>
      </c>
      <c r="CD102" s="10" t="s">
        <v>352</v>
      </c>
    </row>
    <row r="103" spans="1:82">
      <c r="A103" s="3" t="s">
        <v>454</v>
      </c>
      <c r="B103" s="3" t="s">
        <v>455</v>
      </c>
      <c r="C103" s="27" t="s">
        <v>456</v>
      </c>
      <c r="D103" s="3" t="s">
        <v>456</v>
      </c>
      <c r="E103" s="29">
        <v>13001</v>
      </c>
      <c r="F103" s="3" t="s">
        <v>480</v>
      </c>
      <c r="G103" s="4">
        <v>13125</v>
      </c>
      <c r="H103" s="10" t="s">
        <v>352</v>
      </c>
      <c r="I103" s="10" t="s">
        <v>352</v>
      </c>
      <c r="J103" s="10" t="s">
        <v>352</v>
      </c>
      <c r="K103" s="10" t="s">
        <v>352</v>
      </c>
      <c r="L103" s="10" t="s">
        <v>352</v>
      </c>
      <c r="M103" s="10" t="s">
        <v>352</v>
      </c>
      <c r="N103" s="10" t="s">
        <v>352</v>
      </c>
      <c r="O103" s="60">
        <v>885.04</v>
      </c>
      <c r="P103" s="10" t="s">
        <v>352</v>
      </c>
      <c r="Q103" s="121">
        <v>614.71</v>
      </c>
      <c r="R103" s="123">
        <v>1.24</v>
      </c>
      <c r="S103" s="60">
        <v>489.88</v>
      </c>
      <c r="T103" s="10" t="s">
        <v>352</v>
      </c>
      <c r="U103" s="10" t="s">
        <v>352</v>
      </c>
      <c r="V103" s="10" t="s">
        <v>352</v>
      </c>
      <c r="W103" s="10" t="s">
        <v>352</v>
      </c>
      <c r="X103" s="10" t="s">
        <v>352</v>
      </c>
      <c r="Y103" s="10" t="s">
        <v>352</v>
      </c>
      <c r="Z103" s="10" t="s">
        <v>352</v>
      </c>
      <c r="AA103" s="10" t="s">
        <v>352</v>
      </c>
      <c r="AB103" s="10" t="s">
        <v>352</v>
      </c>
      <c r="AC103" s="10" t="s">
        <v>352</v>
      </c>
      <c r="AD103" s="10" t="s">
        <v>352</v>
      </c>
      <c r="AE103" s="10" t="s">
        <v>352</v>
      </c>
      <c r="AF103" s="10" t="s">
        <v>352</v>
      </c>
      <c r="AG103" s="10" t="s">
        <v>352</v>
      </c>
      <c r="AH103" s="10" t="s">
        <v>352</v>
      </c>
      <c r="AI103" s="10" t="s">
        <v>352</v>
      </c>
      <c r="AJ103" s="150">
        <v>1.96</v>
      </c>
      <c r="AK103" s="152">
        <v>46.33</v>
      </c>
      <c r="AL103" s="10" t="s">
        <v>352</v>
      </c>
      <c r="AM103" s="10" t="s">
        <v>352</v>
      </c>
      <c r="AN103" s="10" t="s">
        <v>352</v>
      </c>
      <c r="AO103" s="10" t="s">
        <v>352</v>
      </c>
      <c r="AP103" s="10" t="s">
        <v>352</v>
      </c>
      <c r="AQ103" s="160">
        <v>761.99</v>
      </c>
      <c r="AR103" s="161">
        <v>780.87</v>
      </c>
      <c r="AS103" s="10" t="s">
        <v>352</v>
      </c>
      <c r="AT103" s="122">
        <v>9.7100000000000009</v>
      </c>
      <c r="AU103" s="122">
        <v>0.2</v>
      </c>
      <c r="AV103" s="61">
        <v>742.79090447154476</v>
      </c>
      <c r="AW103" s="61">
        <v>18.366353349509605</v>
      </c>
      <c r="AX103" s="131">
        <v>6.3</v>
      </c>
      <c r="AY103" s="10" t="s">
        <v>352</v>
      </c>
      <c r="AZ103" s="10" t="s">
        <v>352</v>
      </c>
      <c r="BA103" s="10" t="s">
        <v>352</v>
      </c>
      <c r="BB103" s="10" t="s">
        <v>352</v>
      </c>
      <c r="BC103" s="10" t="s">
        <v>352</v>
      </c>
      <c r="BD103" s="10" t="s">
        <v>352</v>
      </c>
      <c r="BE103" s="10" t="s">
        <v>352</v>
      </c>
      <c r="BF103" s="10" t="s">
        <v>352</v>
      </c>
      <c r="BG103" s="10" t="s">
        <v>352</v>
      </c>
      <c r="BH103" s="10" t="s">
        <v>352</v>
      </c>
      <c r="BI103" s="172">
        <v>26939</v>
      </c>
      <c r="BJ103" s="10" t="s">
        <v>352</v>
      </c>
      <c r="BK103" s="10" t="s">
        <v>352</v>
      </c>
      <c r="BL103" s="10" t="s">
        <v>352</v>
      </c>
      <c r="BM103" s="10" t="s">
        <v>352</v>
      </c>
      <c r="BN103" s="10" t="s">
        <v>352</v>
      </c>
      <c r="BO103" s="10" t="s">
        <v>352</v>
      </c>
      <c r="BP103" s="10" t="s">
        <v>352</v>
      </c>
      <c r="BQ103" s="10" t="s">
        <v>352</v>
      </c>
      <c r="BR103" s="10" t="s">
        <v>352</v>
      </c>
      <c r="BS103" s="10" t="s">
        <v>352</v>
      </c>
      <c r="BT103" s="188" t="s">
        <v>355</v>
      </c>
      <c r="BU103" s="131">
        <v>16.260000000000002</v>
      </c>
      <c r="BV103" s="10" t="s">
        <v>352</v>
      </c>
      <c r="BW103" s="10" t="s">
        <v>352</v>
      </c>
      <c r="BX103" s="10" t="s">
        <v>352</v>
      </c>
      <c r="BY103" s="10" t="s">
        <v>352</v>
      </c>
      <c r="BZ103" s="10" t="s">
        <v>352</v>
      </c>
      <c r="CA103" s="10" t="s">
        <v>352</v>
      </c>
      <c r="CB103" s="10" t="s">
        <v>352</v>
      </c>
      <c r="CC103" s="10" t="s">
        <v>352</v>
      </c>
      <c r="CD103" s="10" t="s">
        <v>352</v>
      </c>
    </row>
    <row r="104" spans="1:82">
      <c r="A104" s="3" t="s">
        <v>454</v>
      </c>
      <c r="B104" s="3" t="s">
        <v>455</v>
      </c>
      <c r="C104" s="27" t="s">
        <v>456</v>
      </c>
      <c r="D104" s="3" t="s">
        <v>456</v>
      </c>
      <c r="E104" s="29">
        <v>13001</v>
      </c>
      <c r="F104" s="3" t="s">
        <v>481</v>
      </c>
      <c r="G104" s="4">
        <v>13126</v>
      </c>
      <c r="H104" s="10" t="s">
        <v>352</v>
      </c>
      <c r="I104" s="10" t="s">
        <v>352</v>
      </c>
      <c r="J104" s="10" t="s">
        <v>352</v>
      </c>
      <c r="K104" s="10" t="s">
        <v>352</v>
      </c>
      <c r="L104" s="10" t="s">
        <v>352</v>
      </c>
      <c r="M104" s="10" t="s">
        <v>352</v>
      </c>
      <c r="N104" s="10" t="s">
        <v>352</v>
      </c>
      <c r="O104" s="60">
        <v>799.68</v>
      </c>
      <c r="P104" s="10" t="s">
        <v>352</v>
      </c>
      <c r="Q104" s="121">
        <v>415.54</v>
      </c>
      <c r="R104" s="123">
        <v>1.52</v>
      </c>
      <c r="S104" s="60">
        <v>323.08999999999997</v>
      </c>
      <c r="T104" s="10" t="s">
        <v>352</v>
      </c>
      <c r="U104" s="10" t="s">
        <v>352</v>
      </c>
      <c r="V104" s="10" t="s">
        <v>352</v>
      </c>
      <c r="W104" s="10" t="s">
        <v>352</v>
      </c>
      <c r="X104" s="10" t="s">
        <v>352</v>
      </c>
      <c r="Y104" s="10" t="s">
        <v>352</v>
      </c>
      <c r="Z104" s="10" t="s">
        <v>352</v>
      </c>
      <c r="AA104" s="10" t="s">
        <v>352</v>
      </c>
      <c r="AB104" s="10" t="s">
        <v>352</v>
      </c>
      <c r="AC104" s="10" t="s">
        <v>352</v>
      </c>
      <c r="AD104" s="10" t="s">
        <v>352</v>
      </c>
      <c r="AE104" s="10" t="s">
        <v>352</v>
      </c>
      <c r="AF104" s="10" t="s">
        <v>352</v>
      </c>
      <c r="AG104" s="10" t="s">
        <v>352</v>
      </c>
      <c r="AH104" s="10" t="s">
        <v>352</v>
      </c>
      <c r="AI104" s="10" t="s">
        <v>352</v>
      </c>
      <c r="AJ104" s="150">
        <v>2.2000000000000002</v>
      </c>
      <c r="AK104" s="152">
        <v>151.06</v>
      </c>
      <c r="AL104" s="10" t="s">
        <v>352</v>
      </c>
      <c r="AM104" s="10" t="s">
        <v>352</v>
      </c>
      <c r="AN104" s="10" t="s">
        <v>352</v>
      </c>
      <c r="AO104" s="10" t="s">
        <v>352</v>
      </c>
      <c r="AP104" s="10" t="s">
        <v>352</v>
      </c>
      <c r="AQ104" s="160">
        <v>915.73</v>
      </c>
      <c r="AR104" s="161">
        <v>478.98</v>
      </c>
      <c r="AS104" s="10" t="s">
        <v>352</v>
      </c>
      <c r="AT104" s="122">
        <v>9.2100000000000009</v>
      </c>
      <c r="AU104" s="122">
        <v>0.08</v>
      </c>
      <c r="AV104" s="61">
        <v>657.24069118780892</v>
      </c>
      <c r="AW104" s="61">
        <v>21.253519887363602</v>
      </c>
      <c r="AX104" s="131">
        <v>8.27</v>
      </c>
      <c r="AY104" s="10" t="s">
        <v>352</v>
      </c>
      <c r="AZ104" s="10" t="s">
        <v>352</v>
      </c>
      <c r="BA104" s="10" t="s">
        <v>352</v>
      </c>
      <c r="BB104" s="10" t="s">
        <v>352</v>
      </c>
      <c r="BC104" s="10" t="s">
        <v>352</v>
      </c>
      <c r="BD104" s="10" t="s">
        <v>352</v>
      </c>
      <c r="BE104" s="10" t="s">
        <v>352</v>
      </c>
      <c r="BF104" s="10" t="s">
        <v>352</v>
      </c>
      <c r="BG104" s="10" t="s">
        <v>352</v>
      </c>
      <c r="BH104" s="10" t="s">
        <v>352</v>
      </c>
      <c r="BI104" s="172">
        <v>28066</v>
      </c>
      <c r="BJ104" s="10" t="s">
        <v>352</v>
      </c>
      <c r="BK104" s="10" t="s">
        <v>352</v>
      </c>
      <c r="BL104" s="10" t="s">
        <v>352</v>
      </c>
      <c r="BM104" s="10" t="s">
        <v>352</v>
      </c>
      <c r="BN104" s="10" t="s">
        <v>352</v>
      </c>
      <c r="BO104" s="10" t="s">
        <v>352</v>
      </c>
      <c r="BP104" s="10" t="s">
        <v>352</v>
      </c>
      <c r="BQ104" s="10" t="s">
        <v>352</v>
      </c>
      <c r="BR104" s="10" t="s">
        <v>352</v>
      </c>
      <c r="BS104" s="10" t="s">
        <v>352</v>
      </c>
      <c r="BT104" s="188" t="s">
        <v>353</v>
      </c>
      <c r="BU104" s="131">
        <v>28.55</v>
      </c>
      <c r="BV104" s="10" t="s">
        <v>352</v>
      </c>
      <c r="BW104" s="10" t="s">
        <v>352</v>
      </c>
      <c r="BX104" s="10" t="s">
        <v>352</v>
      </c>
      <c r="BY104" s="10" t="s">
        <v>352</v>
      </c>
      <c r="BZ104" s="10" t="s">
        <v>352</v>
      </c>
      <c r="CA104" s="10" t="s">
        <v>352</v>
      </c>
      <c r="CB104" s="10" t="s">
        <v>352</v>
      </c>
      <c r="CC104" s="10" t="s">
        <v>352</v>
      </c>
      <c r="CD104" s="10" t="s">
        <v>352</v>
      </c>
    </row>
    <row r="105" spans="1:82">
      <c r="A105" s="3" t="s">
        <v>454</v>
      </c>
      <c r="B105" s="3" t="s">
        <v>455</v>
      </c>
      <c r="C105" s="27" t="s">
        <v>456</v>
      </c>
      <c r="D105" s="3" t="s">
        <v>456</v>
      </c>
      <c r="E105" s="29">
        <v>13001</v>
      </c>
      <c r="F105" s="3" t="s">
        <v>482</v>
      </c>
      <c r="G105" s="4">
        <v>13127</v>
      </c>
      <c r="H105" s="10" t="s">
        <v>352</v>
      </c>
      <c r="I105" s="10" t="s">
        <v>352</v>
      </c>
      <c r="J105" s="10" t="s">
        <v>352</v>
      </c>
      <c r="K105" s="10" t="s">
        <v>352</v>
      </c>
      <c r="L105" s="10" t="s">
        <v>352</v>
      </c>
      <c r="M105" s="10" t="s">
        <v>352</v>
      </c>
      <c r="N105" s="10" t="s">
        <v>352</v>
      </c>
      <c r="O105" s="60">
        <v>896.72</v>
      </c>
      <c r="P105" s="10" t="s">
        <v>352</v>
      </c>
      <c r="Q105" s="121">
        <v>426.06</v>
      </c>
      <c r="R105" s="123">
        <v>1.49</v>
      </c>
      <c r="S105" s="60">
        <v>344.73</v>
      </c>
      <c r="T105" s="10" t="s">
        <v>352</v>
      </c>
      <c r="U105" s="10" t="s">
        <v>352</v>
      </c>
      <c r="V105" s="10" t="s">
        <v>352</v>
      </c>
      <c r="W105" s="10" t="s">
        <v>352</v>
      </c>
      <c r="X105" s="10" t="s">
        <v>352</v>
      </c>
      <c r="Y105" s="10" t="s">
        <v>352</v>
      </c>
      <c r="Z105" s="10" t="s">
        <v>352</v>
      </c>
      <c r="AA105" s="10" t="s">
        <v>352</v>
      </c>
      <c r="AB105" s="10" t="s">
        <v>352</v>
      </c>
      <c r="AC105" s="10" t="s">
        <v>352</v>
      </c>
      <c r="AD105" s="10" t="s">
        <v>352</v>
      </c>
      <c r="AE105" s="10" t="s">
        <v>352</v>
      </c>
      <c r="AF105" s="10" t="s">
        <v>352</v>
      </c>
      <c r="AG105" s="10" t="s">
        <v>352</v>
      </c>
      <c r="AH105" s="10" t="s">
        <v>352</v>
      </c>
      <c r="AI105" s="10" t="s">
        <v>352</v>
      </c>
      <c r="AJ105" s="150">
        <v>5.79</v>
      </c>
      <c r="AK105" s="152">
        <v>74.709999999999994</v>
      </c>
      <c r="AL105" s="10" t="s">
        <v>352</v>
      </c>
      <c r="AM105" s="10" t="s">
        <v>352</v>
      </c>
      <c r="AN105" s="10" t="s">
        <v>352</v>
      </c>
      <c r="AO105" s="10" t="s">
        <v>352</v>
      </c>
      <c r="AP105" s="10" t="s">
        <v>352</v>
      </c>
      <c r="AQ105" s="160">
        <v>824.53</v>
      </c>
      <c r="AR105" s="161">
        <v>426.21</v>
      </c>
      <c r="AS105" s="10" t="s">
        <v>352</v>
      </c>
      <c r="AT105" s="122">
        <v>17.68</v>
      </c>
      <c r="AU105" s="122">
        <v>0.06</v>
      </c>
      <c r="AV105" s="61">
        <v>600.02768111357159</v>
      </c>
      <c r="AW105" s="61">
        <v>15.965802972510851</v>
      </c>
      <c r="AX105" s="131">
        <v>9.7200000000000006</v>
      </c>
      <c r="AY105" s="10" t="s">
        <v>352</v>
      </c>
      <c r="AZ105" s="10" t="s">
        <v>352</v>
      </c>
      <c r="BA105" s="10" t="s">
        <v>352</v>
      </c>
      <c r="BB105" s="10" t="s">
        <v>352</v>
      </c>
      <c r="BC105" s="10" t="s">
        <v>352</v>
      </c>
      <c r="BD105" s="10" t="s">
        <v>352</v>
      </c>
      <c r="BE105" s="10" t="s">
        <v>352</v>
      </c>
      <c r="BF105" s="10" t="s">
        <v>352</v>
      </c>
      <c r="BG105" s="10" t="s">
        <v>352</v>
      </c>
      <c r="BH105" s="10" t="s">
        <v>352</v>
      </c>
      <c r="BI105" s="172">
        <v>37470</v>
      </c>
      <c r="BJ105" s="10" t="s">
        <v>352</v>
      </c>
      <c r="BK105" s="10" t="s">
        <v>352</v>
      </c>
      <c r="BL105" s="10" t="s">
        <v>352</v>
      </c>
      <c r="BM105" s="10" t="s">
        <v>352</v>
      </c>
      <c r="BN105" s="10" t="s">
        <v>352</v>
      </c>
      <c r="BO105" s="10" t="s">
        <v>352</v>
      </c>
      <c r="BP105" s="10" t="s">
        <v>352</v>
      </c>
      <c r="BQ105" s="10" t="s">
        <v>352</v>
      </c>
      <c r="BR105" s="10" t="s">
        <v>352</v>
      </c>
      <c r="BS105" s="10" t="s">
        <v>352</v>
      </c>
      <c r="BT105" s="188" t="s">
        <v>353</v>
      </c>
      <c r="BU105" s="131">
        <v>15.57</v>
      </c>
      <c r="BV105" s="10" t="s">
        <v>352</v>
      </c>
      <c r="BW105" s="10" t="s">
        <v>352</v>
      </c>
      <c r="BX105" s="10" t="s">
        <v>352</v>
      </c>
      <c r="BY105" s="10" t="s">
        <v>352</v>
      </c>
      <c r="BZ105" s="10" t="s">
        <v>352</v>
      </c>
      <c r="CA105" s="10" t="s">
        <v>352</v>
      </c>
      <c r="CB105" s="10" t="s">
        <v>352</v>
      </c>
      <c r="CC105" s="10" t="s">
        <v>352</v>
      </c>
      <c r="CD105" s="10" t="s">
        <v>352</v>
      </c>
    </row>
    <row r="106" spans="1:82">
      <c r="A106" s="3" t="s">
        <v>454</v>
      </c>
      <c r="B106" s="3" t="s">
        <v>455</v>
      </c>
      <c r="C106" s="27" t="s">
        <v>456</v>
      </c>
      <c r="D106" s="3" t="s">
        <v>456</v>
      </c>
      <c r="E106" s="29">
        <v>13001</v>
      </c>
      <c r="F106" s="3" t="s">
        <v>483</v>
      </c>
      <c r="G106" s="4">
        <v>13128</v>
      </c>
      <c r="H106" s="10" t="s">
        <v>352</v>
      </c>
      <c r="I106" s="10" t="s">
        <v>352</v>
      </c>
      <c r="J106" s="10" t="s">
        <v>352</v>
      </c>
      <c r="K106" s="10" t="s">
        <v>352</v>
      </c>
      <c r="L106" s="10" t="s">
        <v>352</v>
      </c>
      <c r="M106" s="10" t="s">
        <v>352</v>
      </c>
      <c r="N106" s="10" t="s">
        <v>352</v>
      </c>
      <c r="O106" s="60">
        <v>1087.51</v>
      </c>
      <c r="P106" s="10" t="s">
        <v>352</v>
      </c>
      <c r="Q106" s="121">
        <v>472.9</v>
      </c>
      <c r="R106" s="123">
        <v>1.1399999999999999</v>
      </c>
      <c r="S106" s="60">
        <v>343.97</v>
      </c>
      <c r="T106" s="10" t="s">
        <v>352</v>
      </c>
      <c r="U106" s="10" t="s">
        <v>352</v>
      </c>
      <c r="V106" s="10" t="s">
        <v>352</v>
      </c>
      <c r="W106" s="10" t="s">
        <v>352</v>
      </c>
      <c r="X106" s="10" t="s">
        <v>352</v>
      </c>
      <c r="Y106" s="10" t="s">
        <v>352</v>
      </c>
      <c r="Z106" s="10" t="s">
        <v>352</v>
      </c>
      <c r="AA106" s="10" t="s">
        <v>352</v>
      </c>
      <c r="AB106" s="10" t="s">
        <v>352</v>
      </c>
      <c r="AC106" s="10" t="s">
        <v>352</v>
      </c>
      <c r="AD106" s="10" t="s">
        <v>352</v>
      </c>
      <c r="AE106" s="10" t="s">
        <v>352</v>
      </c>
      <c r="AF106" s="10" t="s">
        <v>352</v>
      </c>
      <c r="AG106" s="10" t="s">
        <v>352</v>
      </c>
      <c r="AH106" s="10" t="s">
        <v>352</v>
      </c>
      <c r="AI106" s="10" t="s">
        <v>352</v>
      </c>
      <c r="AJ106" s="150">
        <v>9.33</v>
      </c>
      <c r="AK106" s="152">
        <v>60.93</v>
      </c>
      <c r="AL106" s="10" t="s">
        <v>352</v>
      </c>
      <c r="AM106" s="10" t="s">
        <v>352</v>
      </c>
      <c r="AN106" s="10" t="s">
        <v>352</v>
      </c>
      <c r="AO106" s="10" t="s">
        <v>352</v>
      </c>
      <c r="AP106" s="10" t="s">
        <v>352</v>
      </c>
      <c r="AQ106" s="160">
        <v>778.32</v>
      </c>
      <c r="AR106" s="161">
        <v>455.59</v>
      </c>
      <c r="AS106" s="10" t="s">
        <v>352</v>
      </c>
      <c r="AT106" s="122">
        <v>7.9</v>
      </c>
      <c r="AU106" s="122">
        <v>0.03</v>
      </c>
      <c r="AV106" s="61">
        <v>588.59854246600219</v>
      </c>
      <c r="AW106" s="61">
        <v>16.11842309772641</v>
      </c>
      <c r="AX106" s="131">
        <v>9.4600000000000009</v>
      </c>
      <c r="AY106" s="10" t="s">
        <v>352</v>
      </c>
      <c r="AZ106" s="10" t="s">
        <v>352</v>
      </c>
      <c r="BA106" s="10" t="s">
        <v>352</v>
      </c>
      <c r="BB106" s="10" t="s">
        <v>352</v>
      </c>
      <c r="BC106" s="10" t="s">
        <v>352</v>
      </c>
      <c r="BD106" s="10" t="s">
        <v>352</v>
      </c>
      <c r="BE106" s="10" t="s">
        <v>352</v>
      </c>
      <c r="BF106" s="10" t="s">
        <v>352</v>
      </c>
      <c r="BG106" s="10" t="s">
        <v>352</v>
      </c>
      <c r="BH106" s="10" t="s">
        <v>352</v>
      </c>
      <c r="BI106" s="172" t="s">
        <v>351</v>
      </c>
      <c r="BJ106" s="10" t="s">
        <v>352</v>
      </c>
      <c r="BK106" s="10" t="s">
        <v>352</v>
      </c>
      <c r="BL106" s="10" t="s">
        <v>352</v>
      </c>
      <c r="BM106" s="10" t="s">
        <v>352</v>
      </c>
      <c r="BN106" s="10" t="s">
        <v>352</v>
      </c>
      <c r="BO106" s="10" t="s">
        <v>352</v>
      </c>
      <c r="BP106" s="10" t="s">
        <v>352</v>
      </c>
      <c r="BQ106" s="10" t="s">
        <v>352</v>
      </c>
      <c r="BR106" s="10" t="s">
        <v>352</v>
      </c>
      <c r="BS106" s="10" t="s">
        <v>352</v>
      </c>
      <c r="BT106" s="188" t="s">
        <v>353</v>
      </c>
      <c r="BU106" s="131">
        <v>24.87</v>
      </c>
      <c r="BV106" s="10" t="s">
        <v>352</v>
      </c>
      <c r="BW106" s="10" t="s">
        <v>352</v>
      </c>
      <c r="BX106" s="10" t="s">
        <v>352</v>
      </c>
      <c r="BY106" s="10" t="s">
        <v>352</v>
      </c>
      <c r="BZ106" s="10" t="s">
        <v>352</v>
      </c>
      <c r="CA106" s="10" t="s">
        <v>352</v>
      </c>
      <c r="CB106" s="10" t="s">
        <v>352</v>
      </c>
      <c r="CC106" s="10" t="s">
        <v>352</v>
      </c>
      <c r="CD106" s="10" t="s">
        <v>352</v>
      </c>
    </row>
    <row r="107" spans="1:82">
      <c r="A107" s="3" t="s">
        <v>454</v>
      </c>
      <c r="B107" s="3" t="s">
        <v>455</v>
      </c>
      <c r="C107" s="27" t="s">
        <v>456</v>
      </c>
      <c r="D107" s="3" t="s">
        <v>456</v>
      </c>
      <c r="E107" s="29">
        <v>13001</v>
      </c>
      <c r="F107" s="3" t="s">
        <v>484</v>
      </c>
      <c r="G107" s="4">
        <v>13129</v>
      </c>
      <c r="H107" s="10" t="s">
        <v>352</v>
      </c>
      <c r="I107" s="10" t="s">
        <v>352</v>
      </c>
      <c r="J107" s="10" t="s">
        <v>352</v>
      </c>
      <c r="K107" s="10" t="s">
        <v>352</v>
      </c>
      <c r="L107" s="10" t="s">
        <v>352</v>
      </c>
      <c r="M107" s="10" t="s">
        <v>352</v>
      </c>
      <c r="N107" s="10" t="s">
        <v>352</v>
      </c>
      <c r="O107" s="60">
        <v>638.59</v>
      </c>
      <c r="P107" s="10" t="s">
        <v>352</v>
      </c>
      <c r="Q107" s="121">
        <v>484.46</v>
      </c>
      <c r="R107" s="123">
        <v>0.88</v>
      </c>
      <c r="S107" s="60">
        <v>351.81</v>
      </c>
      <c r="T107" s="10" t="s">
        <v>352</v>
      </c>
      <c r="U107" s="10" t="s">
        <v>352</v>
      </c>
      <c r="V107" s="10" t="s">
        <v>352</v>
      </c>
      <c r="W107" s="10" t="s">
        <v>352</v>
      </c>
      <c r="X107" s="10" t="s">
        <v>352</v>
      </c>
      <c r="Y107" s="10" t="s">
        <v>352</v>
      </c>
      <c r="Z107" s="10" t="s">
        <v>352</v>
      </c>
      <c r="AA107" s="10" t="s">
        <v>352</v>
      </c>
      <c r="AB107" s="10" t="s">
        <v>352</v>
      </c>
      <c r="AC107" s="10" t="s">
        <v>352</v>
      </c>
      <c r="AD107" s="10" t="s">
        <v>352</v>
      </c>
      <c r="AE107" s="10" t="s">
        <v>352</v>
      </c>
      <c r="AF107" s="10" t="s">
        <v>352</v>
      </c>
      <c r="AG107" s="10" t="s">
        <v>352</v>
      </c>
      <c r="AH107" s="10" t="s">
        <v>352</v>
      </c>
      <c r="AI107" s="10" t="s">
        <v>352</v>
      </c>
      <c r="AJ107" s="150">
        <v>1.93</v>
      </c>
      <c r="AK107" s="152">
        <v>147.85</v>
      </c>
      <c r="AL107" s="10" t="s">
        <v>352</v>
      </c>
      <c r="AM107" s="10" t="s">
        <v>352</v>
      </c>
      <c r="AN107" s="10" t="s">
        <v>352</v>
      </c>
      <c r="AO107" s="10" t="s">
        <v>352</v>
      </c>
      <c r="AP107" s="10" t="s">
        <v>352</v>
      </c>
      <c r="AQ107" s="160">
        <v>872.86</v>
      </c>
      <c r="AR107" s="161">
        <v>535.76</v>
      </c>
      <c r="AS107" s="10" t="s">
        <v>352</v>
      </c>
      <c r="AT107" s="122">
        <v>4.79</v>
      </c>
      <c r="AU107" s="122">
        <v>0.04</v>
      </c>
      <c r="AV107" s="61">
        <v>562.20926626558332</v>
      </c>
      <c r="AW107" s="61">
        <v>17.51848093926656</v>
      </c>
      <c r="AX107" s="131">
        <v>8.35</v>
      </c>
      <c r="AY107" s="10" t="s">
        <v>352</v>
      </c>
      <c r="AZ107" s="10" t="s">
        <v>352</v>
      </c>
      <c r="BA107" s="10" t="s">
        <v>352</v>
      </c>
      <c r="BB107" s="10" t="s">
        <v>352</v>
      </c>
      <c r="BC107" s="10" t="s">
        <v>352</v>
      </c>
      <c r="BD107" s="10" t="s">
        <v>352</v>
      </c>
      <c r="BE107" s="10" t="s">
        <v>352</v>
      </c>
      <c r="BF107" s="10" t="s">
        <v>352</v>
      </c>
      <c r="BG107" s="10" t="s">
        <v>352</v>
      </c>
      <c r="BH107" s="10" t="s">
        <v>352</v>
      </c>
      <c r="BI107" s="172">
        <v>12127</v>
      </c>
      <c r="BJ107" s="10" t="s">
        <v>352</v>
      </c>
      <c r="BK107" s="10" t="s">
        <v>352</v>
      </c>
      <c r="BL107" s="10" t="s">
        <v>352</v>
      </c>
      <c r="BM107" s="10" t="s">
        <v>352</v>
      </c>
      <c r="BN107" s="10" t="s">
        <v>352</v>
      </c>
      <c r="BO107" s="10" t="s">
        <v>352</v>
      </c>
      <c r="BP107" s="10" t="s">
        <v>352</v>
      </c>
      <c r="BQ107" s="10" t="s">
        <v>352</v>
      </c>
      <c r="BR107" s="10" t="s">
        <v>352</v>
      </c>
      <c r="BS107" s="10" t="s">
        <v>352</v>
      </c>
      <c r="BT107" s="188" t="s">
        <v>353</v>
      </c>
      <c r="BU107" s="131">
        <v>21.2</v>
      </c>
      <c r="BV107" s="10" t="s">
        <v>352</v>
      </c>
      <c r="BW107" s="10" t="s">
        <v>352</v>
      </c>
      <c r="BX107" s="10" t="s">
        <v>352</v>
      </c>
      <c r="BY107" s="10" t="s">
        <v>352</v>
      </c>
      <c r="BZ107" s="10" t="s">
        <v>352</v>
      </c>
      <c r="CA107" s="10" t="s">
        <v>352</v>
      </c>
      <c r="CB107" s="10" t="s">
        <v>352</v>
      </c>
      <c r="CC107" s="10" t="s">
        <v>352</v>
      </c>
      <c r="CD107" s="10" t="s">
        <v>352</v>
      </c>
    </row>
    <row r="108" spans="1:82">
      <c r="A108" s="3" t="s">
        <v>454</v>
      </c>
      <c r="B108" s="3" t="s">
        <v>455</v>
      </c>
      <c r="C108" s="27" t="s">
        <v>456</v>
      </c>
      <c r="D108" s="3" t="s">
        <v>456</v>
      </c>
      <c r="E108" s="29">
        <v>13001</v>
      </c>
      <c r="F108" s="3" t="s">
        <v>485</v>
      </c>
      <c r="G108" s="4">
        <v>13130</v>
      </c>
      <c r="H108" s="10" t="s">
        <v>352</v>
      </c>
      <c r="I108" s="10" t="s">
        <v>352</v>
      </c>
      <c r="J108" s="10" t="s">
        <v>352</v>
      </c>
      <c r="K108" s="10" t="s">
        <v>352</v>
      </c>
      <c r="L108" s="10" t="s">
        <v>352</v>
      </c>
      <c r="M108" s="10" t="s">
        <v>352</v>
      </c>
      <c r="N108" s="10" t="s">
        <v>352</v>
      </c>
      <c r="O108" s="60">
        <v>906.7</v>
      </c>
      <c r="P108" s="10" t="s">
        <v>352</v>
      </c>
      <c r="Q108" s="121">
        <v>398.06</v>
      </c>
      <c r="R108" s="123">
        <v>1.28</v>
      </c>
      <c r="S108" s="60">
        <v>335.75</v>
      </c>
      <c r="T108" s="10" t="s">
        <v>352</v>
      </c>
      <c r="U108" s="10" t="s">
        <v>352</v>
      </c>
      <c r="V108" s="10" t="s">
        <v>352</v>
      </c>
      <c r="W108" s="10" t="s">
        <v>352</v>
      </c>
      <c r="X108" s="10" t="s">
        <v>352</v>
      </c>
      <c r="Y108" s="10" t="s">
        <v>352</v>
      </c>
      <c r="Z108" s="10" t="s">
        <v>352</v>
      </c>
      <c r="AA108" s="10" t="s">
        <v>352</v>
      </c>
      <c r="AB108" s="10" t="s">
        <v>352</v>
      </c>
      <c r="AC108" s="10" t="s">
        <v>352</v>
      </c>
      <c r="AD108" s="10" t="s">
        <v>352</v>
      </c>
      <c r="AE108" s="10" t="s">
        <v>352</v>
      </c>
      <c r="AF108" s="10" t="s">
        <v>352</v>
      </c>
      <c r="AG108" s="10" t="s">
        <v>352</v>
      </c>
      <c r="AH108" s="10" t="s">
        <v>352</v>
      </c>
      <c r="AI108" s="10" t="s">
        <v>352</v>
      </c>
      <c r="AJ108" s="150">
        <v>9.02</v>
      </c>
      <c r="AK108" s="152">
        <v>37.58</v>
      </c>
      <c r="AL108" s="10" t="s">
        <v>352</v>
      </c>
      <c r="AM108" s="10" t="s">
        <v>352</v>
      </c>
      <c r="AN108" s="10" t="s">
        <v>352</v>
      </c>
      <c r="AO108" s="10" t="s">
        <v>352</v>
      </c>
      <c r="AP108" s="10" t="s">
        <v>352</v>
      </c>
      <c r="AQ108" s="160">
        <v>1228.8</v>
      </c>
      <c r="AR108" s="161">
        <v>635.35</v>
      </c>
      <c r="AS108" s="10" t="s">
        <v>352</v>
      </c>
      <c r="AT108" s="122">
        <v>7.04</v>
      </c>
      <c r="AU108" s="122">
        <v>0.03</v>
      </c>
      <c r="AV108" s="61">
        <v>799.86247330896458</v>
      </c>
      <c r="AW108" s="61">
        <v>33.219849841047953</v>
      </c>
      <c r="AX108" s="131">
        <v>5.22</v>
      </c>
      <c r="AY108" s="10" t="s">
        <v>352</v>
      </c>
      <c r="AZ108" s="10" t="s">
        <v>352</v>
      </c>
      <c r="BA108" s="10" t="s">
        <v>352</v>
      </c>
      <c r="BB108" s="10" t="s">
        <v>352</v>
      </c>
      <c r="BC108" s="10" t="s">
        <v>352</v>
      </c>
      <c r="BD108" s="10" t="s">
        <v>352</v>
      </c>
      <c r="BE108" s="10" t="s">
        <v>352</v>
      </c>
      <c r="BF108" s="10" t="s">
        <v>352</v>
      </c>
      <c r="BG108" s="10" t="s">
        <v>352</v>
      </c>
      <c r="BH108" s="10" t="s">
        <v>352</v>
      </c>
      <c r="BI108" s="172">
        <v>24085</v>
      </c>
      <c r="BJ108" s="10" t="s">
        <v>352</v>
      </c>
      <c r="BK108" s="10" t="s">
        <v>352</v>
      </c>
      <c r="BL108" s="10" t="s">
        <v>352</v>
      </c>
      <c r="BM108" s="10" t="s">
        <v>352</v>
      </c>
      <c r="BN108" s="10" t="s">
        <v>352</v>
      </c>
      <c r="BO108" s="10" t="s">
        <v>352</v>
      </c>
      <c r="BP108" s="10" t="s">
        <v>352</v>
      </c>
      <c r="BQ108" s="10" t="s">
        <v>352</v>
      </c>
      <c r="BR108" s="10" t="s">
        <v>352</v>
      </c>
      <c r="BS108" s="10" t="s">
        <v>352</v>
      </c>
      <c r="BT108" s="188" t="s">
        <v>353</v>
      </c>
      <c r="BU108" s="131">
        <v>11.06</v>
      </c>
      <c r="BV108" s="10" t="s">
        <v>352</v>
      </c>
      <c r="BW108" s="10" t="s">
        <v>352</v>
      </c>
      <c r="BX108" s="10" t="s">
        <v>352</v>
      </c>
      <c r="BY108" s="10" t="s">
        <v>352</v>
      </c>
      <c r="BZ108" s="10" t="s">
        <v>352</v>
      </c>
      <c r="CA108" s="10" t="s">
        <v>352</v>
      </c>
      <c r="CB108" s="10" t="s">
        <v>352</v>
      </c>
      <c r="CC108" s="10" t="s">
        <v>352</v>
      </c>
      <c r="CD108" s="10" t="s">
        <v>352</v>
      </c>
    </row>
    <row r="109" spans="1:82">
      <c r="A109" s="3" t="s">
        <v>454</v>
      </c>
      <c r="B109" s="3" t="s">
        <v>455</v>
      </c>
      <c r="C109" s="27" t="s">
        <v>456</v>
      </c>
      <c r="D109" s="3" t="s">
        <v>456</v>
      </c>
      <c r="E109" s="29">
        <v>13001</v>
      </c>
      <c r="F109" s="3" t="s">
        <v>486</v>
      </c>
      <c r="G109" s="4">
        <v>13131</v>
      </c>
      <c r="H109" s="10" t="s">
        <v>352</v>
      </c>
      <c r="I109" s="10" t="s">
        <v>352</v>
      </c>
      <c r="J109" s="10" t="s">
        <v>352</v>
      </c>
      <c r="K109" s="10" t="s">
        <v>352</v>
      </c>
      <c r="L109" s="10" t="s">
        <v>352</v>
      </c>
      <c r="M109" s="10" t="s">
        <v>352</v>
      </c>
      <c r="N109" s="10" t="s">
        <v>352</v>
      </c>
      <c r="O109" s="60">
        <v>674.44</v>
      </c>
      <c r="P109" s="10" t="s">
        <v>352</v>
      </c>
      <c r="Q109" s="121">
        <v>371.66</v>
      </c>
      <c r="R109" s="123">
        <v>1.3</v>
      </c>
      <c r="S109" s="60">
        <v>273.58999999999997</v>
      </c>
      <c r="T109" s="10" t="s">
        <v>352</v>
      </c>
      <c r="U109" s="10" t="s">
        <v>352</v>
      </c>
      <c r="V109" s="10" t="s">
        <v>352</v>
      </c>
      <c r="W109" s="10" t="s">
        <v>352</v>
      </c>
      <c r="X109" s="10" t="s">
        <v>352</v>
      </c>
      <c r="Y109" s="10" t="s">
        <v>352</v>
      </c>
      <c r="Z109" s="10" t="s">
        <v>352</v>
      </c>
      <c r="AA109" s="10" t="s">
        <v>352</v>
      </c>
      <c r="AB109" s="10" t="s">
        <v>352</v>
      </c>
      <c r="AC109" s="10" t="s">
        <v>352</v>
      </c>
      <c r="AD109" s="10" t="s">
        <v>352</v>
      </c>
      <c r="AE109" s="10" t="s">
        <v>352</v>
      </c>
      <c r="AF109" s="10" t="s">
        <v>352</v>
      </c>
      <c r="AG109" s="10" t="s">
        <v>352</v>
      </c>
      <c r="AH109" s="10" t="s">
        <v>352</v>
      </c>
      <c r="AI109" s="10" t="s">
        <v>352</v>
      </c>
      <c r="AJ109" s="150">
        <v>6.94</v>
      </c>
      <c r="AK109" s="152">
        <v>153.74</v>
      </c>
      <c r="AL109" s="10" t="s">
        <v>352</v>
      </c>
      <c r="AM109" s="10" t="s">
        <v>352</v>
      </c>
      <c r="AN109" s="10" t="s">
        <v>352</v>
      </c>
      <c r="AO109" s="10" t="s">
        <v>352</v>
      </c>
      <c r="AP109" s="10" t="s">
        <v>352</v>
      </c>
      <c r="AQ109" s="160">
        <v>813.72</v>
      </c>
      <c r="AR109" s="161">
        <v>125.41</v>
      </c>
      <c r="AS109" s="10" t="s">
        <v>352</v>
      </c>
      <c r="AT109" s="122">
        <v>4.05</v>
      </c>
      <c r="AU109" s="122">
        <v>0.04</v>
      </c>
      <c r="AV109" s="61">
        <v>549.74505920525894</v>
      </c>
      <c r="AW109" s="61">
        <v>15.080337533233152</v>
      </c>
      <c r="AX109" s="131">
        <v>6.39</v>
      </c>
      <c r="AY109" s="10" t="s">
        <v>352</v>
      </c>
      <c r="AZ109" s="10" t="s">
        <v>352</v>
      </c>
      <c r="BA109" s="10" t="s">
        <v>352</v>
      </c>
      <c r="BB109" s="10" t="s">
        <v>352</v>
      </c>
      <c r="BC109" s="10" t="s">
        <v>352</v>
      </c>
      <c r="BD109" s="10" t="s">
        <v>352</v>
      </c>
      <c r="BE109" s="10" t="s">
        <v>352</v>
      </c>
      <c r="BF109" s="10" t="s">
        <v>352</v>
      </c>
      <c r="BG109" s="10" t="s">
        <v>352</v>
      </c>
      <c r="BH109" s="10" t="s">
        <v>352</v>
      </c>
      <c r="BI109" s="172" t="s">
        <v>351</v>
      </c>
      <c r="BJ109" s="10" t="s">
        <v>352</v>
      </c>
      <c r="BK109" s="10" t="s">
        <v>352</v>
      </c>
      <c r="BL109" s="10" t="s">
        <v>352</v>
      </c>
      <c r="BM109" s="10" t="s">
        <v>352</v>
      </c>
      <c r="BN109" s="10" t="s">
        <v>352</v>
      </c>
      <c r="BO109" s="10" t="s">
        <v>352</v>
      </c>
      <c r="BP109" s="10" t="s">
        <v>352</v>
      </c>
      <c r="BQ109" s="10" t="s">
        <v>352</v>
      </c>
      <c r="BR109" s="10" t="s">
        <v>352</v>
      </c>
      <c r="BS109" s="10" t="s">
        <v>352</v>
      </c>
      <c r="BT109" s="188" t="s">
        <v>355</v>
      </c>
      <c r="BU109" s="131">
        <v>68.45</v>
      </c>
      <c r="BV109" s="10" t="s">
        <v>352</v>
      </c>
      <c r="BW109" s="10" t="s">
        <v>352</v>
      </c>
      <c r="BX109" s="10" t="s">
        <v>352</v>
      </c>
      <c r="BY109" s="10" t="s">
        <v>352</v>
      </c>
      <c r="BZ109" s="10" t="s">
        <v>352</v>
      </c>
      <c r="CA109" s="10" t="s">
        <v>352</v>
      </c>
      <c r="CB109" s="10" t="s">
        <v>352</v>
      </c>
      <c r="CC109" s="10" t="s">
        <v>352</v>
      </c>
      <c r="CD109" s="10" t="s">
        <v>352</v>
      </c>
    </row>
    <row r="110" spans="1:82">
      <c r="A110" s="3" t="s">
        <v>454</v>
      </c>
      <c r="B110" s="3" t="s">
        <v>455</v>
      </c>
      <c r="C110" s="27" t="s">
        <v>456</v>
      </c>
      <c r="D110" s="3" t="s">
        <v>456</v>
      </c>
      <c r="E110" s="29">
        <v>13001</v>
      </c>
      <c r="F110" s="3" t="s">
        <v>487</v>
      </c>
      <c r="G110" s="4">
        <v>13132</v>
      </c>
      <c r="H110" s="10" t="s">
        <v>352</v>
      </c>
      <c r="I110" s="10" t="s">
        <v>352</v>
      </c>
      <c r="J110" s="10" t="s">
        <v>352</v>
      </c>
      <c r="K110" s="10" t="s">
        <v>352</v>
      </c>
      <c r="L110" s="10" t="s">
        <v>352</v>
      </c>
      <c r="M110" s="10" t="s">
        <v>352</v>
      </c>
      <c r="N110" s="10" t="s">
        <v>352</v>
      </c>
      <c r="O110" s="60">
        <v>2461.6</v>
      </c>
      <c r="P110" s="10" t="s">
        <v>352</v>
      </c>
      <c r="Q110" s="121">
        <v>1633.06</v>
      </c>
      <c r="R110" s="123">
        <v>0.28999999999999998</v>
      </c>
      <c r="S110" s="60">
        <v>1583.42</v>
      </c>
      <c r="T110" s="10" t="s">
        <v>352</v>
      </c>
      <c r="U110" s="10" t="s">
        <v>352</v>
      </c>
      <c r="V110" s="10" t="s">
        <v>352</v>
      </c>
      <c r="W110" s="10" t="s">
        <v>352</v>
      </c>
      <c r="X110" s="10" t="s">
        <v>352</v>
      </c>
      <c r="Y110" s="10" t="s">
        <v>352</v>
      </c>
      <c r="Z110" s="10" t="s">
        <v>352</v>
      </c>
      <c r="AA110" s="10" t="s">
        <v>352</v>
      </c>
      <c r="AB110" s="10" t="s">
        <v>352</v>
      </c>
      <c r="AC110" s="10" t="s">
        <v>352</v>
      </c>
      <c r="AD110" s="10" t="s">
        <v>352</v>
      </c>
      <c r="AE110" s="10" t="s">
        <v>352</v>
      </c>
      <c r="AF110" s="10" t="s">
        <v>352</v>
      </c>
      <c r="AG110" s="10" t="s">
        <v>352</v>
      </c>
      <c r="AH110" s="10" t="s">
        <v>352</v>
      </c>
      <c r="AI110" s="10" t="s">
        <v>352</v>
      </c>
      <c r="AJ110" s="150">
        <v>5.17</v>
      </c>
      <c r="AK110" s="152">
        <v>130.19999999999999</v>
      </c>
      <c r="AL110" s="10" t="s">
        <v>352</v>
      </c>
      <c r="AM110" s="10" t="s">
        <v>352</v>
      </c>
      <c r="AN110" s="10" t="s">
        <v>352</v>
      </c>
      <c r="AO110" s="10" t="s">
        <v>352</v>
      </c>
      <c r="AP110" s="10" t="s">
        <v>352</v>
      </c>
      <c r="AQ110" s="160">
        <v>1717.42</v>
      </c>
      <c r="AR110" s="161">
        <v>1668.6</v>
      </c>
      <c r="AS110" s="10" t="s">
        <v>352</v>
      </c>
      <c r="AT110" s="122">
        <v>59.82</v>
      </c>
      <c r="AU110" s="122">
        <v>3.35</v>
      </c>
      <c r="AV110" s="61">
        <v>863.73064782804749</v>
      </c>
      <c r="AW110" s="61">
        <v>29.689792712918759</v>
      </c>
      <c r="AX110" s="131">
        <v>2.5099999999999998</v>
      </c>
      <c r="AY110" s="10" t="s">
        <v>352</v>
      </c>
      <c r="AZ110" s="10" t="s">
        <v>352</v>
      </c>
      <c r="BA110" s="10" t="s">
        <v>352</v>
      </c>
      <c r="BB110" s="10" t="s">
        <v>352</v>
      </c>
      <c r="BC110" s="10" t="s">
        <v>352</v>
      </c>
      <c r="BD110" s="10" t="s">
        <v>352</v>
      </c>
      <c r="BE110" s="10" t="s">
        <v>352</v>
      </c>
      <c r="BF110" s="10" t="s">
        <v>352</v>
      </c>
      <c r="BG110" s="10" t="s">
        <v>352</v>
      </c>
      <c r="BH110" s="10" t="s">
        <v>352</v>
      </c>
      <c r="BI110" s="172">
        <v>11376</v>
      </c>
      <c r="BJ110" s="10" t="s">
        <v>352</v>
      </c>
      <c r="BK110" s="10" t="s">
        <v>352</v>
      </c>
      <c r="BL110" s="10" t="s">
        <v>352</v>
      </c>
      <c r="BM110" s="10" t="s">
        <v>352</v>
      </c>
      <c r="BN110" s="10" t="s">
        <v>352</v>
      </c>
      <c r="BO110" s="10" t="s">
        <v>352</v>
      </c>
      <c r="BP110" s="10" t="s">
        <v>352</v>
      </c>
      <c r="BQ110" s="10" t="s">
        <v>352</v>
      </c>
      <c r="BR110" s="10" t="s">
        <v>352</v>
      </c>
      <c r="BS110" s="10" t="s">
        <v>352</v>
      </c>
      <c r="BT110" s="188" t="s">
        <v>353</v>
      </c>
      <c r="BU110" s="131">
        <v>1.95</v>
      </c>
      <c r="BV110" s="10" t="s">
        <v>352</v>
      </c>
      <c r="BW110" s="10" t="s">
        <v>352</v>
      </c>
      <c r="BX110" s="10" t="s">
        <v>352</v>
      </c>
      <c r="BY110" s="10" t="s">
        <v>352</v>
      </c>
      <c r="BZ110" s="10" t="s">
        <v>352</v>
      </c>
      <c r="CA110" s="10" t="s">
        <v>352</v>
      </c>
      <c r="CB110" s="10" t="s">
        <v>352</v>
      </c>
      <c r="CC110" s="10" t="s">
        <v>352</v>
      </c>
      <c r="CD110" s="10" t="s">
        <v>352</v>
      </c>
    </row>
    <row r="111" spans="1:82">
      <c r="A111" s="3" t="s">
        <v>454</v>
      </c>
      <c r="B111" s="3" t="s">
        <v>488</v>
      </c>
      <c r="C111" s="27" t="s">
        <v>456</v>
      </c>
      <c r="D111" s="3" t="s">
        <v>456</v>
      </c>
      <c r="E111" s="29">
        <v>13001</v>
      </c>
      <c r="F111" s="3" t="s">
        <v>489</v>
      </c>
      <c r="G111" s="4">
        <v>13201</v>
      </c>
      <c r="H111" s="10" t="s">
        <v>352</v>
      </c>
      <c r="I111" s="10" t="s">
        <v>352</v>
      </c>
      <c r="J111" s="10" t="s">
        <v>352</v>
      </c>
      <c r="K111" s="10" t="s">
        <v>352</v>
      </c>
      <c r="L111" s="10" t="s">
        <v>352</v>
      </c>
      <c r="M111" s="10" t="s">
        <v>352</v>
      </c>
      <c r="N111" s="10" t="s">
        <v>352</v>
      </c>
      <c r="O111" s="60">
        <v>1378.98</v>
      </c>
      <c r="P111" s="10" t="s">
        <v>352</v>
      </c>
      <c r="Q111" s="121">
        <v>645.05999999999995</v>
      </c>
      <c r="R111" s="123">
        <v>1.25</v>
      </c>
      <c r="S111" s="60">
        <v>532.9</v>
      </c>
      <c r="T111" s="10" t="s">
        <v>352</v>
      </c>
      <c r="U111" s="10" t="s">
        <v>352</v>
      </c>
      <c r="V111" s="10" t="s">
        <v>352</v>
      </c>
      <c r="W111" s="10" t="s">
        <v>352</v>
      </c>
      <c r="X111" s="10" t="s">
        <v>352</v>
      </c>
      <c r="Y111" s="10" t="s">
        <v>352</v>
      </c>
      <c r="Z111" s="10" t="s">
        <v>352</v>
      </c>
      <c r="AA111" s="10" t="s">
        <v>352</v>
      </c>
      <c r="AB111" s="10" t="s">
        <v>352</v>
      </c>
      <c r="AC111" s="10" t="s">
        <v>352</v>
      </c>
      <c r="AD111" s="10" t="s">
        <v>352</v>
      </c>
      <c r="AE111" s="10" t="s">
        <v>352</v>
      </c>
      <c r="AF111" s="10" t="s">
        <v>352</v>
      </c>
      <c r="AG111" s="10" t="s">
        <v>352</v>
      </c>
      <c r="AH111" s="10" t="s">
        <v>352</v>
      </c>
      <c r="AI111" s="10" t="s">
        <v>352</v>
      </c>
      <c r="AJ111" s="150">
        <v>2.79</v>
      </c>
      <c r="AK111" s="152">
        <v>95.83</v>
      </c>
      <c r="AL111" s="10" t="s">
        <v>352</v>
      </c>
      <c r="AM111" s="10" t="s">
        <v>352</v>
      </c>
      <c r="AN111" s="10" t="s">
        <v>352</v>
      </c>
      <c r="AO111" s="10" t="s">
        <v>352</v>
      </c>
      <c r="AP111" s="10" t="s">
        <v>352</v>
      </c>
      <c r="AQ111" s="160">
        <v>661.65</v>
      </c>
      <c r="AR111" s="161">
        <v>121.25</v>
      </c>
      <c r="AS111" s="10" t="s">
        <v>352</v>
      </c>
      <c r="AT111" s="122">
        <v>13.56</v>
      </c>
      <c r="AU111" s="122">
        <v>0.33</v>
      </c>
      <c r="AV111" s="61">
        <v>800.28480703749005</v>
      </c>
      <c r="AW111" s="61">
        <v>21.577652579542939</v>
      </c>
      <c r="AX111" s="131">
        <v>7.67</v>
      </c>
      <c r="AY111" s="10" t="s">
        <v>352</v>
      </c>
      <c r="AZ111" s="10" t="s">
        <v>352</v>
      </c>
      <c r="BA111" s="10" t="s">
        <v>352</v>
      </c>
      <c r="BB111" s="10" t="s">
        <v>352</v>
      </c>
      <c r="BC111" s="10" t="s">
        <v>352</v>
      </c>
      <c r="BD111" s="10" t="s">
        <v>352</v>
      </c>
      <c r="BE111" s="10" t="s">
        <v>352</v>
      </c>
      <c r="BF111" s="10" t="s">
        <v>352</v>
      </c>
      <c r="BG111" s="10" t="s">
        <v>352</v>
      </c>
      <c r="BH111" s="10" t="s">
        <v>352</v>
      </c>
      <c r="BI111" s="172">
        <v>23327</v>
      </c>
      <c r="BJ111" s="10" t="s">
        <v>352</v>
      </c>
      <c r="BK111" s="10" t="s">
        <v>352</v>
      </c>
      <c r="BL111" s="10" t="s">
        <v>352</v>
      </c>
      <c r="BM111" s="10" t="s">
        <v>352</v>
      </c>
      <c r="BN111" s="10" t="s">
        <v>352</v>
      </c>
      <c r="BO111" s="10" t="s">
        <v>352</v>
      </c>
      <c r="BP111" s="10" t="s">
        <v>352</v>
      </c>
      <c r="BQ111" s="10" t="s">
        <v>352</v>
      </c>
      <c r="BR111" s="10" t="s">
        <v>352</v>
      </c>
      <c r="BS111" s="10" t="s">
        <v>352</v>
      </c>
      <c r="BT111" s="188" t="s">
        <v>353</v>
      </c>
      <c r="BU111" s="131">
        <v>69.3</v>
      </c>
      <c r="BV111" s="10" t="s">
        <v>352</v>
      </c>
      <c r="BW111" s="10" t="s">
        <v>352</v>
      </c>
      <c r="BX111" s="10" t="s">
        <v>352</v>
      </c>
      <c r="BY111" s="10" t="s">
        <v>352</v>
      </c>
      <c r="BZ111" s="10" t="s">
        <v>352</v>
      </c>
      <c r="CA111" s="10" t="s">
        <v>352</v>
      </c>
      <c r="CB111" s="10" t="s">
        <v>352</v>
      </c>
      <c r="CC111" s="10" t="s">
        <v>352</v>
      </c>
      <c r="CD111" s="10" t="s">
        <v>352</v>
      </c>
    </row>
    <row r="112" spans="1:82">
      <c r="A112" s="3" t="s">
        <v>454</v>
      </c>
      <c r="B112" s="3" t="s">
        <v>488</v>
      </c>
      <c r="C112" s="27" t="s">
        <v>456</v>
      </c>
      <c r="D112" s="3" t="s">
        <v>456</v>
      </c>
      <c r="E112" s="29">
        <v>13001</v>
      </c>
      <c r="F112" s="3" t="s">
        <v>490</v>
      </c>
      <c r="G112" s="4">
        <v>13202</v>
      </c>
      <c r="H112" s="10" t="s">
        <v>352</v>
      </c>
      <c r="I112" s="10" t="s">
        <v>352</v>
      </c>
      <c r="J112" s="10" t="s">
        <v>352</v>
      </c>
      <c r="K112" s="10" t="s">
        <v>352</v>
      </c>
      <c r="L112" s="10" t="s">
        <v>352</v>
      </c>
      <c r="M112" s="10" t="s">
        <v>352</v>
      </c>
      <c r="N112" s="10" t="s">
        <v>352</v>
      </c>
      <c r="O112" s="60">
        <v>1829.74</v>
      </c>
      <c r="P112" s="10" t="s">
        <v>352</v>
      </c>
      <c r="Q112" s="121">
        <v>1698.62</v>
      </c>
      <c r="R112" s="123">
        <v>1.04</v>
      </c>
      <c r="S112" s="60">
        <v>1718.92</v>
      </c>
      <c r="T112" s="10" t="s">
        <v>352</v>
      </c>
      <c r="U112" s="10" t="s">
        <v>352</v>
      </c>
      <c r="V112" s="10" t="s">
        <v>352</v>
      </c>
      <c r="W112" s="10" t="s">
        <v>352</v>
      </c>
      <c r="X112" s="10" t="s">
        <v>352</v>
      </c>
      <c r="Y112" s="10" t="s">
        <v>352</v>
      </c>
      <c r="Z112" s="10" t="s">
        <v>352</v>
      </c>
      <c r="AA112" s="10" t="s">
        <v>352</v>
      </c>
      <c r="AB112" s="10" t="s">
        <v>352</v>
      </c>
      <c r="AC112" s="10" t="s">
        <v>352</v>
      </c>
      <c r="AD112" s="10" t="s">
        <v>352</v>
      </c>
      <c r="AE112" s="10" t="s">
        <v>352</v>
      </c>
      <c r="AF112" s="10" t="s">
        <v>352</v>
      </c>
      <c r="AG112" s="10" t="s">
        <v>352</v>
      </c>
      <c r="AH112" s="10" t="s">
        <v>352</v>
      </c>
      <c r="AI112" s="10" t="s">
        <v>352</v>
      </c>
      <c r="AJ112" s="150">
        <v>6.57</v>
      </c>
      <c r="AK112" s="152">
        <v>167.58</v>
      </c>
      <c r="AL112" s="10" t="s">
        <v>352</v>
      </c>
      <c r="AM112" s="10" t="s">
        <v>352</v>
      </c>
      <c r="AN112" s="10" t="s">
        <v>352</v>
      </c>
      <c r="AO112" s="10" t="s">
        <v>352</v>
      </c>
      <c r="AP112" s="10" t="s">
        <v>352</v>
      </c>
      <c r="AQ112" s="160">
        <v>892.17</v>
      </c>
      <c r="AR112" s="161">
        <v>689.01</v>
      </c>
      <c r="AS112" s="10" t="s">
        <v>352</v>
      </c>
      <c r="AT112" s="122">
        <v>61.44</v>
      </c>
      <c r="AU112" s="122">
        <v>0.49</v>
      </c>
      <c r="AV112" s="61">
        <v>93.366093366093367</v>
      </c>
      <c r="AW112" s="61">
        <v>1.12378010712056</v>
      </c>
      <c r="AX112" s="131">
        <v>23.82</v>
      </c>
      <c r="AY112" s="10" t="s">
        <v>352</v>
      </c>
      <c r="AZ112" s="10" t="s">
        <v>352</v>
      </c>
      <c r="BA112" s="10" t="s">
        <v>352</v>
      </c>
      <c r="BB112" s="10" t="s">
        <v>352</v>
      </c>
      <c r="BC112" s="10" t="s">
        <v>352</v>
      </c>
      <c r="BD112" s="10" t="s">
        <v>352</v>
      </c>
      <c r="BE112" s="10" t="s">
        <v>352</v>
      </c>
      <c r="BF112" s="10" t="s">
        <v>352</v>
      </c>
      <c r="BG112" s="10" t="s">
        <v>352</v>
      </c>
      <c r="BH112" s="10" t="s">
        <v>352</v>
      </c>
      <c r="BI112" s="172" t="s">
        <v>351</v>
      </c>
      <c r="BJ112" s="10" t="s">
        <v>352</v>
      </c>
      <c r="BK112" s="10" t="s">
        <v>352</v>
      </c>
      <c r="BL112" s="10" t="s">
        <v>352</v>
      </c>
      <c r="BM112" s="10" t="s">
        <v>352</v>
      </c>
      <c r="BN112" s="10" t="s">
        <v>352</v>
      </c>
      <c r="BO112" s="10" t="s">
        <v>352</v>
      </c>
      <c r="BP112" s="10" t="s">
        <v>352</v>
      </c>
      <c r="BQ112" s="10" t="s">
        <v>352</v>
      </c>
      <c r="BR112" s="10" t="s">
        <v>352</v>
      </c>
      <c r="BS112" s="10" t="s">
        <v>352</v>
      </c>
      <c r="BT112" s="188" t="s">
        <v>353</v>
      </c>
      <c r="BU112" s="131">
        <v>14.14</v>
      </c>
      <c r="BV112" s="10" t="s">
        <v>352</v>
      </c>
      <c r="BW112" s="10" t="s">
        <v>352</v>
      </c>
      <c r="BX112" s="10" t="s">
        <v>352</v>
      </c>
      <c r="BY112" s="10" t="s">
        <v>352</v>
      </c>
      <c r="BZ112" s="10" t="s">
        <v>352</v>
      </c>
      <c r="CA112" s="10" t="s">
        <v>352</v>
      </c>
      <c r="CB112" s="10" t="s">
        <v>352</v>
      </c>
      <c r="CC112" s="10" t="s">
        <v>352</v>
      </c>
      <c r="CD112" s="10" t="s">
        <v>352</v>
      </c>
    </row>
    <row r="113" spans="1:82">
      <c r="A113" s="3" t="s">
        <v>454</v>
      </c>
      <c r="B113" s="3" t="s">
        <v>488</v>
      </c>
      <c r="C113" s="27" t="s">
        <v>456</v>
      </c>
      <c r="D113" s="3" t="s">
        <v>456</v>
      </c>
      <c r="E113" s="29">
        <v>13001</v>
      </c>
      <c r="F113" s="3" t="s">
        <v>491</v>
      </c>
      <c r="G113" s="4">
        <v>13203</v>
      </c>
      <c r="H113" s="10" t="s">
        <v>352</v>
      </c>
      <c r="I113" s="10" t="s">
        <v>352</v>
      </c>
      <c r="J113" s="10" t="s">
        <v>352</v>
      </c>
      <c r="K113" s="10" t="s">
        <v>352</v>
      </c>
      <c r="L113" s="10" t="s">
        <v>352</v>
      </c>
      <c r="M113" s="10" t="s">
        <v>352</v>
      </c>
      <c r="N113" s="10" t="s">
        <v>352</v>
      </c>
      <c r="O113" s="60">
        <v>391.44</v>
      </c>
      <c r="P113" s="10" t="s">
        <v>352</v>
      </c>
      <c r="Q113" s="121">
        <v>1283.31</v>
      </c>
      <c r="R113" s="123">
        <v>1.2</v>
      </c>
      <c r="S113" s="60">
        <v>905.46</v>
      </c>
      <c r="T113" s="10" t="s">
        <v>352</v>
      </c>
      <c r="U113" s="10" t="s">
        <v>352</v>
      </c>
      <c r="V113" s="10" t="s">
        <v>352</v>
      </c>
      <c r="W113" s="10" t="s">
        <v>352</v>
      </c>
      <c r="X113" s="10" t="s">
        <v>352</v>
      </c>
      <c r="Y113" s="10" t="s">
        <v>352</v>
      </c>
      <c r="Z113" s="10" t="s">
        <v>352</v>
      </c>
      <c r="AA113" s="10" t="s">
        <v>352</v>
      </c>
      <c r="AB113" s="10" t="s">
        <v>352</v>
      </c>
      <c r="AC113" s="10" t="s">
        <v>352</v>
      </c>
      <c r="AD113" s="10" t="s">
        <v>352</v>
      </c>
      <c r="AE113" s="10" t="s">
        <v>352</v>
      </c>
      <c r="AF113" s="10" t="s">
        <v>352</v>
      </c>
      <c r="AG113" s="10" t="s">
        <v>352</v>
      </c>
      <c r="AH113" s="10" t="s">
        <v>352</v>
      </c>
      <c r="AI113" s="10" t="s">
        <v>352</v>
      </c>
      <c r="AJ113" s="150">
        <v>10.73</v>
      </c>
      <c r="AK113" s="152">
        <v>493.46</v>
      </c>
      <c r="AL113" s="10" t="s">
        <v>352</v>
      </c>
      <c r="AM113" s="10" t="s">
        <v>352</v>
      </c>
      <c r="AN113" s="10" t="s">
        <v>352</v>
      </c>
      <c r="AO113" s="10" t="s">
        <v>352</v>
      </c>
      <c r="AP113" s="10" t="s">
        <v>352</v>
      </c>
      <c r="AQ113" s="160">
        <v>900.28</v>
      </c>
      <c r="AR113" s="161">
        <v>489.71</v>
      </c>
      <c r="AS113" s="10" t="s">
        <v>352</v>
      </c>
      <c r="AT113" s="122">
        <v>54.91</v>
      </c>
      <c r="AU113" s="122">
        <v>0.25</v>
      </c>
      <c r="AV113" s="61">
        <v>118.7168476888103</v>
      </c>
      <c r="AW113" s="61">
        <v>2.5209182578845741</v>
      </c>
      <c r="AX113" s="131">
        <v>17.55</v>
      </c>
      <c r="AY113" s="10" t="s">
        <v>352</v>
      </c>
      <c r="AZ113" s="10" t="s">
        <v>352</v>
      </c>
      <c r="BA113" s="10" t="s">
        <v>352</v>
      </c>
      <c r="BB113" s="10" t="s">
        <v>352</v>
      </c>
      <c r="BC113" s="10" t="s">
        <v>352</v>
      </c>
      <c r="BD113" s="10" t="s">
        <v>352</v>
      </c>
      <c r="BE113" s="10" t="s">
        <v>352</v>
      </c>
      <c r="BF113" s="10" t="s">
        <v>352</v>
      </c>
      <c r="BG113" s="10" t="s">
        <v>352</v>
      </c>
      <c r="BH113" s="10" t="s">
        <v>352</v>
      </c>
      <c r="BI113" s="172" t="s">
        <v>351</v>
      </c>
      <c r="BJ113" s="10" t="s">
        <v>352</v>
      </c>
      <c r="BK113" s="10" t="s">
        <v>352</v>
      </c>
      <c r="BL113" s="10" t="s">
        <v>352</v>
      </c>
      <c r="BM113" s="10" t="s">
        <v>352</v>
      </c>
      <c r="BN113" s="10" t="s">
        <v>352</v>
      </c>
      <c r="BO113" s="10" t="s">
        <v>352</v>
      </c>
      <c r="BP113" s="10" t="s">
        <v>352</v>
      </c>
      <c r="BQ113" s="10" t="s">
        <v>352</v>
      </c>
      <c r="BR113" s="10" t="s">
        <v>352</v>
      </c>
      <c r="BS113" s="10" t="s">
        <v>352</v>
      </c>
      <c r="BT113" s="188" t="s">
        <v>355</v>
      </c>
      <c r="BU113" s="131">
        <v>40.75</v>
      </c>
      <c r="BV113" s="10" t="s">
        <v>352</v>
      </c>
      <c r="BW113" s="10" t="s">
        <v>352</v>
      </c>
      <c r="BX113" s="10" t="s">
        <v>352</v>
      </c>
      <c r="BY113" s="10" t="s">
        <v>352</v>
      </c>
      <c r="BZ113" s="10" t="s">
        <v>352</v>
      </c>
      <c r="CA113" s="10" t="s">
        <v>352</v>
      </c>
      <c r="CB113" s="10" t="s">
        <v>352</v>
      </c>
      <c r="CC113" s="10" t="s">
        <v>352</v>
      </c>
      <c r="CD113" s="10" t="s">
        <v>352</v>
      </c>
    </row>
    <row r="114" spans="1:82">
      <c r="A114" s="3" t="s">
        <v>454</v>
      </c>
      <c r="B114" s="3" t="s">
        <v>492</v>
      </c>
      <c r="C114" s="27" t="s">
        <v>456</v>
      </c>
      <c r="D114" s="3" t="s">
        <v>456</v>
      </c>
      <c r="E114" s="29">
        <v>13001</v>
      </c>
      <c r="F114" s="3" t="s">
        <v>493</v>
      </c>
      <c r="G114" s="4">
        <v>13301</v>
      </c>
      <c r="H114" s="10" t="s">
        <v>352</v>
      </c>
      <c r="I114" s="10" t="s">
        <v>352</v>
      </c>
      <c r="J114" s="10" t="s">
        <v>352</v>
      </c>
      <c r="K114" s="10" t="s">
        <v>352</v>
      </c>
      <c r="L114" s="10" t="s">
        <v>352</v>
      </c>
      <c r="M114" s="10" t="s">
        <v>352</v>
      </c>
      <c r="N114" s="10" t="s">
        <v>352</v>
      </c>
      <c r="O114" s="60">
        <v>1011.29</v>
      </c>
      <c r="P114" s="10" t="s">
        <v>352</v>
      </c>
      <c r="Q114" s="121">
        <v>632.22</v>
      </c>
      <c r="R114" s="123">
        <v>0.96</v>
      </c>
      <c r="S114" s="60">
        <v>487.23</v>
      </c>
      <c r="T114" s="10" t="s">
        <v>352</v>
      </c>
      <c r="U114" s="10" t="s">
        <v>352</v>
      </c>
      <c r="V114" s="10" t="s">
        <v>352</v>
      </c>
      <c r="W114" s="10" t="s">
        <v>352</v>
      </c>
      <c r="X114" s="10" t="s">
        <v>352</v>
      </c>
      <c r="Y114" s="10" t="s">
        <v>352</v>
      </c>
      <c r="Z114" s="10" t="s">
        <v>352</v>
      </c>
      <c r="AA114" s="10" t="s">
        <v>352</v>
      </c>
      <c r="AB114" s="10" t="s">
        <v>352</v>
      </c>
      <c r="AC114" s="10" t="s">
        <v>352</v>
      </c>
      <c r="AD114" s="10" t="s">
        <v>352</v>
      </c>
      <c r="AE114" s="10" t="s">
        <v>352</v>
      </c>
      <c r="AF114" s="10" t="s">
        <v>352</v>
      </c>
      <c r="AG114" s="10" t="s">
        <v>352</v>
      </c>
      <c r="AH114" s="10" t="s">
        <v>352</v>
      </c>
      <c r="AI114" s="10" t="s">
        <v>352</v>
      </c>
      <c r="AJ114" s="150">
        <v>8.32</v>
      </c>
      <c r="AK114" s="152">
        <v>184.64</v>
      </c>
      <c r="AL114" s="10" t="s">
        <v>352</v>
      </c>
      <c r="AM114" s="10" t="s">
        <v>352</v>
      </c>
      <c r="AN114" s="10" t="s">
        <v>352</v>
      </c>
      <c r="AO114" s="10" t="s">
        <v>352</v>
      </c>
      <c r="AP114" s="10" t="s">
        <v>352</v>
      </c>
      <c r="AQ114" s="160">
        <v>1149.29</v>
      </c>
      <c r="AR114" s="161">
        <v>899.9</v>
      </c>
      <c r="AS114" s="10" t="s">
        <v>352</v>
      </c>
      <c r="AT114" s="122">
        <v>58.93</v>
      </c>
      <c r="AU114" s="122">
        <v>2.5299999999999998</v>
      </c>
      <c r="AV114" s="61">
        <v>714.93015506856341</v>
      </c>
      <c r="AW114" s="61">
        <v>15.465780996157536</v>
      </c>
      <c r="AX114" s="131">
        <v>14.4</v>
      </c>
      <c r="AY114" s="10" t="s">
        <v>352</v>
      </c>
      <c r="AZ114" s="10" t="s">
        <v>352</v>
      </c>
      <c r="BA114" s="10" t="s">
        <v>352</v>
      </c>
      <c r="BB114" s="10" t="s">
        <v>352</v>
      </c>
      <c r="BC114" s="10" t="s">
        <v>352</v>
      </c>
      <c r="BD114" s="10" t="s">
        <v>352</v>
      </c>
      <c r="BE114" s="10" t="s">
        <v>352</v>
      </c>
      <c r="BF114" s="10" t="s">
        <v>352</v>
      </c>
      <c r="BG114" s="10" t="s">
        <v>352</v>
      </c>
      <c r="BH114" s="10" t="s">
        <v>352</v>
      </c>
      <c r="BI114" s="172">
        <v>16728</v>
      </c>
      <c r="BJ114" s="10" t="s">
        <v>352</v>
      </c>
      <c r="BK114" s="10" t="s">
        <v>352</v>
      </c>
      <c r="BL114" s="10" t="s">
        <v>352</v>
      </c>
      <c r="BM114" s="10" t="s">
        <v>352</v>
      </c>
      <c r="BN114" s="10" t="s">
        <v>352</v>
      </c>
      <c r="BO114" s="10" t="s">
        <v>352</v>
      </c>
      <c r="BP114" s="10" t="s">
        <v>352</v>
      </c>
      <c r="BQ114" s="10" t="s">
        <v>352</v>
      </c>
      <c r="BR114" s="10" t="s">
        <v>352</v>
      </c>
      <c r="BS114" s="10" t="s">
        <v>352</v>
      </c>
      <c r="BT114" s="188" t="s">
        <v>353</v>
      </c>
      <c r="BU114" s="131">
        <v>10.3</v>
      </c>
      <c r="BV114" s="10" t="s">
        <v>352</v>
      </c>
      <c r="BW114" s="10" t="s">
        <v>352</v>
      </c>
      <c r="BX114" s="10" t="s">
        <v>352</v>
      </c>
      <c r="BY114" s="10" t="s">
        <v>352</v>
      </c>
      <c r="BZ114" s="10" t="s">
        <v>352</v>
      </c>
      <c r="CA114" s="10" t="s">
        <v>352</v>
      </c>
      <c r="CB114" s="10" t="s">
        <v>352</v>
      </c>
      <c r="CC114" s="10" t="s">
        <v>352</v>
      </c>
      <c r="CD114" s="10" t="s">
        <v>352</v>
      </c>
    </row>
    <row r="115" spans="1:82">
      <c r="A115" s="3" t="s">
        <v>454</v>
      </c>
      <c r="B115" s="3" t="s">
        <v>492</v>
      </c>
      <c r="C115" s="27" t="s">
        <v>456</v>
      </c>
      <c r="D115" s="3" t="s">
        <v>456</v>
      </c>
      <c r="E115" s="29">
        <v>13001</v>
      </c>
      <c r="F115" s="3" t="s">
        <v>494</v>
      </c>
      <c r="G115" s="4">
        <v>13302</v>
      </c>
      <c r="H115" s="10" t="s">
        <v>352</v>
      </c>
      <c r="I115" s="10" t="s">
        <v>352</v>
      </c>
      <c r="J115" s="10" t="s">
        <v>352</v>
      </c>
      <c r="K115" s="10" t="s">
        <v>352</v>
      </c>
      <c r="L115" s="10" t="s">
        <v>352</v>
      </c>
      <c r="M115" s="10" t="s">
        <v>352</v>
      </c>
      <c r="N115" s="10" t="s">
        <v>352</v>
      </c>
      <c r="O115" s="60">
        <v>2835.37</v>
      </c>
      <c r="P115" s="10" t="s">
        <v>352</v>
      </c>
      <c r="Q115" s="121">
        <v>871.27</v>
      </c>
      <c r="R115" s="123">
        <v>1</v>
      </c>
      <c r="S115" s="60">
        <v>695.88</v>
      </c>
      <c r="T115" s="10" t="s">
        <v>352</v>
      </c>
      <c r="U115" s="10" t="s">
        <v>352</v>
      </c>
      <c r="V115" s="10" t="s">
        <v>352</v>
      </c>
      <c r="W115" s="10" t="s">
        <v>352</v>
      </c>
      <c r="X115" s="10" t="s">
        <v>352</v>
      </c>
      <c r="Y115" s="10" t="s">
        <v>352</v>
      </c>
      <c r="Z115" s="10" t="s">
        <v>352</v>
      </c>
      <c r="AA115" s="10" t="s">
        <v>352</v>
      </c>
      <c r="AB115" s="10" t="s">
        <v>352</v>
      </c>
      <c r="AC115" s="10" t="s">
        <v>352</v>
      </c>
      <c r="AD115" s="10" t="s">
        <v>352</v>
      </c>
      <c r="AE115" s="10" t="s">
        <v>352</v>
      </c>
      <c r="AF115" s="10" t="s">
        <v>352</v>
      </c>
      <c r="AG115" s="10" t="s">
        <v>352</v>
      </c>
      <c r="AH115" s="10" t="s">
        <v>352</v>
      </c>
      <c r="AI115" s="10" t="s">
        <v>352</v>
      </c>
      <c r="AJ115" s="150">
        <v>13.4</v>
      </c>
      <c r="AK115" s="152">
        <v>139.47999999999999</v>
      </c>
      <c r="AL115" s="10" t="s">
        <v>352</v>
      </c>
      <c r="AM115" s="10" t="s">
        <v>352</v>
      </c>
      <c r="AN115" s="10" t="s">
        <v>352</v>
      </c>
      <c r="AO115" s="10" t="s">
        <v>352</v>
      </c>
      <c r="AP115" s="10" t="s">
        <v>352</v>
      </c>
      <c r="AQ115" s="160">
        <v>983.49</v>
      </c>
      <c r="AR115" s="161">
        <v>1163.52</v>
      </c>
      <c r="AS115" s="10" t="s">
        <v>352</v>
      </c>
      <c r="AT115" s="122">
        <v>39.61</v>
      </c>
      <c r="AU115" s="122">
        <v>0.84</v>
      </c>
      <c r="AV115" s="61">
        <v>554.17877558841383</v>
      </c>
      <c r="AW115" s="61">
        <v>13.674762407602955</v>
      </c>
      <c r="AX115" s="131">
        <v>19.420000000000002</v>
      </c>
      <c r="AY115" s="10" t="s">
        <v>352</v>
      </c>
      <c r="AZ115" s="10" t="s">
        <v>352</v>
      </c>
      <c r="BA115" s="10" t="s">
        <v>352</v>
      </c>
      <c r="BB115" s="10" t="s">
        <v>352</v>
      </c>
      <c r="BC115" s="10" t="s">
        <v>352</v>
      </c>
      <c r="BD115" s="10" t="s">
        <v>352</v>
      </c>
      <c r="BE115" s="10" t="s">
        <v>352</v>
      </c>
      <c r="BF115" s="10" t="s">
        <v>352</v>
      </c>
      <c r="BG115" s="10" t="s">
        <v>352</v>
      </c>
      <c r="BH115" s="10" t="s">
        <v>352</v>
      </c>
      <c r="BI115" s="172" t="s">
        <v>351</v>
      </c>
      <c r="BJ115" s="10" t="s">
        <v>352</v>
      </c>
      <c r="BK115" s="10" t="s">
        <v>352</v>
      </c>
      <c r="BL115" s="10" t="s">
        <v>352</v>
      </c>
      <c r="BM115" s="10" t="s">
        <v>352</v>
      </c>
      <c r="BN115" s="10" t="s">
        <v>352</v>
      </c>
      <c r="BO115" s="10" t="s">
        <v>352</v>
      </c>
      <c r="BP115" s="10" t="s">
        <v>352</v>
      </c>
      <c r="BQ115" s="10" t="s">
        <v>352</v>
      </c>
      <c r="BR115" s="10" t="s">
        <v>352</v>
      </c>
      <c r="BS115" s="10" t="s">
        <v>352</v>
      </c>
      <c r="BT115" s="188" t="s">
        <v>353</v>
      </c>
      <c r="BU115" s="131">
        <v>15.2</v>
      </c>
      <c r="BV115" s="10" t="s">
        <v>352</v>
      </c>
      <c r="BW115" s="10" t="s">
        <v>352</v>
      </c>
      <c r="BX115" s="10" t="s">
        <v>352</v>
      </c>
      <c r="BY115" s="10" t="s">
        <v>352</v>
      </c>
      <c r="BZ115" s="10" t="s">
        <v>352</v>
      </c>
      <c r="CA115" s="10" t="s">
        <v>352</v>
      </c>
      <c r="CB115" s="10" t="s">
        <v>352</v>
      </c>
      <c r="CC115" s="10" t="s">
        <v>352</v>
      </c>
      <c r="CD115" s="10" t="s">
        <v>352</v>
      </c>
    </row>
    <row r="116" spans="1:82">
      <c r="A116" s="3" t="s">
        <v>454</v>
      </c>
      <c r="B116" s="3" t="s">
        <v>492</v>
      </c>
      <c r="C116" s="27" t="s">
        <v>456</v>
      </c>
      <c r="D116" s="3" t="s">
        <v>456</v>
      </c>
      <c r="E116" s="29">
        <v>13001</v>
      </c>
      <c r="F116" s="3" t="s">
        <v>495</v>
      </c>
      <c r="G116" s="4">
        <v>13303</v>
      </c>
      <c r="H116" s="10" t="s">
        <v>352</v>
      </c>
      <c r="I116" s="10" t="s">
        <v>352</v>
      </c>
      <c r="J116" s="10" t="s">
        <v>352</v>
      </c>
      <c r="K116" s="10" t="s">
        <v>352</v>
      </c>
      <c r="L116" s="10" t="s">
        <v>352</v>
      </c>
      <c r="M116" s="10" t="s">
        <v>352</v>
      </c>
      <c r="N116" s="10" t="s">
        <v>352</v>
      </c>
      <c r="O116" s="60">
        <v>367</v>
      </c>
      <c r="P116" s="10" t="s">
        <v>352</v>
      </c>
      <c r="Q116" s="121">
        <v>735.66</v>
      </c>
      <c r="R116" s="123">
        <v>1.61</v>
      </c>
      <c r="S116" s="60">
        <v>596.24</v>
      </c>
      <c r="T116" s="10" t="s">
        <v>352</v>
      </c>
      <c r="U116" s="10" t="s">
        <v>352</v>
      </c>
      <c r="V116" s="10" t="s">
        <v>352</v>
      </c>
      <c r="W116" s="10" t="s">
        <v>352</v>
      </c>
      <c r="X116" s="10" t="s">
        <v>352</v>
      </c>
      <c r="Y116" s="10" t="s">
        <v>352</v>
      </c>
      <c r="Z116" s="10" t="s">
        <v>352</v>
      </c>
      <c r="AA116" s="10" t="s">
        <v>352</v>
      </c>
      <c r="AB116" s="10" t="s">
        <v>352</v>
      </c>
      <c r="AC116" s="10" t="s">
        <v>352</v>
      </c>
      <c r="AD116" s="10" t="s">
        <v>352</v>
      </c>
      <c r="AE116" s="10" t="s">
        <v>352</v>
      </c>
      <c r="AF116" s="10" t="s">
        <v>352</v>
      </c>
      <c r="AG116" s="10" t="s">
        <v>352</v>
      </c>
      <c r="AH116" s="10" t="s">
        <v>352</v>
      </c>
      <c r="AI116" s="10" t="s">
        <v>352</v>
      </c>
      <c r="AJ116" s="150">
        <v>46.56</v>
      </c>
      <c r="AK116" s="152">
        <v>107.09</v>
      </c>
      <c r="AL116" s="10" t="s">
        <v>352</v>
      </c>
      <c r="AM116" s="10" t="s">
        <v>352</v>
      </c>
      <c r="AN116" s="10" t="s">
        <v>352</v>
      </c>
      <c r="AO116" s="10" t="s">
        <v>352</v>
      </c>
      <c r="AP116" s="10" t="s">
        <v>352</v>
      </c>
      <c r="AQ116" s="160">
        <v>889.56</v>
      </c>
      <c r="AR116" s="161">
        <v>1617.56</v>
      </c>
      <c r="AS116" s="10" t="s">
        <v>352</v>
      </c>
      <c r="AT116" s="122">
        <v>29.1</v>
      </c>
      <c r="AU116" s="122">
        <v>0.09</v>
      </c>
      <c r="AV116" s="61">
        <v>304.72008781558731</v>
      </c>
      <c r="AW116" s="61">
        <v>6.462727569027332</v>
      </c>
      <c r="AX116" s="131">
        <v>10.64</v>
      </c>
      <c r="AY116" s="10" t="s">
        <v>352</v>
      </c>
      <c r="AZ116" s="10" t="s">
        <v>352</v>
      </c>
      <c r="BA116" s="10" t="s">
        <v>352</v>
      </c>
      <c r="BB116" s="10" t="s">
        <v>352</v>
      </c>
      <c r="BC116" s="10" t="s">
        <v>352</v>
      </c>
      <c r="BD116" s="10" t="s">
        <v>352</v>
      </c>
      <c r="BE116" s="10" t="s">
        <v>352</v>
      </c>
      <c r="BF116" s="10" t="s">
        <v>352</v>
      </c>
      <c r="BG116" s="10" t="s">
        <v>352</v>
      </c>
      <c r="BH116" s="10" t="s">
        <v>352</v>
      </c>
      <c r="BI116" s="172" t="s">
        <v>351</v>
      </c>
      <c r="BJ116" s="10" t="s">
        <v>352</v>
      </c>
      <c r="BK116" s="10" t="s">
        <v>352</v>
      </c>
      <c r="BL116" s="10" t="s">
        <v>352</v>
      </c>
      <c r="BM116" s="10" t="s">
        <v>352</v>
      </c>
      <c r="BN116" s="10" t="s">
        <v>352</v>
      </c>
      <c r="BO116" s="10" t="s">
        <v>352</v>
      </c>
      <c r="BP116" s="10" t="s">
        <v>352</v>
      </c>
      <c r="BQ116" s="10" t="s">
        <v>352</v>
      </c>
      <c r="BR116" s="10" t="s">
        <v>352</v>
      </c>
      <c r="BS116" s="10" t="s">
        <v>352</v>
      </c>
      <c r="BT116" s="188" t="s">
        <v>355</v>
      </c>
      <c r="BU116" s="131">
        <v>35.950000000000003</v>
      </c>
      <c r="BV116" s="10" t="s">
        <v>352</v>
      </c>
      <c r="BW116" s="10" t="s">
        <v>352</v>
      </c>
      <c r="BX116" s="10" t="s">
        <v>352</v>
      </c>
      <c r="BY116" s="10" t="s">
        <v>352</v>
      </c>
      <c r="BZ116" s="10" t="s">
        <v>352</v>
      </c>
      <c r="CA116" s="10" t="s">
        <v>352</v>
      </c>
      <c r="CB116" s="10" t="s">
        <v>352</v>
      </c>
      <c r="CC116" s="10" t="s">
        <v>352</v>
      </c>
      <c r="CD116" s="10" t="s">
        <v>352</v>
      </c>
    </row>
    <row r="117" spans="1:82">
      <c r="A117" s="3" t="s">
        <v>454</v>
      </c>
      <c r="B117" s="3" t="s">
        <v>496</v>
      </c>
      <c r="C117" s="27" t="s">
        <v>456</v>
      </c>
      <c r="D117" s="3" t="s">
        <v>456</v>
      </c>
      <c r="E117" s="29">
        <v>13001</v>
      </c>
      <c r="F117" s="3" t="s">
        <v>497</v>
      </c>
      <c r="G117" s="4">
        <v>13401</v>
      </c>
      <c r="H117" s="10" t="s">
        <v>352</v>
      </c>
      <c r="I117" s="10" t="s">
        <v>352</v>
      </c>
      <c r="J117" s="10" t="s">
        <v>352</v>
      </c>
      <c r="K117" s="10" t="s">
        <v>352</v>
      </c>
      <c r="L117" s="10" t="s">
        <v>352</v>
      </c>
      <c r="M117" s="10" t="s">
        <v>352</v>
      </c>
      <c r="N117" s="10" t="s">
        <v>352</v>
      </c>
      <c r="O117" s="60">
        <v>1086.2</v>
      </c>
      <c r="P117" s="10" t="s">
        <v>352</v>
      </c>
      <c r="Q117" s="121">
        <v>532.71</v>
      </c>
      <c r="R117" s="123">
        <v>1.1200000000000001</v>
      </c>
      <c r="S117" s="60">
        <v>435.51</v>
      </c>
      <c r="T117" s="10" t="s">
        <v>352</v>
      </c>
      <c r="U117" s="10" t="s">
        <v>352</v>
      </c>
      <c r="V117" s="10" t="s">
        <v>352</v>
      </c>
      <c r="W117" s="10" t="s">
        <v>352</v>
      </c>
      <c r="X117" s="10" t="s">
        <v>352</v>
      </c>
      <c r="Y117" s="10" t="s">
        <v>352</v>
      </c>
      <c r="Z117" s="10" t="s">
        <v>352</v>
      </c>
      <c r="AA117" s="10" t="s">
        <v>352</v>
      </c>
      <c r="AB117" s="10" t="s">
        <v>352</v>
      </c>
      <c r="AC117" s="10" t="s">
        <v>352</v>
      </c>
      <c r="AD117" s="10" t="s">
        <v>352</v>
      </c>
      <c r="AE117" s="10" t="s">
        <v>352</v>
      </c>
      <c r="AF117" s="10" t="s">
        <v>352</v>
      </c>
      <c r="AG117" s="10" t="s">
        <v>352</v>
      </c>
      <c r="AH117" s="10" t="s">
        <v>352</v>
      </c>
      <c r="AI117" s="10" t="s">
        <v>352</v>
      </c>
      <c r="AJ117" s="150">
        <v>4.4800000000000004</v>
      </c>
      <c r="AK117" s="152">
        <v>93.18</v>
      </c>
      <c r="AL117" s="10" t="s">
        <v>352</v>
      </c>
      <c r="AM117" s="10" t="s">
        <v>352</v>
      </c>
      <c r="AN117" s="10" t="s">
        <v>352</v>
      </c>
      <c r="AO117" s="10" t="s">
        <v>352</v>
      </c>
      <c r="AP117" s="10" t="s">
        <v>352</v>
      </c>
      <c r="AQ117" s="160">
        <v>645.42999999999995</v>
      </c>
      <c r="AR117" s="161">
        <v>459.54</v>
      </c>
      <c r="AS117" s="10" t="s">
        <v>352</v>
      </c>
      <c r="AT117" s="122">
        <v>18.399999999999999</v>
      </c>
      <c r="AU117" s="122">
        <v>0.33</v>
      </c>
      <c r="AV117" s="61">
        <v>611.07371620888068</v>
      </c>
      <c r="AW117" s="61">
        <v>16.810020427910978</v>
      </c>
      <c r="AX117" s="131">
        <v>14.56</v>
      </c>
      <c r="AY117" s="10" t="s">
        <v>352</v>
      </c>
      <c r="AZ117" s="10" t="s">
        <v>352</v>
      </c>
      <c r="BA117" s="10" t="s">
        <v>352</v>
      </c>
      <c r="BB117" s="10" t="s">
        <v>352</v>
      </c>
      <c r="BC117" s="10" t="s">
        <v>352</v>
      </c>
      <c r="BD117" s="10" t="s">
        <v>352</v>
      </c>
      <c r="BE117" s="10" t="s">
        <v>352</v>
      </c>
      <c r="BF117" s="10" t="s">
        <v>352</v>
      </c>
      <c r="BG117" s="10" t="s">
        <v>352</v>
      </c>
      <c r="BH117" s="10" t="s">
        <v>352</v>
      </c>
      <c r="BI117" s="172">
        <v>19225</v>
      </c>
      <c r="BJ117" s="10" t="s">
        <v>352</v>
      </c>
      <c r="BK117" s="10" t="s">
        <v>352</v>
      </c>
      <c r="BL117" s="10" t="s">
        <v>352</v>
      </c>
      <c r="BM117" s="10" t="s">
        <v>352</v>
      </c>
      <c r="BN117" s="10" t="s">
        <v>352</v>
      </c>
      <c r="BO117" s="10" t="s">
        <v>352</v>
      </c>
      <c r="BP117" s="10" t="s">
        <v>352</v>
      </c>
      <c r="BQ117" s="10" t="s">
        <v>352</v>
      </c>
      <c r="BR117" s="10" t="s">
        <v>352</v>
      </c>
      <c r="BS117" s="10" t="s">
        <v>352</v>
      </c>
      <c r="BT117" s="188" t="s">
        <v>355</v>
      </c>
      <c r="BU117" s="131">
        <v>38.26</v>
      </c>
      <c r="BV117" s="10" t="s">
        <v>352</v>
      </c>
      <c r="BW117" s="10" t="s">
        <v>352</v>
      </c>
      <c r="BX117" s="10" t="s">
        <v>352</v>
      </c>
      <c r="BY117" s="10" t="s">
        <v>352</v>
      </c>
      <c r="BZ117" s="10" t="s">
        <v>352</v>
      </c>
      <c r="CA117" s="10" t="s">
        <v>352</v>
      </c>
      <c r="CB117" s="10" t="s">
        <v>352</v>
      </c>
      <c r="CC117" s="10" t="s">
        <v>352</v>
      </c>
      <c r="CD117" s="10" t="s">
        <v>352</v>
      </c>
    </row>
    <row r="118" spans="1:82">
      <c r="A118" s="3" t="s">
        <v>454</v>
      </c>
      <c r="B118" s="3" t="s">
        <v>496</v>
      </c>
      <c r="C118" s="27" t="s">
        <v>456</v>
      </c>
      <c r="D118" s="3" t="s">
        <v>456</v>
      </c>
      <c r="E118" s="29">
        <v>13001</v>
      </c>
      <c r="F118" s="3" t="s">
        <v>498</v>
      </c>
      <c r="G118" s="4">
        <v>13402</v>
      </c>
      <c r="H118" s="10" t="s">
        <v>352</v>
      </c>
      <c r="I118" s="10" t="s">
        <v>352</v>
      </c>
      <c r="J118" s="10" t="s">
        <v>352</v>
      </c>
      <c r="K118" s="10" t="s">
        <v>352</v>
      </c>
      <c r="L118" s="10" t="s">
        <v>352</v>
      </c>
      <c r="M118" s="10" t="s">
        <v>352</v>
      </c>
      <c r="N118" s="10" t="s">
        <v>352</v>
      </c>
      <c r="O118" s="60">
        <v>1463.04</v>
      </c>
      <c r="P118" s="10" t="s">
        <v>352</v>
      </c>
      <c r="Q118" s="121">
        <v>857.21</v>
      </c>
      <c r="R118" s="123">
        <v>1.1000000000000001</v>
      </c>
      <c r="S118" s="60">
        <v>814.84</v>
      </c>
      <c r="T118" s="10" t="s">
        <v>352</v>
      </c>
      <c r="U118" s="10" t="s">
        <v>352</v>
      </c>
      <c r="V118" s="10" t="s">
        <v>352</v>
      </c>
      <c r="W118" s="10" t="s">
        <v>352</v>
      </c>
      <c r="X118" s="10" t="s">
        <v>352</v>
      </c>
      <c r="Y118" s="10" t="s">
        <v>352</v>
      </c>
      <c r="Z118" s="10" t="s">
        <v>352</v>
      </c>
      <c r="AA118" s="10" t="s">
        <v>352</v>
      </c>
      <c r="AB118" s="10" t="s">
        <v>352</v>
      </c>
      <c r="AC118" s="10" t="s">
        <v>352</v>
      </c>
      <c r="AD118" s="10" t="s">
        <v>352</v>
      </c>
      <c r="AE118" s="10" t="s">
        <v>352</v>
      </c>
      <c r="AF118" s="10" t="s">
        <v>352</v>
      </c>
      <c r="AG118" s="10" t="s">
        <v>352</v>
      </c>
      <c r="AH118" s="10" t="s">
        <v>352</v>
      </c>
      <c r="AI118" s="10" t="s">
        <v>352</v>
      </c>
      <c r="AJ118" s="150">
        <v>5.47</v>
      </c>
      <c r="AK118" s="152">
        <v>372.12</v>
      </c>
      <c r="AL118" s="10" t="s">
        <v>352</v>
      </c>
      <c r="AM118" s="10" t="s">
        <v>352</v>
      </c>
      <c r="AN118" s="10" t="s">
        <v>352</v>
      </c>
      <c r="AO118" s="10" t="s">
        <v>352</v>
      </c>
      <c r="AP118" s="10" t="s">
        <v>352</v>
      </c>
      <c r="AQ118" s="160">
        <v>760.39</v>
      </c>
      <c r="AR118" s="161">
        <v>584.28</v>
      </c>
      <c r="AS118" s="10" t="s">
        <v>352</v>
      </c>
      <c r="AT118" s="122">
        <v>45.71</v>
      </c>
      <c r="AU118" s="122">
        <v>1.19</v>
      </c>
      <c r="AV118" s="61">
        <v>568.99828633743573</v>
      </c>
      <c r="AW118" s="61">
        <v>16.656177889658068</v>
      </c>
      <c r="AX118" s="131">
        <v>10.11</v>
      </c>
      <c r="AY118" s="10" t="s">
        <v>352</v>
      </c>
      <c r="AZ118" s="10" t="s">
        <v>352</v>
      </c>
      <c r="BA118" s="10" t="s">
        <v>352</v>
      </c>
      <c r="BB118" s="10" t="s">
        <v>352</v>
      </c>
      <c r="BC118" s="10" t="s">
        <v>352</v>
      </c>
      <c r="BD118" s="10" t="s">
        <v>352</v>
      </c>
      <c r="BE118" s="10" t="s">
        <v>352</v>
      </c>
      <c r="BF118" s="10" t="s">
        <v>352</v>
      </c>
      <c r="BG118" s="10" t="s">
        <v>352</v>
      </c>
      <c r="BH118" s="10" t="s">
        <v>352</v>
      </c>
      <c r="BI118" s="172" t="s">
        <v>351</v>
      </c>
      <c r="BJ118" s="10" t="s">
        <v>352</v>
      </c>
      <c r="BK118" s="10" t="s">
        <v>352</v>
      </c>
      <c r="BL118" s="10" t="s">
        <v>352</v>
      </c>
      <c r="BM118" s="10" t="s">
        <v>352</v>
      </c>
      <c r="BN118" s="10" t="s">
        <v>352</v>
      </c>
      <c r="BO118" s="10" t="s">
        <v>352</v>
      </c>
      <c r="BP118" s="10" t="s">
        <v>352</v>
      </c>
      <c r="BQ118" s="10" t="s">
        <v>352</v>
      </c>
      <c r="BR118" s="10" t="s">
        <v>352</v>
      </c>
      <c r="BS118" s="10" t="s">
        <v>352</v>
      </c>
      <c r="BT118" s="188" t="s">
        <v>355</v>
      </c>
      <c r="BU118" s="131">
        <v>21.96</v>
      </c>
      <c r="BV118" s="10" t="s">
        <v>352</v>
      </c>
      <c r="BW118" s="10" t="s">
        <v>352</v>
      </c>
      <c r="BX118" s="10" t="s">
        <v>352</v>
      </c>
      <c r="BY118" s="10" t="s">
        <v>352</v>
      </c>
      <c r="BZ118" s="10" t="s">
        <v>352</v>
      </c>
      <c r="CA118" s="10" t="s">
        <v>352</v>
      </c>
      <c r="CB118" s="10" t="s">
        <v>352</v>
      </c>
      <c r="CC118" s="10" t="s">
        <v>352</v>
      </c>
      <c r="CD118" s="10" t="s">
        <v>352</v>
      </c>
    </row>
    <row r="119" spans="1:82">
      <c r="A119" s="3" t="s">
        <v>454</v>
      </c>
      <c r="B119" s="3" t="s">
        <v>496</v>
      </c>
      <c r="C119" s="27" t="s">
        <v>456</v>
      </c>
      <c r="D119" s="3" t="s">
        <v>456</v>
      </c>
      <c r="E119" s="29">
        <v>13001</v>
      </c>
      <c r="F119" s="3" t="s">
        <v>499</v>
      </c>
      <c r="G119" s="4">
        <v>13403</v>
      </c>
      <c r="H119" s="10" t="s">
        <v>352</v>
      </c>
      <c r="I119" s="10" t="s">
        <v>352</v>
      </c>
      <c r="J119" s="10" t="s">
        <v>352</v>
      </c>
      <c r="K119" s="10" t="s">
        <v>352</v>
      </c>
      <c r="L119" s="10" t="s">
        <v>352</v>
      </c>
      <c r="M119" s="10" t="s">
        <v>352</v>
      </c>
      <c r="N119" s="10" t="s">
        <v>352</v>
      </c>
      <c r="O119" s="60">
        <v>1099.43</v>
      </c>
      <c r="P119" s="10" t="s">
        <v>352</v>
      </c>
      <c r="Q119" s="121">
        <v>1266.8</v>
      </c>
      <c r="R119" s="123">
        <v>0.9</v>
      </c>
      <c r="S119" s="60">
        <v>1164.78</v>
      </c>
      <c r="T119" s="10" t="s">
        <v>352</v>
      </c>
      <c r="U119" s="10" t="s">
        <v>352</v>
      </c>
      <c r="V119" s="10" t="s">
        <v>352</v>
      </c>
      <c r="W119" s="10" t="s">
        <v>352</v>
      </c>
      <c r="X119" s="10" t="s">
        <v>352</v>
      </c>
      <c r="Y119" s="10" t="s">
        <v>352</v>
      </c>
      <c r="Z119" s="10" t="s">
        <v>352</v>
      </c>
      <c r="AA119" s="10" t="s">
        <v>352</v>
      </c>
      <c r="AB119" s="10" t="s">
        <v>352</v>
      </c>
      <c r="AC119" s="10" t="s">
        <v>352</v>
      </c>
      <c r="AD119" s="10" t="s">
        <v>352</v>
      </c>
      <c r="AE119" s="10" t="s">
        <v>352</v>
      </c>
      <c r="AF119" s="10" t="s">
        <v>352</v>
      </c>
      <c r="AG119" s="10" t="s">
        <v>352</v>
      </c>
      <c r="AH119" s="10" t="s">
        <v>352</v>
      </c>
      <c r="AI119" s="10" t="s">
        <v>352</v>
      </c>
      <c r="AJ119" s="150">
        <v>17.53</v>
      </c>
      <c r="AK119" s="152">
        <v>276.95</v>
      </c>
      <c r="AL119" s="10" t="s">
        <v>352</v>
      </c>
      <c r="AM119" s="10" t="s">
        <v>352</v>
      </c>
      <c r="AN119" s="10" t="s">
        <v>352</v>
      </c>
      <c r="AO119" s="10" t="s">
        <v>352</v>
      </c>
      <c r="AP119" s="10" t="s">
        <v>352</v>
      </c>
      <c r="AQ119" s="160">
        <v>780.54</v>
      </c>
      <c r="AR119" s="161">
        <v>767.34</v>
      </c>
      <c r="AS119" s="10" t="s">
        <v>352</v>
      </c>
      <c r="AT119" s="122">
        <v>70.75</v>
      </c>
      <c r="AU119" s="122">
        <v>1.1399999999999999</v>
      </c>
      <c r="AV119" s="61">
        <v>591.93680196131845</v>
      </c>
      <c r="AW119" s="61">
        <v>7.6178790534618761</v>
      </c>
      <c r="AX119" s="131">
        <v>25.02</v>
      </c>
      <c r="AY119" s="10" t="s">
        <v>352</v>
      </c>
      <c r="AZ119" s="10" t="s">
        <v>352</v>
      </c>
      <c r="BA119" s="10" t="s">
        <v>352</v>
      </c>
      <c r="BB119" s="10" t="s">
        <v>352</v>
      </c>
      <c r="BC119" s="10" t="s">
        <v>352</v>
      </c>
      <c r="BD119" s="10" t="s">
        <v>352</v>
      </c>
      <c r="BE119" s="10" t="s">
        <v>352</v>
      </c>
      <c r="BF119" s="10" t="s">
        <v>352</v>
      </c>
      <c r="BG119" s="10" t="s">
        <v>352</v>
      </c>
      <c r="BH119" s="10" t="s">
        <v>352</v>
      </c>
      <c r="BI119" s="172" t="s">
        <v>351</v>
      </c>
      <c r="BJ119" s="10" t="s">
        <v>352</v>
      </c>
      <c r="BK119" s="10" t="s">
        <v>352</v>
      </c>
      <c r="BL119" s="10" t="s">
        <v>352</v>
      </c>
      <c r="BM119" s="10" t="s">
        <v>352</v>
      </c>
      <c r="BN119" s="10" t="s">
        <v>352</v>
      </c>
      <c r="BO119" s="10" t="s">
        <v>352</v>
      </c>
      <c r="BP119" s="10" t="s">
        <v>352</v>
      </c>
      <c r="BQ119" s="10" t="s">
        <v>352</v>
      </c>
      <c r="BR119" s="10" t="s">
        <v>352</v>
      </c>
      <c r="BS119" s="10" t="s">
        <v>352</v>
      </c>
      <c r="BT119" s="188" t="s">
        <v>355</v>
      </c>
      <c r="BU119" s="131">
        <v>15.49</v>
      </c>
      <c r="BV119" s="10" t="s">
        <v>352</v>
      </c>
      <c r="BW119" s="10" t="s">
        <v>352</v>
      </c>
      <c r="BX119" s="10" t="s">
        <v>352</v>
      </c>
      <c r="BY119" s="10" t="s">
        <v>352</v>
      </c>
      <c r="BZ119" s="10" t="s">
        <v>352</v>
      </c>
      <c r="CA119" s="10" t="s">
        <v>352</v>
      </c>
      <c r="CB119" s="10" t="s">
        <v>352</v>
      </c>
      <c r="CC119" s="10" t="s">
        <v>352</v>
      </c>
      <c r="CD119" s="10" t="s">
        <v>352</v>
      </c>
    </row>
    <row r="120" spans="1:82">
      <c r="A120" s="3" t="s">
        <v>454</v>
      </c>
      <c r="B120" s="3" t="s">
        <v>496</v>
      </c>
      <c r="C120" s="27" t="s">
        <v>456</v>
      </c>
      <c r="D120" s="3" t="s">
        <v>456</v>
      </c>
      <c r="E120" s="29">
        <v>13001</v>
      </c>
      <c r="F120" s="3" t="s">
        <v>500</v>
      </c>
      <c r="G120" s="4">
        <v>13404</v>
      </c>
      <c r="H120" s="10" t="s">
        <v>352</v>
      </c>
      <c r="I120" s="10" t="s">
        <v>352</v>
      </c>
      <c r="J120" s="10" t="s">
        <v>352</v>
      </c>
      <c r="K120" s="10" t="s">
        <v>352</v>
      </c>
      <c r="L120" s="10" t="s">
        <v>352</v>
      </c>
      <c r="M120" s="10" t="s">
        <v>352</v>
      </c>
      <c r="N120" s="10" t="s">
        <v>352</v>
      </c>
      <c r="O120" s="60">
        <v>1457.52</v>
      </c>
      <c r="P120" s="10" t="s">
        <v>352</v>
      </c>
      <c r="Q120" s="121">
        <v>714.82</v>
      </c>
      <c r="R120" s="123">
        <v>1.51</v>
      </c>
      <c r="S120" s="60">
        <v>597.99</v>
      </c>
      <c r="T120" s="10" t="s">
        <v>352</v>
      </c>
      <c r="U120" s="10" t="s">
        <v>352</v>
      </c>
      <c r="V120" s="10" t="s">
        <v>352</v>
      </c>
      <c r="W120" s="10" t="s">
        <v>352</v>
      </c>
      <c r="X120" s="10" t="s">
        <v>352</v>
      </c>
      <c r="Y120" s="10" t="s">
        <v>352</v>
      </c>
      <c r="Z120" s="10" t="s">
        <v>352</v>
      </c>
      <c r="AA120" s="10" t="s">
        <v>352</v>
      </c>
      <c r="AB120" s="10" t="s">
        <v>352</v>
      </c>
      <c r="AC120" s="10" t="s">
        <v>352</v>
      </c>
      <c r="AD120" s="10" t="s">
        <v>352</v>
      </c>
      <c r="AE120" s="10" t="s">
        <v>352</v>
      </c>
      <c r="AF120" s="10" t="s">
        <v>352</v>
      </c>
      <c r="AG120" s="10" t="s">
        <v>352</v>
      </c>
      <c r="AH120" s="10" t="s">
        <v>352</v>
      </c>
      <c r="AI120" s="10" t="s">
        <v>352</v>
      </c>
      <c r="AJ120" s="150">
        <v>8.4600000000000009</v>
      </c>
      <c r="AK120" s="152">
        <v>236.81</v>
      </c>
      <c r="AL120" s="10" t="s">
        <v>352</v>
      </c>
      <c r="AM120" s="10" t="s">
        <v>352</v>
      </c>
      <c r="AN120" s="10" t="s">
        <v>352</v>
      </c>
      <c r="AO120" s="10" t="s">
        <v>352</v>
      </c>
      <c r="AP120" s="10" t="s">
        <v>352</v>
      </c>
      <c r="AQ120" s="160">
        <v>746.68</v>
      </c>
      <c r="AR120" s="161">
        <v>838.22</v>
      </c>
      <c r="AS120" s="10" t="s">
        <v>352</v>
      </c>
      <c r="AT120" s="122">
        <v>40.840000000000003</v>
      </c>
      <c r="AU120" s="122">
        <v>0.4</v>
      </c>
      <c r="AV120" s="61">
        <v>347.34046175849619</v>
      </c>
      <c r="AW120" s="61">
        <v>6.1619505594084529</v>
      </c>
      <c r="AX120" s="131">
        <v>24.22</v>
      </c>
      <c r="AY120" s="10" t="s">
        <v>352</v>
      </c>
      <c r="AZ120" s="10" t="s">
        <v>352</v>
      </c>
      <c r="BA120" s="10" t="s">
        <v>352</v>
      </c>
      <c r="BB120" s="10" t="s">
        <v>352</v>
      </c>
      <c r="BC120" s="10" t="s">
        <v>352</v>
      </c>
      <c r="BD120" s="10" t="s">
        <v>352</v>
      </c>
      <c r="BE120" s="10" t="s">
        <v>352</v>
      </c>
      <c r="BF120" s="10" t="s">
        <v>352</v>
      </c>
      <c r="BG120" s="10" t="s">
        <v>352</v>
      </c>
      <c r="BH120" s="10" t="s">
        <v>352</v>
      </c>
      <c r="BI120" s="172" t="s">
        <v>351</v>
      </c>
      <c r="BJ120" s="10" t="s">
        <v>352</v>
      </c>
      <c r="BK120" s="10" t="s">
        <v>352</v>
      </c>
      <c r="BL120" s="10" t="s">
        <v>352</v>
      </c>
      <c r="BM120" s="10" t="s">
        <v>352</v>
      </c>
      <c r="BN120" s="10" t="s">
        <v>352</v>
      </c>
      <c r="BO120" s="10" t="s">
        <v>352</v>
      </c>
      <c r="BP120" s="10" t="s">
        <v>352</v>
      </c>
      <c r="BQ120" s="10" t="s">
        <v>352</v>
      </c>
      <c r="BR120" s="10" t="s">
        <v>352</v>
      </c>
      <c r="BS120" s="10" t="s">
        <v>352</v>
      </c>
      <c r="BT120" s="188" t="s">
        <v>353</v>
      </c>
      <c r="BU120" s="131">
        <v>29.05</v>
      </c>
      <c r="BV120" s="10" t="s">
        <v>352</v>
      </c>
      <c r="BW120" s="10" t="s">
        <v>352</v>
      </c>
      <c r="BX120" s="10" t="s">
        <v>352</v>
      </c>
      <c r="BY120" s="10" t="s">
        <v>352</v>
      </c>
      <c r="BZ120" s="10" t="s">
        <v>352</v>
      </c>
      <c r="CA120" s="10" t="s">
        <v>352</v>
      </c>
      <c r="CB120" s="10" t="s">
        <v>352</v>
      </c>
      <c r="CC120" s="10" t="s">
        <v>352</v>
      </c>
      <c r="CD120" s="10" t="s">
        <v>352</v>
      </c>
    </row>
    <row r="121" spans="1:82">
      <c r="A121" s="3" t="s">
        <v>454</v>
      </c>
      <c r="B121" s="3" t="s">
        <v>501</v>
      </c>
      <c r="C121" s="27" t="s">
        <v>349</v>
      </c>
      <c r="D121" s="3" t="s">
        <v>501</v>
      </c>
      <c r="E121" s="29">
        <v>13501</v>
      </c>
      <c r="F121" s="6" t="s">
        <v>501</v>
      </c>
      <c r="G121" s="4">
        <v>13501</v>
      </c>
      <c r="H121" s="10" t="s">
        <v>352</v>
      </c>
      <c r="I121" s="10" t="s">
        <v>352</v>
      </c>
      <c r="J121" s="10" t="s">
        <v>352</v>
      </c>
      <c r="K121" s="10" t="s">
        <v>352</v>
      </c>
      <c r="L121" s="10" t="s">
        <v>352</v>
      </c>
      <c r="M121" s="10" t="s">
        <v>352</v>
      </c>
      <c r="N121" s="10" t="s">
        <v>352</v>
      </c>
      <c r="O121" s="60">
        <v>916.45</v>
      </c>
      <c r="P121" s="10" t="s">
        <v>352</v>
      </c>
      <c r="Q121" s="121">
        <v>599.44000000000005</v>
      </c>
      <c r="R121" s="123">
        <v>1.48</v>
      </c>
      <c r="S121" s="60">
        <v>493.19</v>
      </c>
      <c r="T121" s="10" t="s">
        <v>352</v>
      </c>
      <c r="U121" s="10" t="s">
        <v>352</v>
      </c>
      <c r="V121" s="10" t="s">
        <v>352</v>
      </c>
      <c r="W121" s="10" t="s">
        <v>352</v>
      </c>
      <c r="X121" s="10" t="s">
        <v>352</v>
      </c>
      <c r="Y121" s="10" t="s">
        <v>352</v>
      </c>
      <c r="Z121" s="10" t="s">
        <v>352</v>
      </c>
      <c r="AA121" s="10" t="s">
        <v>352</v>
      </c>
      <c r="AB121" s="10" t="s">
        <v>352</v>
      </c>
      <c r="AC121" s="10" t="s">
        <v>352</v>
      </c>
      <c r="AD121" s="10" t="s">
        <v>352</v>
      </c>
      <c r="AE121" s="10" t="s">
        <v>352</v>
      </c>
      <c r="AF121" s="10" t="s">
        <v>352</v>
      </c>
      <c r="AG121" s="10" t="s">
        <v>352</v>
      </c>
      <c r="AH121" s="10" t="s">
        <v>352</v>
      </c>
      <c r="AI121" s="10" t="s">
        <v>352</v>
      </c>
      <c r="AJ121" s="150">
        <v>9.89</v>
      </c>
      <c r="AK121" s="152">
        <v>237.27</v>
      </c>
      <c r="AL121" s="10" t="s">
        <v>352</v>
      </c>
      <c r="AM121" s="10" t="s">
        <v>352</v>
      </c>
      <c r="AN121" s="10" t="s">
        <v>352</v>
      </c>
      <c r="AO121" s="10" t="s">
        <v>352</v>
      </c>
      <c r="AP121" s="10" t="s">
        <v>352</v>
      </c>
      <c r="AQ121" s="160">
        <v>626.25</v>
      </c>
      <c r="AR121" s="161">
        <v>594.96</v>
      </c>
      <c r="AS121" s="10" t="s">
        <v>352</v>
      </c>
      <c r="AT121" s="122">
        <v>43.33</v>
      </c>
      <c r="AU121" s="122">
        <v>2.19</v>
      </c>
      <c r="AV121" s="61">
        <v>438.91694059439493</v>
      </c>
      <c r="AW121" s="61">
        <v>9.1461175606587002</v>
      </c>
      <c r="AX121" s="131">
        <v>16.059999999999999</v>
      </c>
      <c r="AY121" s="10" t="s">
        <v>352</v>
      </c>
      <c r="AZ121" s="10" t="s">
        <v>352</v>
      </c>
      <c r="BA121" s="10" t="s">
        <v>352</v>
      </c>
      <c r="BB121" s="10" t="s">
        <v>352</v>
      </c>
      <c r="BC121" s="10" t="s">
        <v>352</v>
      </c>
      <c r="BD121" s="10" t="s">
        <v>352</v>
      </c>
      <c r="BE121" s="10" t="s">
        <v>352</v>
      </c>
      <c r="BF121" s="10" t="s">
        <v>352</v>
      </c>
      <c r="BG121" s="10" t="s">
        <v>352</v>
      </c>
      <c r="BH121" s="10" t="s">
        <v>352</v>
      </c>
      <c r="BI121" s="172">
        <v>11889</v>
      </c>
      <c r="BJ121" s="10" t="s">
        <v>352</v>
      </c>
      <c r="BK121" s="10" t="s">
        <v>352</v>
      </c>
      <c r="BL121" s="10" t="s">
        <v>352</v>
      </c>
      <c r="BM121" s="10" t="s">
        <v>352</v>
      </c>
      <c r="BN121" s="10" t="s">
        <v>352</v>
      </c>
      <c r="BO121" s="10" t="s">
        <v>352</v>
      </c>
      <c r="BP121" s="10" t="s">
        <v>352</v>
      </c>
      <c r="BQ121" s="10" t="s">
        <v>352</v>
      </c>
      <c r="BR121" s="10" t="s">
        <v>352</v>
      </c>
      <c r="BS121" s="10" t="s">
        <v>352</v>
      </c>
      <c r="BT121" s="188" t="s">
        <v>353</v>
      </c>
      <c r="BU121" s="131">
        <v>56.92</v>
      </c>
      <c r="BV121" s="10" t="s">
        <v>352</v>
      </c>
      <c r="BW121" s="10" t="s">
        <v>352</v>
      </c>
      <c r="BX121" s="10" t="s">
        <v>352</v>
      </c>
      <c r="BY121" s="10" t="s">
        <v>352</v>
      </c>
      <c r="BZ121" s="10" t="s">
        <v>352</v>
      </c>
      <c r="CA121" s="10" t="s">
        <v>352</v>
      </c>
      <c r="CB121" s="10" t="s">
        <v>352</v>
      </c>
      <c r="CC121" s="10" t="s">
        <v>352</v>
      </c>
      <c r="CD121" s="10" t="s">
        <v>352</v>
      </c>
    </row>
    <row r="122" spans="1:82">
      <c r="A122" s="3" t="s">
        <v>454</v>
      </c>
      <c r="B122" s="3" t="s">
        <v>502</v>
      </c>
      <c r="C122" s="27" t="s">
        <v>456</v>
      </c>
      <c r="D122" s="3" t="s">
        <v>456</v>
      </c>
      <c r="E122" s="29">
        <v>13001</v>
      </c>
      <c r="F122" s="3" t="s">
        <v>502</v>
      </c>
      <c r="G122" s="4">
        <v>13601</v>
      </c>
      <c r="H122" s="10" t="s">
        <v>352</v>
      </c>
      <c r="I122" s="10" t="s">
        <v>352</v>
      </c>
      <c r="J122" s="10" t="s">
        <v>352</v>
      </c>
      <c r="K122" s="10" t="s">
        <v>352</v>
      </c>
      <c r="L122" s="10" t="s">
        <v>352</v>
      </c>
      <c r="M122" s="10" t="s">
        <v>352</v>
      </c>
      <c r="N122" s="10" t="s">
        <v>352</v>
      </c>
      <c r="O122" s="60">
        <v>1312.85</v>
      </c>
      <c r="P122" s="10" t="s">
        <v>352</v>
      </c>
      <c r="Q122" s="121">
        <v>623.78</v>
      </c>
      <c r="R122" s="123">
        <v>1.71</v>
      </c>
      <c r="S122" s="60">
        <v>466.11</v>
      </c>
      <c r="T122" s="10" t="s">
        <v>352</v>
      </c>
      <c r="U122" s="10" t="s">
        <v>352</v>
      </c>
      <c r="V122" s="10" t="s">
        <v>352</v>
      </c>
      <c r="W122" s="10" t="s">
        <v>352</v>
      </c>
      <c r="X122" s="10" t="s">
        <v>352</v>
      </c>
      <c r="Y122" s="10" t="s">
        <v>352</v>
      </c>
      <c r="Z122" s="10" t="s">
        <v>352</v>
      </c>
      <c r="AA122" s="10" t="s">
        <v>352</v>
      </c>
      <c r="AB122" s="10" t="s">
        <v>352</v>
      </c>
      <c r="AC122" s="10" t="s">
        <v>352</v>
      </c>
      <c r="AD122" s="10" t="s">
        <v>352</v>
      </c>
      <c r="AE122" s="10" t="s">
        <v>352</v>
      </c>
      <c r="AF122" s="10" t="s">
        <v>352</v>
      </c>
      <c r="AG122" s="10" t="s">
        <v>352</v>
      </c>
      <c r="AH122" s="10" t="s">
        <v>352</v>
      </c>
      <c r="AI122" s="10" t="s">
        <v>352</v>
      </c>
      <c r="AJ122" s="150">
        <v>8.5500000000000007</v>
      </c>
      <c r="AK122" s="152">
        <v>211.39</v>
      </c>
      <c r="AL122" s="10" t="s">
        <v>352</v>
      </c>
      <c r="AM122" s="10" t="s">
        <v>352</v>
      </c>
      <c r="AN122" s="10" t="s">
        <v>352</v>
      </c>
      <c r="AO122" s="10" t="s">
        <v>352</v>
      </c>
      <c r="AP122" s="10" t="s">
        <v>352</v>
      </c>
      <c r="AQ122" s="160">
        <v>715.59</v>
      </c>
      <c r="AR122" s="161">
        <v>532.84</v>
      </c>
      <c r="AS122" s="10" t="s">
        <v>352</v>
      </c>
      <c r="AT122" s="122">
        <v>48.5</v>
      </c>
      <c r="AU122" s="122">
        <v>1.91</v>
      </c>
      <c r="AV122" s="61">
        <v>579.61359093937369</v>
      </c>
      <c r="AW122" s="61">
        <v>13.819985825655564</v>
      </c>
      <c r="AX122" s="131">
        <v>27.22</v>
      </c>
      <c r="AY122" s="10" t="s">
        <v>352</v>
      </c>
      <c r="AZ122" s="10" t="s">
        <v>352</v>
      </c>
      <c r="BA122" s="10" t="s">
        <v>352</v>
      </c>
      <c r="BB122" s="10" t="s">
        <v>352</v>
      </c>
      <c r="BC122" s="10" t="s">
        <v>352</v>
      </c>
      <c r="BD122" s="10" t="s">
        <v>352</v>
      </c>
      <c r="BE122" s="10" t="s">
        <v>352</v>
      </c>
      <c r="BF122" s="10" t="s">
        <v>352</v>
      </c>
      <c r="BG122" s="10" t="s">
        <v>352</v>
      </c>
      <c r="BH122" s="10" t="s">
        <v>352</v>
      </c>
      <c r="BI122" s="172" t="s">
        <v>351</v>
      </c>
      <c r="BJ122" s="10" t="s">
        <v>352</v>
      </c>
      <c r="BK122" s="10" t="s">
        <v>352</v>
      </c>
      <c r="BL122" s="10" t="s">
        <v>352</v>
      </c>
      <c r="BM122" s="10" t="s">
        <v>352</v>
      </c>
      <c r="BN122" s="10" t="s">
        <v>352</v>
      </c>
      <c r="BO122" s="10" t="s">
        <v>352</v>
      </c>
      <c r="BP122" s="10" t="s">
        <v>352</v>
      </c>
      <c r="BQ122" s="10" t="s">
        <v>352</v>
      </c>
      <c r="BR122" s="10" t="s">
        <v>352</v>
      </c>
      <c r="BS122" s="10" t="s">
        <v>352</v>
      </c>
      <c r="BT122" s="188" t="s">
        <v>353</v>
      </c>
      <c r="BU122" s="131">
        <v>49.4</v>
      </c>
      <c r="BV122" s="10" t="s">
        <v>352</v>
      </c>
      <c r="BW122" s="10" t="s">
        <v>352</v>
      </c>
      <c r="BX122" s="10" t="s">
        <v>352</v>
      </c>
      <c r="BY122" s="10" t="s">
        <v>352</v>
      </c>
      <c r="BZ122" s="10" t="s">
        <v>352</v>
      </c>
      <c r="CA122" s="10" t="s">
        <v>352</v>
      </c>
      <c r="CB122" s="10" t="s">
        <v>352</v>
      </c>
      <c r="CC122" s="10" t="s">
        <v>352</v>
      </c>
      <c r="CD122" s="10" t="s">
        <v>352</v>
      </c>
    </row>
    <row r="123" spans="1:82">
      <c r="A123" s="3" t="s">
        <v>454</v>
      </c>
      <c r="B123" s="3" t="s">
        <v>502</v>
      </c>
      <c r="C123" s="27" t="s">
        <v>456</v>
      </c>
      <c r="D123" s="3" t="s">
        <v>456</v>
      </c>
      <c r="E123" s="29">
        <v>13001</v>
      </c>
      <c r="F123" s="3" t="s">
        <v>503</v>
      </c>
      <c r="G123" s="4">
        <v>13602</v>
      </c>
      <c r="H123" s="10" t="s">
        <v>352</v>
      </c>
      <c r="I123" s="10" t="s">
        <v>352</v>
      </c>
      <c r="J123" s="10" t="s">
        <v>352</v>
      </c>
      <c r="K123" s="10" t="s">
        <v>352</v>
      </c>
      <c r="L123" s="10" t="s">
        <v>352</v>
      </c>
      <c r="M123" s="10" t="s">
        <v>352</v>
      </c>
      <c r="N123" s="10" t="s">
        <v>352</v>
      </c>
      <c r="O123" s="60">
        <v>1426.58</v>
      </c>
      <c r="P123" s="10" t="s">
        <v>352</v>
      </c>
      <c r="Q123" s="121">
        <v>727.91</v>
      </c>
      <c r="R123" s="123">
        <v>1.1299999999999999</v>
      </c>
      <c r="S123" s="60">
        <v>557.61</v>
      </c>
      <c r="T123" s="10" t="s">
        <v>352</v>
      </c>
      <c r="U123" s="10" t="s">
        <v>352</v>
      </c>
      <c r="V123" s="10" t="s">
        <v>352</v>
      </c>
      <c r="W123" s="10" t="s">
        <v>352</v>
      </c>
      <c r="X123" s="10" t="s">
        <v>352</v>
      </c>
      <c r="Y123" s="10" t="s">
        <v>352</v>
      </c>
      <c r="Z123" s="10" t="s">
        <v>352</v>
      </c>
      <c r="AA123" s="10" t="s">
        <v>352</v>
      </c>
      <c r="AB123" s="10" t="s">
        <v>352</v>
      </c>
      <c r="AC123" s="10" t="s">
        <v>352</v>
      </c>
      <c r="AD123" s="10" t="s">
        <v>352</v>
      </c>
      <c r="AE123" s="10" t="s">
        <v>352</v>
      </c>
      <c r="AF123" s="10" t="s">
        <v>352</v>
      </c>
      <c r="AG123" s="10" t="s">
        <v>352</v>
      </c>
      <c r="AH123" s="10" t="s">
        <v>352</v>
      </c>
      <c r="AI123" s="10" t="s">
        <v>352</v>
      </c>
      <c r="AJ123" s="150">
        <v>5</v>
      </c>
      <c r="AK123" s="152">
        <v>212.43</v>
      </c>
      <c r="AL123" s="10" t="s">
        <v>352</v>
      </c>
      <c r="AM123" s="10" t="s">
        <v>352</v>
      </c>
      <c r="AN123" s="10" t="s">
        <v>352</v>
      </c>
      <c r="AO123" s="10" t="s">
        <v>352</v>
      </c>
      <c r="AP123" s="10" t="s">
        <v>352</v>
      </c>
      <c r="AQ123" s="160">
        <v>636.1</v>
      </c>
      <c r="AR123" s="161">
        <v>293.52999999999997</v>
      </c>
      <c r="AS123" s="10" t="s">
        <v>352</v>
      </c>
      <c r="AT123" s="122">
        <v>55.55</v>
      </c>
      <c r="AU123" s="122">
        <v>2.06</v>
      </c>
      <c r="AV123" s="61">
        <v>462.28314003642288</v>
      </c>
      <c r="AW123" s="61">
        <v>12.053281351526964</v>
      </c>
      <c r="AX123" s="131">
        <v>21.52</v>
      </c>
      <c r="AY123" s="10" t="s">
        <v>352</v>
      </c>
      <c r="AZ123" s="10" t="s">
        <v>352</v>
      </c>
      <c r="BA123" s="10" t="s">
        <v>352</v>
      </c>
      <c r="BB123" s="10" t="s">
        <v>352</v>
      </c>
      <c r="BC123" s="10" t="s">
        <v>352</v>
      </c>
      <c r="BD123" s="10" t="s">
        <v>352</v>
      </c>
      <c r="BE123" s="10" t="s">
        <v>352</v>
      </c>
      <c r="BF123" s="10" t="s">
        <v>352</v>
      </c>
      <c r="BG123" s="10" t="s">
        <v>352</v>
      </c>
      <c r="BH123" s="10" t="s">
        <v>352</v>
      </c>
      <c r="BI123" s="172" t="s">
        <v>351</v>
      </c>
      <c r="BJ123" s="10" t="s">
        <v>352</v>
      </c>
      <c r="BK123" s="10" t="s">
        <v>352</v>
      </c>
      <c r="BL123" s="10" t="s">
        <v>352</v>
      </c>
      <c r="BM123" s="10" t="s">
        <v>352</v>
      </c>
      <c r="BN123" s="10" t="s">
        <v>352</v>
      </c>
      <c r="BO123" s="10" t="s">
        <v>352</v>
      </c>
      <c r="BP123" s="10" t="s">
        <v>352</v>
      </c>
      <c r="BQ123" s="10" t="s">
        <v>352</v>
      </c>
      <c r="BR123" s="10" t="s">
        <v>352</v>
      </c>
      <c r="BS123" s="10" t="s">
        <v>352</v>
      </c>
      <c r="BT123" s="188" t="s">
        <v>355</v>
      </c>
      <c r="BU123" s="131">
        <v>39.61</v>
      </c>
      <c r="BV123" s="10" t="s">
        <v>352</v>
      </c>
      <c r="BW123" s="10" t="s">
        <v>352</v>
      </c>
      <c r="BX123" s="10" t="s">
        <v>352</v>
      </c>
      <c r="BY123" s="10" t="s">
        <v>352</v>
      </c>
      <c r="BZ123" s="10" t="s">
        <v>352</v>
      </c>
      <c r="CA123" s="10" t="s">
        <v>352</v>
      </c>
      <c r="CB123" s="10" t="s">
        <v>352</v>
      </c>
      <c r="CC123" s="10" t="s">
        <v>352</v>
      </c>
      <c r="CD123" s="10" t="s">
        <v>352</v>
      </c>
    </row>
    <row r="124" spans="1:82">
      <c r="A124" s="3" t="s">
        <v>454</v>
      </c>
      <c r="B124" s="3" t="s">
        <v>502</v>
      </c>
      <c r="C124" s="27" t="s">
        <v>456</v>
      </c>
      <c r="D124" s="3" t="s">
        <v>456</v>
      </c>
      <c r="E124" s="29">
        <v>13001</v>
      </c>
      <c r="F124" s="3" t="s">
        <v>504</v>
      </c>
      <c r="G124" s="4">
        <v>13603</v>
      </c>
      <c r="H124" s="10" t="s">
        <v>352</v>
      </c>
      <c r="I124" s="10" t="s">
        <v>352</v>
      </c>
      <c r="J124" s="10" t="s">
        <v>352</v>
      </c>
      <c r="K124" s="10" t="s">
        <v>352</v>
      </c>
      <c r="L124" s="10" t="s">
        <v>352</v>
      </c>
      <c r="M124" s="10" t="s">
        <v>352</v>
      </c>
      <c r="N124" s="10" t="s">
        <v>352</v>
      </c>
      <c r="O124" s="60">
        <v>1346.82</v>
      </c>
      <c r="P124" s="10" t="s">
        <v>352</v>
      </c>
      <c r="Q124" s="121">
        <v>997.83</v>
      </c>
      <c r="R124" s="123">
        <v>0.93</v>
      </c>
      <c r="S124" s="60">
        <v>856.7</v>
      </c>
      <c r="T124" s="10" t="s">
        <v>352</v>
      </c>
      <c r="U124" s="10" t="s">
        <v>352</v>
      </c>
      <c r="V124" s="10" t="s">
        <v>352</v>
      </c>
      <c r="W124" s="10" t="s">
        <v>352</v>
      </c>
      <c r="X124" s="10" t="s">
        <v>352</v>
      </c>
      <c r="Y124" s="10" t="s">
        <v>352</v>
      </c>
      <c r="Z124" s="10" t="s">
        <v>352</v>
      </c>
      <c r="AA124" s="10" t="s">
        <v>352</v>
      </c>
      <c r="AB124" s="10" t="s">
        <v>352</v>
      </c>
      <c r="AC124" s="10" t="s">
        <v>352</v>
      </c>
      <c r="AD124" s="10" t="s">
        <v>352</v>
      </c>
      <c r="AE124" s="10" t="s">
        <v>352</v>
      </c>
      <c r="AF124" s="10" t="s">
        <v>352</v>
      </c>
      <c r="AG124" s="10" t="s">
        <v>352</v>
      </c>
      <c r="AH124" s="10" t="s">
        <v>352</v>
      </c>
      <c r="AI124" s="10" t="s">
        <v>352</v>
      </c>
      <c r="AJ124" s="150">
        <v>4.9800000000000004</v>
      </c>
      <c r="AK124" s="152">
        <v>124.47</v>
      </c>
      <c r="AL124" s="10" t="s">
        <v>352</v>
      </c>
      <c r="AM124" s="10" t="s">
        <v>352</v>
      </c>
      <c r="AN124" s="10" t="s">
        <v>352</v>
      </c>
      <c r="AO124" s="10" t="s">
        <v>352</v>
      </c>
      <c r="AP124" s="10" t="s">
        <v>352</v>
      </c>
      <c r="AQ124" s="160">
        <v>713.3</v>
      </c>
      <c r="AR124" s="161">
        <v>514.04</v>
      </c>
      <c r="AS124" s="10" t="s">
        <v>352</v>
      </c>
      <c r="AT124" s="122">
        <v>54.74</v>
      </c>
      <c r="AU124" s="122">
        <v>0.88</v>
      </c>
      <c r="AV124" s="61">
        <v>372.2611249152925</v>
      </c>
      <c r="AW124" s="61">
        <v>8.2049239501132654</v>
      </c>
      <c r="AX124" s="131">
        <v>41.12</v>
      </c>
      <c r="AY124" s="10" t="s">
        <v>352</v>
      </c>
      <c r="AZ124" s="10" t="s">
        <v>352</v>
      </c>
      <c r="BA124" s="10" t="s">
        <v>352</v>
      </c>
      <c r="BB124" s="10" t="s">
        <v>352</v>
      </c>
      <c r="BC124" s="10" t="s">
        <v>352</v>
      </c>
      <c r="BD124" s="10" t="s">
        <v>352</v>
      </c>
      <c r="BE124" s="10" t="s">
        <v>352</v>
      </c>
      <c r="BF124" s="10" t="s">
        <v>352</v>
      </c>
      <c r="BG124" s="10" t="s">
        <v>352</v>
      </c>
      <c r="BH124" s="10" t="s">
        <v>352</v>
      </c>
      <c r="BI124" s="172" t="s">
        <v>351</v>
      </c>
      <c r="BJ124" s="10" t="s">
        <v>352</v>
      </c>
      <c r="BK124" s="10" t="s">
        <v>352</v>
      </c>
      <c r="BL124" s="10" t="s">
        <v>352</v>
      </c>
      <c r="BM124" s="10" t="s">
        <v>352</v>
      </c>
      <c r="BN124" s="10" t="s">
        <v>352</v>
      </c>
      <c r="BO124" s="10" t="s">
        <v>352</v>
      </c>
      <c r="BP124" s="10" t="s">
        <v>352</v>
      </c>
      <c r="BQ124" s="10" t="s">
        <v>352</v>
      </c>
      <c r="BR124" s="10" t="s">
        <v>352</v>
      </c>
      <c r="BS124" s="10" t="s">
        <v>352</v>
      </c>
      <c r="BT124" s="188" t="s">
        <v>353</v>
      </c>
      <c r="BU124" s="131">
        <v>47.46</v>
      </c>
      <c r="BV124" s="10" t="s">
        <v>352</v>
      </c>
      <c r="BW124" s="10" t="s">
        <v>352</v>
      </c>
      <c r="BX124" s="10" t="s">
        <v>352</v>
      </c>
      <c r="BY124" s="10" t="s">
        <v>352</v>
      </c>
      <c r="BZ124" s="10" t="s">
        <v>352</v>
      </c>
      <c r="CA124" s="10" t="s">
        <v>352</v>
      </c>
      <c r="CB124" s="10" t="s">
        <v>352</v>
      </c>
      <c r="CC124" s="10" t="s">
        <v>352</v>
      </c>
      <c r="CD124" s="10" t="s">
        <v>352</v>
      </c>
    </row>
    <row r="125" spans="1:82">
      <c r="A125" s="3" t="s">
        <v>454</v>
      </c>
      <c r="B125" s="3" t="s">
        <v>502</v>
      </c>
      <c r="C125" s="27" t="s">
        <v>456</v>
      </c>
      <c r="D125" s="3" t="s">
        <v>456</v>
      </c>
      <c r="E125" s="29">
        <v>13001</v>
      </c>
      <c r="F125" s="3" t="s">
        <v>505</v>
      </c>
      <c r="G125" s="4">
        <v>13604</v>
      </c>
      <c r="H125" s="10" t="s">
        <v>352</v>
      </c>
      <c r="I125" s="10" t="s">
        <v>352</v>
      </c>
      <c r="J125" s="10" t="s">
        <v>352</v>
      </c>
      <c r="K125" s="10" t="s">
        <v>352</v>
      </c>
      <c r="L125" s="10" t="s">
        <v>352</v>
      </c>
      <c r="M125" s="10" t="s">
        <v>352</v>
      </c>
      <c r="N125" s="10" t="s">
        <v>352</v>
      </c>
      <c r="O125" s="60">
        <v>1535.72</v>
      </c>
      <c r="P125" s="10" t="s">
        <v>352</v>
      </c>
      <c r="Q125" s="121">
        <v>783.78</v>
      </c>
      <c r="R125" s="123">
        <v>1.37</v>
      </c>
      <c r="S125" s="60">
        <v>704.4</v>
      </c>
      <c r="T125" s="10" t="s">
        <v>352</v>
      </c>
      <c r="U125" s="10" t="s">
        <v>352</v>
      </c>
      <c r="V125" s="10" t="s">
        <v>352</v>
      </c>
      <c r="W125" s="10" t="s">
        <v>352</v>
      </c>
      <c r="X125" s="10" t="s">
        <v>352</v>
      </c>
      <c r="Y125" s="10" t="s">
        <v>352</v>
      </c>
      <c r="Z125" s="10" t="s">
        <v>352</v>
      </c>
      <c r="AA125" s="10" t="s">
        <v>352</v>
      </c>
      <c r="AB125" s="10" t="s">
        <v>352</v>
      </c>
      <c r="AC125" s="10" t="s">
        <v>352</v>
      </c>
      <c r="AD125" s="10" t="s">
        <v>352</v>
      </c>
      <c r="AE125" s="10" t="s">
        <v>352</v>
      </c>
      <c r="AF125" s="10" t="s">
        <v>352</v>
      </c>
      <c r="AG125" s="10" t="s">
        <v>352</v>
      </c>
      <c r="AH125" s="10" t="s">
        <v>352</v>
      </c>
      <c r="AI125" s="10" t="s">
        <v>352</v>
      </c>
      <c r="AJ125" s="150">
        <v>8.09</v>
      </c>
      <c r="AK125" s="152">
        <v>140.18</v>
      </c>
      <c r="AL125" s="10" t="s">
        <v>352</v>
      </c>
      <c r="AM125" s="10" t="s">
        <v>352</v>
      </c>
      <c r="AN125" s="10" t="s">
        <v>352</v>
      </c>
      <c r="AO125" s="10" t="s">
        <v>352</v>
      </c>
      <c r="AP125" s="10" t="s">
        <v>352</v>
      </c>
      <c r="AQ125" s="160">
        <v>735.83</v>
      </c>
      <c r="AR125" s="161">
        <v>290.18</v>
      </c>
      <c r="AS125" s="10" t="s">
        <v>352</v>
      </c>
      <c r="AT125" s="122">
        <v>31.41</v>
      </c>
      <c r="AU125" s="122">
        <v>0.4</v>
      </c>
      <c r="AV125" s="61">
        <v>683.04668304668303</v>
      </c>
      <c r="AW125" s="61">
        <v>19.860354774357038</v>
      </c>
      <c r="AX125" s="131">
        <v>37.47</v>
      </c>
      <c r="AY125" s="10" t="s">
        <v>352</v>
      </c>
      <c r="AZ125" s="10" t="s">
        <v>352</v>
      </c>
      <c r="BA125" s="10" t="s">
        <v>352</v>
      </c>
      <c r="BB125" s="10" t="s">
        <v>352</v>
      </c>
      <c r="BC125" s="10" t="s">
        <v>352</v>
      </c>
      <c r="BD125" s="10" t="s">
        <v>352</v>
      </c>
      <c r="BE125" s="10" t="s">
        <v>352</v>
      </c>
      <c r="BF125" s="10" t="s">
        <v>352</v>
      </c>
      <c r="BG125" s="10" t="s">
        <v>352</v>
      </c>
      <c r="BH125" s="10" t="s">
        <v>352</v>
      </c>
      <c r="BI125" s="172" t="s">
        <v>351</v>
      </c>
      <c r="BJ125" s="10" t="s">
        <v>352</v>
      </c>
      <c r="BK125" s="10" t="s">
        <v>352</v>
      </c>
      <c r="BL125" s="10" t="s">
        <v>352</v>
      </c>
      <c r="BM125" s="10" t="s">
        <v>352</v>
      </c>
      <c r="BN125" s="10" t="s">
        <v>352</v>
      </c>
      <c r="BO125" s="10" t="s">
        <v>352</v>
      </c>
      <c r="BP125" s="10" t="s">
        <v>352</v>
      </c>
      <c r="BQ125" s="10" t="s">
        <v>352</v>
      </c>
      <c r="BR125" s="10" t="s">
        <v>352</v>
      </c>
      <c r="BS125" s="10" t="s">
        <v>352</v>
      </c>
      <c r="BT125" s="188" t="s">
        <v>353</v>
      </c>
      <c r="BU125" s="131">
        <v>39.33</v>
      </c>
      <c r="BV125" s="10" t="s">
        <v>352</v>
      </c>
      <c r="BW125" s="10" t="s">
        <v>352</v>
      </c>
      <c r="BX125" s="10" t="s">
        <v>352</v>
      </c>
      <c r="BY125" s="10" t="s">
        <v>352</v>
      </c>
      <c r="BZ125" s="10" t="s">
        <v>352</v>
      </c>
      <c r="CA125" s="10" t="s">
        <v>352</v>
      </c>
      <c r="CB125" s="10" t="s">
        <v>352</v>
      </c>
      <c r="CC125" s="10" t="s">
        <v>352</v>
      </c>
      <c r="CD125" s="10" t="s">
        <v>352</v>
      </c>
    </row>
    <row r="126" spans="1:82">
      <c r="A126" s="3" t="s">
        <v>454</v>
      </c>
      <c r="B126" s="3" t="s">
        <v>502</v>
      </c>
      <c r="C126" s="27" t="s">
        <v>456</v>
      </c>
      <c r="D126" s="3" t="s">
        <v>456</v>
      </c>
      <c r="E126" s="29">
        <v>13001</v>
      </c>
      <c r="F126" s="3" t="s">
        <v>506</v>
      </c>
      <c r="G126" s="4">
        <v>13605</v>
      </c>
      <c r="H126" s="10" t="s">
        <v>352</v>
      </c>
      <c r="I126" s="10" t="s">
        <v>352</v>
      </c>
      <c r="J126" s="10" t="s">
        <v>352</v>
      </c>
      <c r="K126" s="10" t="s">
        <v>352</v>
      </c>
      <c r="L126" s="10" t="s">
        <v>352</v>
      </c>
      <c r="M126" s="10" t="s">
        <v>352</v>
      </c>
      <c r="N126" s="10" t="s">
        <v>352</v>
      </c>
      <c r="O126" s="60">
        <v>1364.71</v>
      </c>
      <c r="P126" s="10" t="s">
        <v>352</v>
      </c>
      <c r="Q126" s="121">
        <v>592.67999999999995</v>
      </c>
      <c r="R126" s="123">
        <v>1.26</v>
      </c>
      <c r="S126" s="60">
        <v>458.68</v>
      </c>
      <c r="T126" s="10" t="s">
        <v>352</v>
      </c>
      <c r="U126" s="10" t="s">
        <v>352</v>
      </c>
      <c r="V126" s="10" t="s">
        <v>352</v>
      </c>
      <c r="W126" s="10" t="s">
        <v>352</v>
      </c>
      <c r="X126" s="10" t="s">
        <v>352</v>
      </c>
      <c r="Y126" s="10" t="s">
        <v>352</v>
      </c>
      <c r="Z126" s="10" t="s">
        <v>352</v>
      </c>
      <c r="AA126" s="10" t="s">
        <v>352</v>
      </c>
      <c r="AB126" s="10" t="s">
        <v>352</v>
      </c>
      <c r="AC126" s="10" t="s">
        <v>352</v>
      </c>
      <c r="AD126" s="10" t="s">
        <v>352</v>
      </c>
      <c r="AE126" s="10" t="s">
        <v>352</v>
      </c>
      <c r="AF126" s="10" t="s">
        <v>352</v>
      </c>
      <c r="AG126" s="10" t="s">
        <v>352</v>
      </c>
      <c r="AH126" s="10" t="s">
        <v>352</v>
      </c>
      <c r="AI126" s="10" t="s">
        <v>352</v>
      </c>
      <c r="AJ126" s="150">
        <v>4.95</v>
      </c>
      <c r="AK126" s="152">
        <v>200.87</v>
      </c>
      <c r="AL126" s="10" t="s">
        <v>352</v>
      </c>
      <c r="AM126" s="10" t="s">
        <v>352</v>
      </c>
      <c r="AN126" s="10" t="s">
        <v>352</v>
      </c>
      <c r="AO126" s="10" t="s">
        <v>352</v>
      </c>
      <c r="AP126" s="10" t="s">
        <v>352</v>
      </c>
      <c r="AQ126" s="160">
        <v>744.04</v>
      </c>
      <c r="AR126" s="161">
        <v>345.33</v>
      </c>
      <c r="AS126" s="10" t="s">
        <v>352</v>
      </c>
      <c r="AT126" s="122">
        <v>45.3</v>
      </c>
      <c r="AU126" s="122">
        <v>2.12</v>
      </c>
      <c r="AV126" s="61">
        <v>676.25669587427717</v>
      </c>
      <c r="AW126" s="61">
        <v>18.863424963882128</v>
      </c>
      <c r="AX126" s="131">
        <v>13.71</v>
      </c>
      <c r="AY126" s="10" t="s">
        <v>352</v>
      </c>
      <c r="AZ126" s="10" t="s">
        <v>352</v>
      </c>
      <c r="BA126" s="10" t="s">
        <v>352</v>
      </c>
      <c r="BB126" s="10" t="s">
        <v>352</v>
      </c>
      <c r="BC126" s="10" t="s">
        <v>352</v>
      </c>
      <c r="BD126" s="10" t="s">
        <v>352</v>
      </c>
      <c r="BE126" s="10" t="s">
        <v>352</v>
      </c>
      <c r="BF126" s="10" t="s">
        <v>352</v>
      </c>
      <c r="BG126" s="10" t="s">
        <v>352</v>
      </c>
      <c r="BH126" s="10" t="s">
        <v>352</v>
      </c>
      <c r="BI126" s="172" t="s">
        <v>351</v>
      </c>
      <c r="BJ126" s="10" t="s">
        <v>352</v>
      </c>
      <c r="BK126" s="10" t="s">
        <v>352</v>
      </c>
      <c r="BL126" s="10" t="s">
        <v>352</v>
      </c>
      <c r="BM126" s="10" t="s">
        <v>352</v>
      </c>
      <c r="BN126" s="10" t="s">
        <v>352</v>
      </c>
      <c r="BO126" s="10" t="s">
        <v>352</v>
      </c>
      <c r="BP126" s="10" t="s">
        <v>352</v>
      </c>
      <c r="BQ126" s="10" t="s">
        <v>352</v>
      </c>
      <c r="BR126" s="10" t="s">
        <v>352</v>
      </c>
      <c r="BS126" s="10" t="s">
        <v>352</v>
      </c>
      <c r="BT126" s="188" t="s">
        <v>355</v>
      </c>
      <c r="BU126" s="131">
        <v>51.42</v>
      </c>
      <c r="BV126" s="10" t="s">
        <v>352</v>
      </c>
      <c r="BW126" s="10" t="s">
        <v>352</v>
      </c>
      <c r="BX126" s="10" t="s">
        <v>352</v>
      </c>
      <c r="BY126" s="10" t="s">
        <v>352</v>
      </c>
      <c r="BZ126" s="10" t="s">
        <v>352</v>
      </c>
      <c r="CA126" s="10" t="s">
        <v>352</v>
      </c>
      <c r="CB126" s="10" t="s">
        <v>352</v>
      </c>
      <c r="CC126" s="10" t="s">
        <v>352</v>
      </c>
      <c r="CD126" s="10" t="s">
        <v>352</v>
      </c>
    </row>
    <row r="127" spans="1:82">
      <c r="A127" s="3" t="s">
        <v>507</v>
      </c>
      <c r="B127" s="3" t="s">
        <v>508</v>
      </c>
      <c r="C127" s="27" t="s">
        <v>349</v>
      </c>
      <c r="D127" s="3" t="s">
        <v>508</v>
      </c>
      <c r="E127" s="29">
        <v>14101</v>
      </c>
      <c r="F127" s="3" t="s">
        <v>508</v>
      </c>
      <c r="G127" s="4">
        <v>14101</v>
      </c>
      <c r="H127" s="10" t="s">
        <v>352</v>
      </c>
      <c r="I127" s="10" t="s">
        <v>352</v>
      </c>
      <c r="J127" s="10" t="s">
        <v>352</v>
      </c>
      <c r="K127" s="10" t="s">
        <v>352</v>
      </c>
      <c r="L127" s="10" t="s">
        <v>352</v>
      </c>
      <c r="M127" s="10" t="s">
        <v>352</v>
      </c>
      <c r="N127" s="10" t="s">
        <v>352</v>
      </c>
      <c r="O127" s="60">
        <v>1231.53</v>
      </c>
      <c r="P127" s="10" t="s">
        <v>352</v>
      </c>
      <c r="Q127" s="121">
        <v>731.06</v>
      </c>
      <c r="R127" s="123">
        <v>1.26</v>
      </c>
      <c r="S127" s="60">
        <v>550.87</v>
      </c>
      <c r="T127" s="10" t="s">
        <v>352</v>
      </c>
      <c r="U127" s="10" t="s">
        <v>352</v>
      </c>
      <c r="V127" s="10" t="s">
        <v>352</v>
      </c>
      <c r="W127" s="10" t="s">
        <v>352</v>
      </c>
      <c r="X127" s="10" t="s">
        <v>352</v>
      </c>
      <c r="Y127" s="10" t="s">
        <v>352</v>
      </c>
      <c r="Z127" s="10" t="s">
        <v>352</v>
      </c>
      <c r="AA127" s="10" t="s">
        <v>352</v>
      </c>
      <c r="AB127" s="10" t="s">
        <v>352</v>
      </c>
      <c r="AC127" s="10" t="s">
        <v>352</v>
      </c>
      <c r="AD127" s="10" t="s">
        <v>352</v>
      </c>
      <c r="AE127" s="10" t="s">
        <v>352</v>
      </c>
      <c r="AF127" s="10" t="s">
        <v>352</v>
      </c>
      <c r="AG127" s="10" t="s">
        <v>352</v>
      </c>
      <c r="AH127" s="10" t="s">
        <v>352</v>
      </c>
      <c r="AI127" s="10" t="s">
        <v>352</v>
      </c>
      <c r="AJ127" s="150">
        <v>3.96</v>
      </c>
      <c r="AK127" s="152">
        <v>261.92</v>
      </c>
      <c r="AL127" s="10" t="s">
        <v>352</v>
      </c>
      <c r="AM127" s="10" t="s">
        <v>352</v>
      </c>
      <c r="AN127" s="10" t="s">
        <v>352</v>
      </c>
      <c r="AO127" s="10" t="s">
        <v>352</v>
      </c>
      <c r="AP127" s="10" t="s">
        <v>352</v>
      </c>
      <c r="AQ127" s="160">
        <v>766.84</v>
      </c>
      <c r="AR127" s="161">
        <v>431.55</v>
      </c>
      <c r="AS127" s="10" t="s">
        <v>352</v>
      </c>
      <c r="AT127" s="122">
        <v>54.53</v>
      </c>
      <c r="AU127" s="122">
        <v>10.41</v>
      </c>
      <c r="AV127" s="61">
        <v>669.54957448280641</v>
      </c>
      <c r="AW127" s="61">
        <v>21.896885288560537</v>
      </c>
      <c r="AX127" s="131">
        <v>10.66</v>
      </c>
      <c r="AY127" s="10" t="s">
        <v>352</v>
      </c>
      <c r="AZ127" s="10" t="s">
        <v>352</v>
      </c>
      <c r="BA127" s="10" t="s">
        <v>352</v>
      </c>
      <c r="BB127" s="10" t="s">
        <v>352</v>
      </c>
      <c r="BC127" s="10" t="s">
        <v>352</v>
      </c>
      <c r="BD127" s="10" t="s">
        <v>352</v>
      </c>
      <c r="BE127" s="10" t="s">
        <v>352</v>
      </c>
      <c r="BF127" s="10" t="s">
        <v>352</v>
      </c>
      <c r="BG127" s="10" t="s">
        <v>352</v>
      </c>
      <c r="BH127" s="10" t="s">
        <v>352</v>
      </c>
      <c r="BI127" s="172" t="s">
        <v>351</v>
      </c>
      <c r="BJ127" s="10" t="s">
        <v>352</v>
      </c>
      <c r="BK127" s="10" t="s">
        <v>352</v>
      </c>
      <c r="BL127" s="10" t="s">
        <v>352</v>
      </c>
      <c r="BM127" s="10" t="s">
        <v>352</v>
      </c>
      <c r="BN127" s="10" t="s">
        <v>352</v>
      </c>
      <c r="BO127" s="10" t="s">
        <v>352</v>
      </c>
      <c r="BP127" s="10" t="s">
        <v>352</v>
      </c>
      <c r="BQ127" s="10" t="s">
        <v>352</v>
      </c>
      <c r="BR127" s="10" t="s">
        <v>352</v>
      </c>
      <c r="BS127" s="10" t="s">
        <v>352</v>
      </c>
      <c r="BT127" s="188" t="s">
        <v>355</v>
      </c>
      <c r="BU127" s="131">
        <v>55.77</v>
      </c>
      <c r="BV127" s="10" t="s">
        <v>352</v>
      </c>
      <c r="BW127" s="10" t="s">
        <v>352</v>
      </c>
      <c r="BX127" s="10" t="s">
        <v>352</v>
      </c>
      <c r="BY127" s="10" t="s">
        <v>352</v>
      </c>
      <c r="BZ127" s="10" t="s">
        <v>352</v>
      </c>
      <c r="CA127" s="10" t="s">
        <v>352</v>
      </c>
      <c r="CB127" s="10" t="s">
        <v>352</v>
      </c>
      <c r="CC127" s="10" t="s">
        <v>352</v>
      </c>
      <c r="CD127" s="10" t="s">
        <v>352</v>
      </c>
    </row>
    <row r="128" spans="1:82">
      <c r="A128" s="3" t="s">
        <v>509</v>
      </c>
      <c r="B128" s="3" t="s">
        <v>510</v>
      </c>
      <c r="C128" s="27" t="s">
        <v>349</v>
      </c>
      <c r="D128" s="3" t="s">
        <v>510</v>
      </c>
      <c r="E128" s="29">
        <v>15101</v>
      </c>
      <c r="F128" s="3" t="s">
        <v>510</v>
      </c>
      <c r="G128" s="4">
        <v>15101</v>
      </c>
      <c r="H128" s="10" t="s">
        <v>352</v>
      </c>
      <c r="I128" s="10" t="s">
        <v>352</v>
      </c>
      <c r="J128" s="10" t="s">
        <v>352</v>
      </c>
      <c r="K128" s="10" t="s">
        <v>352</v>
      </c>
      <c r="L128" s="10" t="s">
        <v>352</v>
      </c>
      <c r="M128" s="10" t="s">
        <v>352</v>
      </c>
      <c r="N128" s="10" t="s">
        <v>352</v>
      </c>
      <c r="O128" s="60">
        <v>1165.22</v>
      </c>
      <c r="P128" s="10" t="s">
        <v>352</v>
      </c>
      <c r="Q128" s="121">
        <v>558</v>
      </c>
      <c r="R128" s="123">
        <v>1.31</v>
      </c>
      <c r="S128" s="60">
        <v>392.62</v>
      </c>
      <c r="T128" s="10" t="s">
        <v>352</v>
      </c>
      <c r="U128" s="10" t="s">
        <v>352</v>
      </c>
      <c r="V128" s="10" t="s">
        <v>352</v>
      </c>
      <c r="W128" s="10" t="s">
        <v>352</v>
      </c>
      <c r="X128" s="10" t="s">
        <v>352</v>
      </c>
      <c r="Y128" s="10" t="s">
        <v>352</v>
      </c>
      <c r="Z128" s="10" t="s">
        <v>352</v>
      </c>
      <c r="AA128" s="10" t="s">
        <v>352</v>
      </c>
      <c r="AB128" s="10" t="s">
        <v>352</v>
      </c>
      <c r="AC128" s="10" t="s">
        <v>352</v>
      </c>
      <c r="AD128" s="10" t="s">
        <v>352</v>
      </c>
      <c r="AE128" s="10" t="s">
        <v>352</v>
      </c>
      <c r="AF128" s="10" t="s">
        <v>352</v>
      </c>
      <c r="AG128" s="10" t="s">
        <v>352</v>
      </c>
      <c r="AH128" s="10" t="s">
        <v>352</v>
      </c>
      <c r="AI128" s="10" t="s">
        <v>352</v>
      </c>
      <c r="AJ128" s="150">
        <v>9.69</v>
      </c>
      <c r="AK128" s="152">
        <v>233.49</v>
      </c>
      <c r="AL128" s="10" t="s">
        <v>352</v>
      </c>
      <c r="AM128" s="10" t="s">
        <v>352</v>
      </c>
      <c r="AN128" s="10" t="s">
        <v>352</v>
      </c>
      <c r="AO128" s="10" t="s">
        <v>352</v>
      </c>
      <c r="AP128" s="10" t="s">
        <v>352</v>
      </c>
      <c r="AQ128" s="160">
        <v>653.96</v>
      </c>
      <c r="AR128" s="161">
        <v>342.98</v>
      </c>
      <c r="AS128" s="10" t="s">
        <v>352</v>
      </c>
      <c r="AT128" s="122">
        <v>7.04</v>
      </c>
      <c r="AU128" s="122">
        <v>0.06</v>
      </c>
      <c r="AV128" s="61">
        <v>713.42723555190753</v>
      </c>
      <c r="AW128" s="61">
        <v>19.662535548086865</v>
      </c>
      <c r="AX128" s="131">
        <v>20.38</v>
      </c>
      <c r="AY128" s="10" t="s">
        <v>352</v>
      </c>
      <c r="AZ128" s="10" t="s">
        <v>352</v>
      </c>
      <c r="BA128" s="10" t="s">
        <v>352</v>
      </c>
      <c r="BB128" s="10" t="s">
        <v>352</v>
      </c>
      <c r="BC128" s="10" t="s">
        <v>352</v>
      </c>
      <c r="BD128" s="10" t="s">
        <v>352</v>
      </c>
      <c r="BE128" s="10" t="s">
        <v>352</v>
      </c>
      <c r="BF128" s="10" t="s">
        <v>352</v>
      </c>
      <c r="BG128" s="10" t="s">
        <v>352</v>
      </c>
      <c r="BH128" s="10" t="s">
        <v>352</v>
      </c>
      <c r="BI128" s="172">
        <v>29107</v>
      </c>
      <c r="BJ128" s="10" t="s">
        <v>352</v>
      </c>
      <c r="BK128" s="10" t="s">
        <v>352</v>
      </c>
      <c r="BL128" s="10" t="s">
        <v>352</v>
      </c>
      <c r="BM128" s="10" t="s">
        <v>352</v>
      </c>
      <c r="BN128" s="10" t="s">
        <v>352</v>
      </c>
      <c r="BO128" s="10" t="s">
        <v>352</v>
      </c>
      <c r="BP128" s="10" t="s">
        <v>352</v>
      </c>
      <c r="BQ128" s="10" t="s">
        <v>352</v>
      </c>
      <c r="BR128" s="10" t="s">
        <v>352</v>
      </c>
      <c r="BS128" s="10" t="s">
        <v>352</v>
      </c>
      <c r="BT128" s="188" t="s">
        <v>355</v>
      </c>
      <c r="BU128" s="131">
        <v>53.14</v>
      </c>
      <c r="BV128" s="10" t="s">
        <v>352</v>
      </c>
      <c r="BW128" s="10" t="s">
        <v>352</v>
      </c>
      <c r="BX128" s="10" t="s">
        <v>352</v>
      </c>
      <c r="BY128" s="10" t="s">
        <v>352</v>
      </c>
      <c r="BZ128" s="10" t="s">
        <v>352</v>
      </c>
      <c r="CA128" s="10" t="s">
        <v>352</v>
      </c>
      <c r="CB128" s="10" t="s">
        <v>352</v>
      </c>
      <c r="CC128" s="10" t="s">
        <v>352</v>
      </c>
      <c r="CD128" s="10" t="s">
        <v>352</v>
      </c>
    </row>
    <row r="129" spans="1:82">
      <c r="A129" s="3" t="s">
        <v>511</v>
      </c>
      <c r="B129" s="28" t="s">
        <v>512</v>
      </c>
      <c r="C129" s="27" t="s">
        <v>349</v>
      </c>
      <c r="D129" s="3" t="s">
        <v>513</v>
      </c>
      <c r="E129" s="29">
        <v>16101</v>
      </c>
      <c r="F129" s="3" t="s">
        <v>514</v>
      </c>
      <c r="G129" s="4">
        <v>16101</v>
      </c>
      <c r="H129" s="10" t="s">
        <v>352</v>
      </c>
      <c r="I129" s="10" t="s">
        <v>352</v>
      </c>
      <c r="J129" s="10" t="s">
        <v>352</v>
      </c>
      <c r="K129" s="10" t="s">
        <v>352</v>
      </c>
      <c r="L129" s="10" t="s">
        <v>352</v>
      </c>
      <c r="M129" s="10" t="s">
        <v>352</v>
      </c>
      <c r="N129" s="10" t="s">
        <v>352</v>
      </c>
      <c r="O129" s="60">
        <v>1162.46</v>
      </c>
      <c r="P129" s="10" t="s">
        <v>352</v>
      </c>
      <c r="Q129" s="121">
        <v>783.17</v>
      </c>
      <c r="R129" s="123">
        <v>1.42</v>
      </c>
      <c r="S129" s="60">
        <v>791.18</v>
      </c>
      <c r="T129" s="10" t="s">
        <v>352</v>
      </c>
      <c r="U129" s="10" t="s">
        <v>352</v>
      </c>
      <c r="V129" s="10" t="s">
        <v>352</v>
      </c>
      <c r="W129" s="10" t="s">
        <v>352</v>
      </c>
      <c r="X129" s="10" t="s">
        <v>352</v>
      </c>
      <c r="Y129" s="10" t="s">
        <v>352</v>
      </c>
      <c r="Z129" s="10" t="s">
        <v>352</v>
      </c>
      <c r="AA129" s="10" t="s">
        <v>352</v>
      </c>
      <c r="AB129" s="10" t="s">
        <v>352</v>
      </c>
      <c r="AC129" s="10" t="s">
        <v>352</v>
      </c>
      <c r="AD129" s="10" t="s">
        <v>352</v>
      </c>
      <c r="AE129" s="10" t="s">
        <v>352</v>
      </c>
      <c r="AF129" s="10" t="s">
        <v>352</v>
      </c>
      <c r="AG129" s="10" t="s">
        <v>352</v>
      </c>
      <c r="AH129" s="10" t="s">
        <v>352</v>
      </c>
      <c r="AI129" s="10" t="s">
        <v>352</v>
      </c>
      <c r="AJ129" s="150">
        <v>6.55</v>
      </c>
      <c r="AK129" s="152">
        <v>180.74</v>
      </c>
      <c r="AL129" s="10" t="s">
        <v>352</v>
      </c>
      <c r="AM129" s="10" t="s">
        <v>352</v>
      </c>
      <c r="AN129" s="10" t="s">
        <v>352</v>
      </c>
      <c r="AO129" s="10" t="s">
        <v>352</v>
      </c>
      <c r="AP129" s="10" t="s">
        <v>352</v>
      </c>
      <c r="AQ129" s="160">
        <v>776.1</v>
      </c>
      <c r="AR129" s="161">
        <v>379.17</v>
      </c>
      <c r="AS129" s="10" t="s">
        <v>352</v>
      </c>
      <c r="AT129" s="122">
        <v>39.659999999999997</v>
      </c>
      <c r="AU129" s="122">
        <v>2.65</v>
      </c>
      <c r="AV129" s="61">
        <v>637.15184987232021</v>
      </c>
      <c r="AW129" s="61">
        <v>21.606653777992587</v>
      </c>
      <c r="AX129" s="131">
        <v>4.54</v>
      </c>
      <c r="AY129" s="10" t="s">
        <v>352</v>
      </c>
      <c r="AZ129" s="10" t="s">
        <v>352</v>
      </c>
      <c r="BA129" s="10" t="s">
        <v>352</v>
      </c>
      <c r="BB129" s="10" t="s">
        <v>352</v>
      </c>
      <c r="BC129" s="10" t="s">
        <v>352</v>
      </c>
      <c r="BD129" s="10" t="s">
        <v>352</v>
      </c>
      <c r="BE129" s="10" t="s">
        <v>352</v>
      </c>
      <c r="BF129" s="10" t="s">
        <v>352</v>
      </c>
      <c r="BG129" s="10" t="s">
        <v>352</v>
      </c>
      <c r="BH129" s="10" t="s">
        <v>352</v>
      </c>
      <c r="BI129" s="172" t="s">
        <v>351</v>
      </c>
      <c r="BJ129" s="10" t="s">
        <v>352</v>
      </c>
      <c r="BK129" s="10" t="s">
        <v>352</v>
      </c>
      <c r="BL129" s="10" t="s">
        <v>352</v>
      </c>
      <c r="BM129" s="10" t="s">
        <v>352</v>
      </c>
      <c r="BN129" s="10" t="s">
        <v>352</v>
      </c>
      <c r="BO129" s="10" t="s">
        <v>352</v>
      </c>
      <c r="BP129" s="10" t="s">
        <v>352</v>
      </c>
      <c r="BQ129" s="10" t="s">
        <v>352</v>
      </c>
      <c r="BR129" s="10" t="s">
        <v>352</v>
      </c>
      <c r="BS129" s="10" t="s">
        <v>352</v>
      </c>
      <c r="BT129" s="188" t="s">
        <v>353</v>
      </c>
      <c r="BU129" s="131">
        <v>47.4</v>
      </c>
      <c r="BV129" s="10" t="s">
        <v>352</v>
      </c>
      <c r="BW129" s="10" t="s">
        <v>352</v>
      </c>
      <c r="BX129" s="10" t="s">
        <v>352</v>
      </c>
      <c r="BY129" s="10" t="s">
        <v>352</v>
      </c>
      <c r="BZ129" s="10" t="s">
        <v>352</v>
      </c>
      <c r="CA129" s="10" t="s">
        <v>352</v>
      </c>
      <c r="CB129" s="10" t="s">
        <v>352</v>
      </c>
      <c r="CC129" s="10" t="s">
        <v>352</v>
      </c>
      <c r="CD129" s="10" t="s">
        <v>352</v>
      </c>
    </row>
    <row r="130" spans="1:82">
      <c r="A130" s="3" t="s">
        <v>511</v>
      </c>
      <c r="B130" s="28" t="s">
        <v>512</v>
      </c>
      <c r="C130" s="27" t="s">
        <v>349</v>
      </c>
      <c r="D130" s="3" t="s">
        <v>513</v>
      </c>
      <c r="E130" s="29">
        <v>16101</v>
      </c>
      <c r="F130" s="3" t="s">
        <v>515</v>
      </c>
      <c r="G130" s="4">
        <v>16103</v>
      </c>
      <c r="H130" s="10" t="s">
        <v>352</v>
      </c>
      <c r="I130" s="10" t="s">
        <v>352</v>
      </c>
      <c r="J130" s="10" t="s">
        <v>352</v>
      </c>
      <c r="K130" s="10" t="s">
        <v>352</v>
      </c>
      <c r="L130" s="10" t="s">
        <v>352</v>
      </c>
      <c r="M130" s="10" t="s">
        <v>352</v>
      </c>
      <c r="N130" s="10" t="s">
        <v>352</v>
      </c>
      <c r="O130" s="60">
        <v>913.43</v>
      </c>
      <c r="P130" s="10" t="s">
        <v>352</v>
      </c>
      <c r="Q130" s="121">
        <v>775.56</v>
      </c>
      <c r="R130" s="123">
        <v>0.91</v>
      </c>
      <c r="S130" s="60">
        <v>782.91</v>
      </c>
      <c r="T130" s="10" t="s">
        <v>352</v>
      </c>
      <c r="U130" s="10" t="s">
        <v>352</v>
      </c>
      <c r="V130" s="10" t="s">
        <v>352</v>
      </c>
      <c r="W130" s="10" t="s">
        <v>352</v>
      </c>
      <c r="X130" s="10" t="s">
        <v>352</v>
      </c>
      <c r="Y130" s="10" t="s">
        <v>352</v>
      </c>
      <c r="Z130" s="10" t="s">
        <v>352</v>
      </c>
      <c r="AA130" s="10" t="s">
        <v>352</v>
      </c>
      <c r="AB130" s="10" t="s">
        <v>352</v>
      </c>
      <c r="AC130" s="10" t="s">
        <v>352</v>
      </c>
      <c r="AD130" s="10" t="s">
        <v>352</v>
      </c>
      <c r="AE130" s="10" t="s">
        <v>352</v>
      </c>
      <c r="AF130" s="10" t="s">
        <v>352</v>
      </c>
      <c r="AG130" s="10" t="s">
        <v>352</v>
      </c>
      <c r="AH130" s="10" t="s">
        <v>352</v>
      </c>
      <c r="AI130" s="10" t="s">
        <v>352</v>
      </c>
      <c r="AJ130" s="153">
        <v>32.520000000000003</v>
      </c>
      <c r="AK130" s="154">
        <v>242.41</v>
      </c>
      <c r="AL130" s="10" t="s">
        <v>352</v>
      </c>
      <c r="AM130" s="10" t="s">
        <v>352</v>
      </c>
      <c r="AN130" s="10" t="s">
        <v>352</v>
      </c>
      <c r="AO130" s="10" t="s">
        <v>352</v>
      </c>
      <c r="AP130" s="10" t="s">
        <v>352</v>
      </c>
      <c r="AQ130" s="160">
        <v>618.47</v>
      </c>
      <c r="AR130" s="161">
        <v>460.16</v>
      </c>
      <c r="AS130" s="10" t="s">
        <v>352</v>
      </c>
      <c r="AT130" s="122">
        <v>42.66</v>
      </c>
      <c r="AU130" s="122">
        <v>2.12</v>
      </c>
      <c r="AV130" s="61">
        <v>408.28518264616594</v>
      </c>
      <c r="AW130" s="61">
        <v>12.324474532178439</v>
      </c>
      <c r="AX130" s="131">
        <v>5.89</v>
      </c>
      <c r="AY130" s="10" t="s">
        <v>352</v>
      </c>
      <c r="AZ130" s="10" t="s">
        <v>352</v>
      </c>
      <c r="BA130" s="10" t="s">
        <v>352</v>
      </c>
      <c r="BB130" s="10" t="s">
        <v>352</v>
      </c>
      <c r="BC130" s="10" t="s">
        <v>352</v>
      </c>
      <c r="BD130" s="10" t="s">
        <v>352</v>
      </c>
      <c r="BE130" s="10" t="s">
        <v>352</v>
      </c>
      <c r="BF130" s="10" t="s">
        <v>352</v>
      </c>
      <c r="BG130" s="10" t="s">
        <v>352</v>
      </c>
      <c r="BH130" s="10" t="s">
        <v>352</v>
      </c>
      <c r="BI130" s="172" t="s">
        <v>351</v>
      </c>
      <c r="BJ130" s="10" t="s">
        <v>352</v>
      </c>
      <c r="BK130" s="10" t="s">
        <v>352</v>
      </c>
      <c r="BL130" s="10" t="s">
        <v>352</v>
      </c>
      <c r="BM130" s="10" t="s">
        <v>352</v>
      </c>
      <c r="BN130" s="10" t="s">
        <v>352</v>
      </c>
      <c r="BO130" s="10" t="s">
        <v>352</v>
      </c>
      <c r="BP130" s="10" t="s">
        <v>352</v>
      </c>
      <c r="BQ130" s="10" t="s">
        <v>352</v>
      </c>
      <c r="BR130" s="10" t="s">
        <v>352</v>
      </c>
      <c r="BS130" s="10" t="s">
        <v>352</v>
      </c>
      <c r="BT130" s="188" t="s">
        <v>353</v>
      </c>
      <c r="BU130" s="131">
        <v>59.71</v>
      </c>
      <c r="BV130" s="10" t="s">
        <v>352</v>
      </c>
      <c r="BW130" s="10" t="s">
        <v>352</v>
      </c>
      <c r="BX130" s="10" t="s">
        <v>352</v>
      </c>
      <c r="BY130" s="10" t="s">
        <v>352</v>
      </c>
      <c r="BZ130" s="10" t="s">
        <v>352</v>
      </c>
      <c r="CA130" s="10" t="s">
        <v>352</v>
      </c>
      <c r="CB130" s="10" t="s">
        <v>352</v>
      </c>
      <c r="CC130" s="10" t="s">
        <v>352</v>
      </c>
      <c r="CD130" s="10" t="s">
        <v>352</v>
      </c>
    </row>
    <row r="131" spans="1:82">
      <c r="A131" s="3" t="s">
        <v>511</v>
      </c>
      <c r="B131" s="28" t="s">
        <v>516</v>
      </c>
      <c r="C131" s="27" t="s">
        <v>349</v>
      </c>
      <c r="D131" s="5" t="s">
        <v>517</v>
      </c>
      <c r="E131" s="29">
        <v>16301</v>
      </c>
      <c r="F131" s="5" t="s">
        <v>517</v>
      </c>
      <c r="G131" s="4">
        <v>16301</v>
      </c>
      <c r="H131" s="10" t="s">
        <v>352</v>
      </c>
      <c r="I131" s="10" t="s">
        <v>352</v>
      </c>
      <c r="J131" s="10" t="s">
        <v>352</v>
      </c>
      <c r="K131" s="10" t="s">
        <v>352</v>
      </c>
      <c r="L131" s="10" t="s">
        <v>352</v>
      </c>
      <c r="M131" s="10" t="s">
        <v>352</v>
      </c>
      <c r="N131" s="10" t="s">
        <v>352</v>
      </c>
      <c r="O131" s="60">
        <v>908.23</v>
      </c>
      <c r="P131" s="10" t="s">
        <v>352</v>
      </c>
      <c r="Q131" s="121">
        <v>543.34</v>
      </c>
      <c r="R131" s="123">
        <v>1.83</v>
      </c>
      <c r="S131" s="60">
        <v>533.16999999999996</v>
      </c>
      <c r="T131" s="10" t="s">
        <v>352</v>
      </c>
      <c r="U131" s="10" t="s">
        <v>352</v>
      </c>
      <c r="V131" s="10" t="s">
        <v>352</v>
      </c>
      <c r="W131" s="10" t="s">
        <v>352</v>
      </c>
      <c r="X131" s="10" t="s">
        <v>352</v>
      </c>
      <c r="Y131" s="10" t="s">
        <v>352</v>
      </c>
      <c r="Z131" s="10" t="s">
        <v>352</v>
      </c>
      <c r="AA131" s="10" t="s">
        <v>352</v>
      </c>
      <c r="AB131" s="10" t="s">
        <v>352</v>
      </c>
      <c r="AC131" s="10" t="s">
        <v>352</v>
      </c>
      <c r="AD131" s="10" t="s">
        <v>352</v>
      </c>
      <c r="AE131" s="10" t="s">
        <v>352</v>
      </c>
      <c r="AF131" s="10" t="s">
        <v>352</v>
      </c>
      <c r="AG131" s="10" t="s">
        <v>352</v>
      </c>
      <c r="AH131" s="10" t="s">
        <v>352</v>
      </c>
      <c r="AI131" s="10" t="s">
        <v>352</v>
      </c>
      <c r="AJ131" s="150">
        <v>16</v>
      </c>
      <c r="AK131" s="152">
        <v>380.43</v>
      </c>
      <c r="AL131" s="10" t="s">
        <v>352</v>
      </c>
      <c r="AM131" s="10" t="s">
        <v>352</v>
      </c>
      <c r="AN131" s="10" t="s">
        <v>352</v>
      </c>
      <c r="AO131" s="10" t="s">
        <v>352</v>
      </c>
      <c r="AP131" s="10" t="s">
        <v>352</v>
      </c>
      <c r="AQ131" s="160">
        <v>667.3</v>
      </c>
      <c r="AR131" s="161">
        <v>466.9</v>
      </c>
      <c r="AS131" s="10" t="s">
        <v>352</v>
      </c>
      <c r="AT131" s="122">
        <v>41.66</v>
      </c>
      <c r="AU131" s="122">
        <v>3.07</v>
      </c>
      <c r="AV131" s="61">
        <v>407.82248965776608</v>
      </c>
      <c r="AW131" s="61">
        <v>9.6387683993458015</v>
      </c>
      <c r="AX131" s="131">
        <v>11.28</v>
      </c>
      <c r="AY131" s="10" t="s">
        <v>352</v>
      </c>
      <c r="AZ131" s="10" t="s">
        <v>352</v>
      </c>
      <c r="BA131" s="10" t="s">
        <v>352</v>
      </c>
      <c r="BB131" s="10" t="s">
        <v>352</v>
      </c>
      <c r="BC131" s="10" t="s">
        <v>352</v>
      </c>
      <c r="BD131" s="10" t="s">
        <v>352</v>
      </c>
      <c r="BE131" s="10" t="s">
        <v>352</v>
      </c>
      <c r="BF131" s="10" t="s">
        <v>352</v>
      </c>
      <c r="BG131" s="10" t="s">
        <v>352</v>
      </c>
      <c r="BH131" s="10" t="s">
        <v>352</v>
      </c>
      <c r="BI131" s="172" t="s">
        <v>351</v>
      </c>
      <c r="BJ131" s="10" t="s">
        <v>352</v>
      </c>
      <c r="BK131" s="10" t="s">
        <v>352</v>
      </c>
      <c r="BL131" s="10" t="s">
        <v>352</v>
      </c>
      <c r="BM131" s="10" t="s">
        <v>352</v>
      </c>
      <c r="BN131" s="10" t="s">
        <v>352</v>
      </c>
      <c r="BO131" s="10" t="s">
        <v>352</v>
      </c>
      <c r="BP131" s="10" t="s">
        <v>352</v>
      </c>
      <c r="BQ131" s="10" t="s">
        <v>352</v>
      </c>
      <c r="BR131" s="10" t="s">
        <v>352</v>
      </c>
      <c r="BS131" s="10" t="s">
        <v>352</v>
      </c>
      <c r="BT131" s="188" t="s">
        <v>353</v>
      </c>
      <c r="BU131" s="131">
        <v>48.21</v>
      </c>
      <c r="BV131" s="10" t="s">
        <v>352</v>
      </c>
      <c r="BW131" s="10" t="s">
        <v>352</v>
      </c>
      <c r="BX131" s="10" t="s">
        <v>352</v>
      </c>
      <c r="BY131" s="10" t="s">
        <v>352</v>
      </c>
      <c r="BZ131" s="10" t="s">
        <v>352</v>
      </c>
      <c r="CA131" s="10" t="s">
        <v>352</v>
      </c>
      <c r="CB131" s="10" t="s">
        <v>352</v>
      </c>
      <c r="CC131" s="10" t="s">
        <v>352</v>
      </c>
      <c r="CD131" s="10" t="s">
        <v>352</v>
      </c>
    </row>
    <row r="132" spans="1:82">
      <c r="A132" s="83"/>
      <c r="B132" s="84"/>
      <c r="C132" s="85"/>
      <c r="D132" s="86"/>
      <c r="E132" s="87"/>
      <c r="F132" s="86"/>
      <c r="G132" s="88"/>
      <c r="H132" s="89"/>
      <c r="I132" s="89"/>
      <c r="J132" s="89"/>
    </row>
    <row r="133" spans="1:82">
      <c r="A133" s="83"/>
      <c r="B133" s="84"/>
      <c r="C133" s="85"/>
      <c r="D133" s="86"/>
      <c r="E133" s="87"/>
      <c r="F133" s="86"/>
      <c r="G133" s="88"/>
      <c r="H133" s="89"/>
      <c r="I133" s="89"/>
      <c r="J133" s="89"/>
      <c r="K133" s="89"/>
      <c r="L133" s="89"/>
      <c r="M133" s="89"/>
      <c r="N133" s="89"/>
      <c r="O133" s="89"/>
      <c r="P133" s="89"/>
      <c r="Q133" s="89"/>
      <c r="R133" s="89"/>
      <c r="S133" s="89"/>
      <c r="T133" s="89"/>
    </row>
    <row r="134" spans="1:82">
      <c r="A134" s="83"/>
      <c r="B134" s="84"/>
      <c r="C134" s="85"/>
      <c r="D134" s="86"/>
      <c r="E134" s="87"/>
      <c r="F134" s="86"/>
      <c r="G134" s="43" t="s">
        <v>289</v>
      </c>
      <c r="H134" s="106" t="s">
        <v>69</v>
      </c>
      <c r="I134" s="106" t="s">
        <v>111</v>
      </c>
      <c r="J134" s="106" t="s">
        <v>114</v>
      </c>
      <c r="K134" s="106" t="s">
        <v>117</v>
      </c>
      <c r="L134" s="106" t="s">
        <v>127</v>
      </c>
      <c r="M134" s="106" t="s">
        <v>129</v>
      </c>
      <c r="N134" s="106" t="s">
        <v>147</v>
      </c>
      <c r="O134" s="106" t="s">
        <v>149</v>
      </c>
      <c r="P134" s="106" t="s">
        <v>151</v>
      </c>
      <c r="Q134" s="106" t="s">
        <v>212</v>
      </c>
      <c r="R134" s="106" t="s">
        <v>268</v>
      </c>
      <c r="S134" s="106" t="s">
        <v>270</v>
      </c>
      <c r="T134" s="106" t="s">
        <v>273</v>
      </c>
      <c r="U134" s="214"/>
      <c r="X134" s="214"/>
      <c r="Y134" s="214"/>
      <c r="Z134" s="214"/>
      <c r="AA134" s="214"/>
      <c r="AB134" s="214"/>
    </row>
    <row r="135" spans="1:82" ht="25.5">
      <c r="A135" s="83"/>
      <c r="B135" s="84"/>
      <c r="C135" s="85"/>
      <c r="D135" s="86"/>
      <c r="E135" s="87"/>
      <c r="F135" s="86"/>
      <c r="G135" s="43" t="s">
        <v>290</v>
      </c>
      <c r="H135" s="176" t="s">
        <v>518</v>
      </c>
      <c r="I135" s="176" t="s">
        <v>115</v>
      </c>
      <c r="J135" s="176" t="s">
        <v>115</v>
      </c>
      <c r="K135" s="178" t="s">
        <v>28</v>
      </c>
      <c r="L135" s="178" t="s">
        <v>28</v>
      </c>
      <c r="M135" s="178" t="s">
        <v>28</v>
      </c>
      <c r="N135" s="178" t="s">
        <v>28</v>
      </c>
      <c r="O135" s="178" t="s">
        <v>28</v>
      </c>
      <c r="P135" s="178" t="s">
        <v>28</v>
      </c>
      <c r="Q135" s="178" t="s">
        <v>28</v>
      </c>
      <c r="R135" s="178" t="s">
        <v>28</v>
      </c>
      <c r="S135" s="178" t="s">
        <v>28</v>
      </c>
      <c r="T135" s="176" t="s">
        <v>274</v>
      </c>
      <c r="U135" s="213"/>
      <c r="X135" s="213"/>
      <c r="Y135" s="213"/>
      <c r="Z135" s="213"/>
      <c r="AA135" s="244"/>
      <c r="AB135" s="213"/>
    </row>
    <row r="136" spans="1:82" ht="38.25">
      <c r="A136" s="109" t="s">
        <v>608</v>
      </c>
      <c r="G136" s="64" t="s">
        <v>294</v>
      </c>
      <c r="H136" s="178" t="s">
        <v>297</v>
      </c>
      <c r="I136" s="176" t="s">
        <v>318</v>
      </c>
      <c r="J136" s="176" t="s">
        <v>318</v>
      </c>
      <c r="K136" s="176" t="s">
        <v>520</v>
      </c>
      <c r="L136" s="110" t="s">
        <v>521</v>
      </c>
      <c r="M136" s="178" t="s">
        <v>297</v>
      </c>
      <c r="N136" s="178" t="s">
        <v>522</v>
      </c>
      <c r="O136" s="178" t="s">
        <v>522</v>
      </c>
      <c r="P136" s="178" t="s">
        <v>522</v>
      </c>
      <c r="Q136" s="178" t="s">
        <v>297</v>
      </c>
      <c r="R136" s="114" t="s">
        <v>523</v>
      </c>
      <c r="S136" s="114" t="s">
        <v>523</v>
      </c>
      <c r="T136" s="178" t="s">
        <v>297</v>
      </c>
      <c r="U136" s="213"/>
      <c r="X136" s="213"/>
      <c r="Y136" s="213"/>
      <c r="Z136" s="213"/>
      <c r="AA136" s="213"/>
      <c r="AB136" s="213"/>
    </row>
    <row r="137" spans="1:82" ht="76.5">
      <c r="A137" s="66" t="s">
        <v>320</v>
      </c>
      <c r="B137" s="43" t="s">
        <v>321</v>
      </c>
      <c r="C137" s="77" t="s">
        <v>322</v>
      </c>
      <c r="D137" s="78" t="s">
        <v>323</v>
      </c>
      <c r="E137" s="78" t="s">
        <v>324</v>
      </c>
      <c r="F137" s="43" t="s">
        <v>25</v>
      </c>
      <c r="G137" s="43" t="s">
        <v>325</v>
      </c>
      <c r="H137" s="64" t="s">
        <v>71</v>
      </c>
      <c r="I137" s="80" t="s">
        <v>113</v>
      </c>
      <c r="J137" s="80" t="s">
        <v>116</v>
      </c>
      <c r="K137" s="80" t="s">
        <v>524</v>
      </c>
      <c r="L137" s="64" t="s">
        <v>128</v>
      </c>
      <c r="M137" s="64" t="s">
        <v>130</v>
      </c>
      <c r="N137" s="64" t="s">
        <v>525</v>
      </c>
      <c r="O137" s="64" t="s">
        <v>526</v>
      </c>
      <c r="P137" s="64" t="s">
        <v>527</v>
      </c>
      <c r="Q137" s="64" t="s">
        <v>213</v>
      </c>
      <c r="R137" s="64" t="s">
        <v>269</v>
      </c>
      <c r="S137" s="64" t="s">
        <v>271</v>
      </c>
      <c r="T137" s="64" t="s">
        <v>275</v>
      </c>
      <c r="U137" s="107"/>
      <c r="V137" s="107"/>
      <c r="W137" s="107"/>
      <c r="X137" s="107"/>
      <c r="Y137" s="107"/>
      <c r="Z137" s="107"/>
      <c r="AA137" s="107"/>
      <c r="AB137" s="107"/>
    </row>
    <row r="138" spans="1:82">
      <c r="A138" s="68" t="s">
        <v>347</v>
      </c>
      <c r="B138" s="79" t="s">
        <v>528</v>
      </c>
      <c r="C138" s="75" t="s">
        <v>349</v>
      </c>
      <c r="D138" s="74" t="s">
        <v>350</v>
      </c>
      <c r="E138" s="76">
        <v>1001</v>
      </c>
      <c r="F138" s="79" t="s">
        <v>528</v>
      </c>
      <c r="G138" s="79" t="s">
        <v>528</v>
      </c>
      <c r="H138" s="10" t="s">
        <v>352</v>
      </c>
      <c r="I138" s="10" t="s">
        <v>352</v>
      </c>
      <c r="J138" s="10" t="s">
        <v>352</v>
      </c>
      <c r="K138" s="10" t="s">
        <v>352</v>
      </c>
      <c r="L138" s="163">
        <v>152.69999999999999</v>
      </c>
      <c r="M138" s="200">
        <v>31.31</v>
      </c>
      <c r="N138" s="10" t="s">
        <v>352</v>
      </c>
      <c r="O138" s="10" t="s">
        <v>352</v>
      </c>
      <c r="P138" s="10" t="s">
        <v>352</v>
      </c>
      <c r="Q138" s="10" t="s">
        <v>352</v>
      </c>
      <c r="R138" s="10" t="s">
        <v>352</v>
      </c>
      <c r="S138" s="10" t="s">
        <v>352</v>
      </c>
      <c r="T138" s="10" t="s">
        <v>352</v>
      </c>
      <c r="U138" s="107"/>
      <c r="V138" s="247"/>
      <c r="W138" s="248"/>
    </row>
    <row r="139" spans="1:82">
      <c r="A139" s="67" t="s">
        <v>360</v>
      </c>
      <c r="B139" s="79" t="s">
        <v>528</v>
      </c>
      <c r="C139" s="73" t="s">
        <v>349</v>
      </c>
      <c r="D139" s="70" t="s">
        <v>360</v>
      </c>
      <c r="E139" s="69">
        <v>2101</v>
      </c>
      <c r="F139" s="79" t="s">
        <v>528</v>
      </c>
      <c r="G139" s="79" t="s">
        <v>528</v>
      </c>
      <c r="H139" s="10" t="s">
        <v>352</v>
      </c>
      <c r="I139" s="10" t="s">
        <v>352</v>
      </c>
      <c r="J139" s="10" t="s">
        <v>352</v>
      </c>
      <c r="K139" s="10" t="s">
        <v>352</v>
      </c>
      <c r="L139" s="163">
        <v>133.27000000000001</v>
      </c>
      <c r="M139" s="200">
        <v>36.4</v>
      </c>
      <c r="N139" s="10" t="s">
        <v>352</v>
      </c>
      <c r="O139" s="10" t="s">
        <v>352</v>
      </c>
      <c r="P139" s="10" t="s">
        <v>352</v>
      </c>
      <c r="Q139" s="10" t="s">
        <v>352</v>
      </c>
      <c r="R139" s="10" t="s">
        <v>352</v>
      </c>
      <c r="S139" s="10" t="s">
        <v>352</v>
      </c>
      <c r="T139" s="10" t="s">
        <v>352</v>
      </c>
      <c r="U139" s="107"/>
      <c r="V139" s="247"/>
      <c r="W139" s="248"/>
    </row>
    <row r="140" spans="1:82">
      <c r="A140" s="67" t="s">
        <v>360</v>
      </c>
      <c r="B140" s="79" t="s">
        <v>528</v>
      </c>
      <c r="C140" s="73" t="s">
        <v>349</v>
      </c>
      <c r="D140" s="70" t="s">
        <v>362</v>
      </c>
      <c r="E140" s="69">
        <v>2201</v>
      </c>
      <c r="F140" s="79" t="s">
        <v>528</v>
      </c>
      <c r="G140" s="79" t="s">
        <v>528</v>
      </c>
      <c r="H140" s="10" t="s">
        <v>352</v>
      </c>
      <c r="I140" s="10" t="s">
        <v>352</v>
      </c>
      <c r="J140" s="10" t="s">
        <v>352</v>
      </c>
      <c r="K140" s="10" t="s">
        <v>352</v>
      </c>
      <c r="L140" s="163">
        <v>139.46</v>
      </c>
      <c r="M140" s="200">
        <v>35.340000000000003</v>
      </c>
      <c r="N140" s="10" t="s">
        <v>352</v>
      </c>
      <c r="O140" s="10" t="s">
        <v>352</v>
      </c>
      <c r="P140" s="10" t="s">
        <v>352</v>
      </c>
      <c r="Q140" s="10" t="s">
        <v>352</v>
      </c>
      <c r="R140" s="10" t="s">
        <v>352</v>
      </c>
      <c r="S140" s="10" t="s">
        <v>352</v>
      </c>
      <c r="T140" s="10" t="s">
        <v>352</v>
      </c>
      <c r="U140" s="107"/>
      <c r="V140" s="247"/>
      <c r="W140" s="248"/>
    </row>
    <row r="141" spans="1:82">
      <c r="A141" s="67" t="s">
        <v>363</v>
      </c>
      <c r="B141" s="79" t="s">
        <v>528</v>
      </c>
      <c r="C141" s="73" t="s">
        <v>349</v>
      </c>
      <c r="D141" s="70" t="s">
        <v>365</v>
      </c>
      <c r="E141" s="69">
        <v>3001</v>
      </c>
      <c r="F141" s="79" t="s">
        <v>528</v>
      </c>
      <c r="G141" s="79" t="s">
        <v>528</v>
      </c>
      <c r="H141" s="10" t="s">
        <v>352</v>
      </c>
      <c r="I141" s="10" t="s">
        <v>352</v>
      </c>
      <c r="J141" s="10" t="s">
        <v>352</v>
      </c>
      <c r="K141" s="10" t="s">
        <v>352</v>
      </c>
      <c r="L141" s="163">
        <v>155.37</v>
      </c>
      <c r="M141" s="200">
        <v>34.92</v>
      </c>
      <c r="N141" s="10" t="s">
        <v>352</v>
      </c>
      <c r="O141" s="10" t="s">
        <v>352</v>
      </c>
      <c r="P141" s="10" t="s">
        <v>352</v>
      </c>
      <c r="Q141" s="10" t="s">
        <v>352</v>
      </c>
      <c r="R141" s="10" t="s">
        <v>352</v>
      </c>
      <c r="S141" s="10" t="s">
        <v>352</v>
      </c>
      <c r="T141" s="10" t="s">
        <v>352</v>
      </c>
      <c r="U141" s="107"/>
      <c r="V141" s="247"/>
      <c r="W141" s="248"/>
    </row>
    <row r="142" spans="1:82">
      <c r="A142" s="67" t="s">
        <v>363</v>
      </c>
      <c r="B142" s="79" t="s">
        <v>528</v>
      </c>
      <c r="C142" s="73" t="s">
        <v>349</v>
      </c>
      <c r="D142" s="71" t="s">
        <v>368</v>
      </c>
      <c r="E142" s="69">
        <v>3301</v>
      </c>
      <c r="F142" s="79" t="s">
        <v>528</v>
      </c>
      <c r="G142" s="79" t="s">
        <v>528</v>
      </c>
      <c r="H142" s="10" t="s">
        <v>352</v>
      </c>
      <c r="I142" s="10" t="s">
        <v>352</v>
      </c>
      <c r="J142" s="10" t="s">
        <v>352</v>
      </c>
      <c r="K142" s="10" t="s">
        <v>352</v>
      </c>
      <c r="L142" s="163">
        <v>160.62</v>
      </c>
      <c r="M142" s="200">
        <v>33.79</v>
      </c>
      <c r="N142" s="10" t="s">
        <v>352</v>
      </c>
      <c r="O142" s="10" t="s">
        <v>352</v>
      </c>
      <c r="P142" s="10" t="s">
        <v>352</v>
      </c>
      <c r="Q142" s="10" t="s">
        <v>352</v>
      </c>
      <c r="R142" s="10" t="s">
        <v>352</v>
      </c>
      <c r="S142" s="10" t="s">
        <v>352</v>
      </c>
      <c r="T142" s="10" t="s">
        <v>352</v>
      </c>
      <c r="U142" s="107"/>
      <c r="V142" s="247"/>
      <c r="W142" s="248"/>
    </row>
    <row r="143" spans="1:82">
      <c r="A143" s="67" t="s">
        <v>369</v>
      </c>
      <c r="B143" s="79" t="s">
        <v>528</v>
      </c>
      <c r="C143" s="73" t="s">
        <v>349</v>
      </c>
      <c r="D143" s="70" t="s">
        <v>371</v>
      </c>
      <c r="E143" s="69">
        <v>4001</v>
      </c>
      <c r="F143" s="79" t="s">
        <v>528</v>
      </c>
      <c r="G143" s="79" t="s">
        <v>528</v>
      </c>
      <c r="H143" s="10" t="s">
        <v>352</v>
      </c>
      <c r="I143" s="10" t="s">
        <v>352</v>
      </c>
      <c r="J143" s="10" t="s">
        <v>352</v>
      </c>
      <c r="K143" s="10" t="s">
        <v>352</v>
      </c>
      <c r="L143" s="163">
        <v>181.09</v>
      </c>
      <c r="M143" s="200">
        <v>25.84</v>
      </c>
      <c r="N143" s="10" t="s">
        <v>352</v>
      </c>
      <c r="O143" s="10" t="s">
        <v>352</v>
      </c>
      <c r="P143" s="10" t="s">
        <v>352</v>
      </c>
      <c r="Q143" s="10" t="s">
        <v>352</v>
      </c>
      <c r="R143" s="10" t="s">
        <v>352</v>
      </c>
      <c r="S143" s="10" t="s">
        <v>352</v>
      </c>
      <c r="T143" s="10" t="s">
        <v>352</v>
      </c>
      <c r="U143" s="107"/>
      <c r="V143" s="247"/>
      <c r="W143" s="248"/>
    </row>
    <row r="144" spans="1:82">
      <c r="A144" s="67" t="s">
        <v>369</v>
      </c>
      <c r="B144" s="79" t="s">
        <v>528</v>
      </c>
      <c r="C144" s="73" t="s">
        <v>349</v>
      </c>
      <c r="D144" s="70" t="s">
        <v>374</v>
      </c>
      <c r="E144" s="69">
        <v>4301</v>
      </c>
      <c r="F144" s="79" t="s">
        <v>528</v>
      </c>
      <c r="G144" s="79" t="s">
        <v>528</v>
      </c>
      <c r="H144" s="10" t="s">
        <v>352</v>
      </c>
      <c r="I144" s="10" t="s">
        <v>352</v>
      </c>
      <c r="J144" s="10" t="s">
        <v>352</v>
      </c>
      <c r="K144" s="10" t="s">
        <v>352</v>
      </c>
      <c r="L144" s="163">
        <v>165.36</v>
      </c>
      <c r="M144" s="200">
        <v>38.26</v>
      </c>
      <c r="N144" s="10" t="s">
        <v>352</v>
      </c>
      <c r="O144" s="10" t="s">
        <v>352</v>
      </c>
      <c r="P144" s="10" t="s">
        <v>352</v>
      </c>
      <c r="Q144" s="10" t="s">
        <v>352</v>
      </c>
      <c r="R144" s="10" t="s">
        <v>352</v>
      </c>
      <c r="S144" s="10" t="s">
        <v>352</v>
      </c>
      <c r="T144" s="10" t="s">
        <v>352</v>
      </c>
      <c r="U144" s="107"/>
      <c r="V144" s="247"/>
      <c r="W144" s="248"/>
    </row>
    <row r="145" spans="1:23">
      <c r="A145" s="67" t="s">
        <v>375</v>
      </c>
      <c r="B145" s="79" t="s">
        <v>528</v>
      </c>
      <c r="C145" s="73" t="s">
        <v>376</v>
      </c>
      <c r="D145" s="70" t="s">
        <v>376</v>
      </c>
      <c r="E145" s="69">
        <v>5001</v>
      </c>
      <c r="F145" s="79" t="s">
        <v>528</v>
      </c>
      <c r="G145" s="79" t="s">
        <v>528</v>
      </c>
      <c r="H145" s="10" t="s">
        <v>352</v>
      </c>
      <c r="I145" s="10" t="s">
        <v>352</v>
      </c>
      <c r="J145" s="10" t="s">
        <v>352</v>
      </c>
      <c r="K145" s="10" t="s">
        <v>352</v>
      </c>
      <c r="L145" s="163">
        <v>160.44999999999999</v>
      </c>
      <c r="M145" s="200">
        <v>34.01</v>
      </c>
      <c r="N145" s="10" t="s">
        <v>352</v>
      </c>
      <c r="O145" s="10" t="s">
        <v>352</v>
      </c>
      <c r="P145" s="10" t="s">
        <v>352</v>
      </c>
      <c r="Q145" s="10" t="s">
        <v>352</v>
      </c>
      <c r="R145" s="10" t="s">
        <v>352</v>
      </c>
      <c r="S145" s="10" t="s">
        <v>352</v>
      </c>
      <c r="T145" s="10" t="s">
        <v>352</v>
      </c>
      <c r="U145" s="107"/>
      <c r="V145" s="247"/>
      <c r="W145" s="248"/>
    </row>
    <row r="146" spans="1:23">
      <c r="A146" s="67" t="s">
        <v>375</v>
      </c>
      <c r="B146" s="79" t="s">
        <v>528</v>
      </c>
      <c r="C146" s="73" t="s">
        <v>349</v>
      </c>
      <c r="D146" s="71" t="s">
        <v>383</v>
      </c>
      <c r="E146" s="69">
        <v>5301</v>
      </c>
      <c r="F146" s="79" t="s">
        <v>528</v>
      </c>
      <c r="G146" s="79" t="s">
        <v>528</v>
      </c>
      <c r="H146" s="10" t="s">
        <v>352</v>
      </c>
      <c r="I146" s="10" t="s">
        <v>352</v>
      </c>
      <c r="J146" s="10" t="s">
        <v>352</v>
      </c>
      <c r="K146" s="10" t="s">
        <v>352</v>
      </c>
      <c r="L146" s="163">
        <v>200.64</v>
      </c>
      <c r="M146" s="200">
        <v>37.68</v>
      </c>
      <c r="N146" s="10" t="s">
        <v>352</v>
      </c>
      <c r="O146" s="10" t="s">
        <v>352</v>
      </c>
      <c r="P146" s="10" t="s">
        <v>352</v>
      </c>
      <c r="Q146" s="10" t="s">
        <v>352</v>
      </c>
      <c r="R146" s="10" t="s">
        <v>352</v>
      </c>
      <c r="S146" s="10" t="s">
        <v>352</v>
      </c>
      <c r="T146" s="10" t="s">
        <v>352</v>
      </c>
      <c r="U146" s="107"/>
      <c r="V146" s="247"/>
      <c r="W146" s="248"/>
    </row>
    <row r="147" spans="1:23">
      <c r="A147" s="67" t="s">
        <v>375</v>
      </c>
      <c r="B147" s="79" t="s">
        <v>528</v>
      </c>
      <c r="C147" s="73" t="s">
        <v>349</v>
      </c>
      <c r="D147" s="71" t="s">
        <v>386</v>
      </c>
      <c r="E147" s="69">
        <v>5501</v>
      </c>
      <c r="F147" s="79" t="s">
        <v>528</v>
      </c>
      <c r="G147" s="79" t="s">
        <v>528</v>
      </c>
      <c r="H147" s="10" t="s">
        <v>352</v>
      </c>
      <c r="I147" s="10" t="s">
        <v>352</v>
      </c>
      <c r="J147" s="10" t="s">
        <v>352</v>
      </c>
      <c r="K147" s="10" t="s">
        <v>352</v>
      </c>
      <c r="L147" s="163">
        <v>184.28</v>
      </c>
      <c r="M147" s="200">
        <v>37.03</v>
      </c>
      <c r="N147" s="10" t="s">
        <v>352</v>
      </c>
      <c r="O147" s="10" t="s">
        <v>352</v>
      </c>
      <c r="P147" s="10" t="s">
        <v>352</v>
      </c>
      <c r="Q147" s="10" t="s">
        <v>352</v>
      </c>
      <c r="R147" s="10" t="s">
        <v>352</v>
      </c>
      <c r="S147" s="10" t="s">
        <v>352</v>
      </c>
      <c r="T147" s="10" t="s">
        <v>352</v>
      </c>
      <c r="U147" s="107"/>
      <c r="V147" s="247"/>
      <c r="W147" s="248"/>
    </row>
    <row r="148" spans="1:23">
      <c r="A148" s="67" t="s">
        <v>375</v>
      </c>
      <c r="B148" s="79" t="s">
        <v>528</v>
      </c>
      <c r="C148" s="73" t="s">
        <v>349</v>
      </c>
      <c r="D148" s="70" t="s">
        <v>391</v>
      </c>
      <c r="E148" s="69">
        <v>5601</v>
      </c>
      <c r="F148" s="79" t="s">
        <v>528</v>
      </c>
      <c r="G148" s="79" t="s">
        <v>528</v>
      </c>
      <c r="H148" s="10" t="s">
        <v>352</v>
      </c>
      <c r="I148" s="10" t="s">
        <v>352</v>
      </c>
      <c r="J148" s="10" t="s">
        <v>352</v>
      </c>
      <c r="K148" s="10" t="s">
        <v>352</v>
      </c>
      <c r="L148" s="163">
        <v>192.09</v>
      </c>
      <c r="M148" s="200">
        <v>31.04</v>
      </c>
      <c r="N148" s="10" t="s">
        <v>352</v>
      </c>
      <c r="O148" s="10" t="s">
        <v>352</v>
      </c>
      <c r="P148" s="10" t="s">
        <v>352</v>
      </c>
      <c r="Q148" s="10" t="s">
        <v>352</v>
      </c>
      <c r="R148" s="10" t="s">
        <v>352</v>
      </c>
      <c r="S148" s="10" t="s">
        <v>352</v>
      </c>
      <c r="T148" s="10" t="s">
        <v>352</v>
      </c>
      <c r="U148" s="107"/>
      <c r="V148" s="247"/>
      <c r="W148" s="248"/>
    </row>
    <row r="149" spans="1:23">
      <c r="A149" s="67" t="s">
        <v>375</v>
      </c>
      <c r="B149" s="79" t="s">
        <v>528</v>
      </c>
      <c r="C149" s="73" t="s">
        <v>349</v>
      </c>
      <c r="D149" s="71" t="s">
        <v>395</v>
      </c>
      <c r="E149" s="69">
        <v>5701</v>
      </c>
      <c r="F149" s="79" t="s">
        <v>528</v>
      </c>
      <c r="G149" s="79" t="s">
        <v>528</v>
      </c>
      <c r="H149" s="10" t="s">
        <v>352</v>
      </c>
      <c r="I149" s="10" t="s">
        <v>352</v>
      </c>
      <c r="J149" s="10" t="s">
        <v>352</v>
      </c>
      <c r="K149" s="10" t="s">
        <v>352</v>
      </c>
      <c r="L149" s="163">
        <v>182.87</v>
      </c>
      <c r="M149" s="200">
        <v>41.7</v>
      </c>
      <c r="N149" s="10" t="s">
        <v>352</v>
      </c>
      <c r="O149" s="10" t="s">
        <v>352</v>
      </c>
      <c r="P149" s="10" t="s">
        <v>352</v>
      </c>
      <c r="Q149" s="10" t="s">
        <v>352</v>
      </c>
      <c r="R149" s="10" t="s">
        <v>352</v>
      </c>
      <c r="S149" s="10" t="s">
        <v>352</v>
      </c>
      <c r="T149" s="10" t="s">
        <v>352</v>
      </c>
      <c r="U149" s="107"/>
      <c r="V149" s="247"/>
      <c r="W149" s="248"/>
    </row>
    <row r="150" spans="1:23">
      <c r="A150" s="67" t="s">
        <v>401</v>
      </c>
      <c r="B150" s="79" t="s">
        <v>528</v>
      </c>
      <c r="C150" s="73" t="s">
        <v>349</v>
      </c>
      <c r="D150" s="70" t="s">
        <v>403</v>
      </c>
      <c r="E150" s="69">
        <v>6001</v>
      </c>
      <c r="F150" s="79" t="s">
        <v>528</v>
      </c>
      <c r="G150" s="79" t="s">
        <v>528</v>
      </c>
      <c r="H150" s="10" t="s">
        <v>352</v>
      </c>
      <c r="I150" s="10" t="s">
        <v>352</v>
      </c>
      <c r="J150" s="10" t="s">
        <v>352</v>
      </c>
      <c r="K150" s="10" t="s">
        <v>352</v>
      </c>
      <c r="L150" s="163">
        <v>208</v>
      </c>
      <c r="M150" s="200">
        <v>21.23</v>
      </c>
      <c r="N150" s="10" t="s">
        <v>352</v>
      </c>
      <c r="O150" s="10" t="s">
        <v>352</v>
      </c>
      <c r="P150" s="10" t="s">
        <v>352</v>
      </c>
      <c r="Q150" s="10" t="s">
        <v>352</v>
      </c>
      <c r="R150" s="10" t="s">
        <v>352</v>
      </c>
      <c r="S150" s="10" t="s">
        <v>352</v>
      </c>
      <c r="T150" s="10" t="s">
        <v>352</v>
      </c>
      <c r="U150" s="107"/>
      <c r="V150" s="247"/>
      <c r="W150" s="248"/>
    </row>
    <row r="151" spans="1:23">
      <c r="A151" s="67" t="s">
        <v>401</v>
      </c>
      <c r="B151" s="79" t="s">
        <v>528</v>
      </c>
      <c r="C151" s="73" t="s">
        <v>349</v>
      </c>
      <c r="D151" s="71" t="s">
        <v>406</v>
      </c>
      <c r="E151" s="69">
        <v>6115</v>
      </c>
      <c r="F151" s="79" t="s">
        <v>528</v>
      </c>
      <c r="G151" s="79" t="s">
        <v>528</v>
      </c>
      <c r="H151" s="10" t="s">
        <v>352</v>
      </c>
      <c r="I151" s="10" t="s">
        <v>352</v>
      </c>
      <c r="J151" s="10" t="s">
        <v>352</v>
      </c>
      <c r="K151" s="10" t="s">
        <v>352</v>
      </c>
      <c r="L151" s="163">
        <v>203.56</v>
      </c>
      <c r="M151" s="200">
        <v>35.75</v>
      </c>
      <c r="N151" s="10" t="s">
        <v>352</v>
      </c>
      <c r="O151" s="10" t="s">
        <v>352</v>
      </c>
      <c r="P151" s="10" t="s">
        <v>352</v>
      </c>
      <c r="Q151" s="10" t="s">
        <v>352</v>
      </c>
      <c r="R151" s="10" t="s">
        <v>352</v>
      </c>
      <c r="S151" s="10" t="s">
        <v>352</v>
      </c>
      <c r="T151" s="10" t="s">
        <v>352</v>
      </c>
      <c r="U151" s="107"/>
      <c r="V151" s="247"/>
      <c r="W151" s="248"/>
    </row>
    <row r="152" spans="1:23">
      <c r="A152" s="67" t="s">
        <v>401</v>
      </c>
      <c r="B152" s="79" t="s">
        <v>528</v>
      </c>
      <c r="C152" s="73" t="s">
        <v>349</v>
      </c>
      <c r="D152" s="71" t="s">
        <v>408</v>
      </c>
      <c r="E152" s="69">
        <v>6301</v>
      </c>
      <c r="F152" s="79" t="s">
        <v>528</v>
      </c>
      <c r="G152" s="79" t="s">
        <v>528</v>
      </c>
      <c r="H152" s="10" t="s">
        <v>352</v>
      </c>
      <c r="I152" s="10" t="s">
        <v>352</v>
      </c>
      <c r="J152" s="10" t="s">
        <v>352</v>
      </c>
      <c r="K152" s="10" t="s">
        <v>352</v>
      </c>
      <c r="L152" s="163">
        <v>192.05</v>
      </c>
      <c r="M152" s="200">
        <v>36.9</v>
      </c>
      <c r="N152" s="10" t="s">
        <v>352</v>
      </c>
      <c r="O152" s="10" t="s">
        <v>352</v>
      </c>
      <c r="P152" s="10" t="s">
        <v>352</v>
      </c>
      <c r="Q152" s="10" t="s">
        <v>352</v>
      </c>
      <c r="R152" s="10" t="s">
        <v>352</v>
      </c>
      <c r="S152" s="10" t="s">
        <v>352</v>
      </c>
      <c r="T152" s="10" t="s">
        <v>352</v>
      </c>
      <c r="U152" s="107"/>
      <c r="V152" s="247"/>
      <c r="W152" s="248"/>
    </row>
    <row r="153" spans="1:23">
      <c r="A153" s="67" t="s">
        <v>409</v>
      </c>
      <c r="B153" s="79" t="s">
        <v>528</v>
      </c>
      <c r="C153" s="73" t="s">
        <v>349</v>
      </c>
      <c r="D153" s="70" t="s">
        <v>411</v>
      </c>
      <c r="E153" s="69">
        <v>7001</v>
      </c>
      <c r="F153" s="79" t="s">
        <v>528</v>
      </c>
      <c r="G153" s="79" t="s">
        <v>528</v>
      </c>
      <c r="H153" s="10" t="s">
        <v>352</v>
      </c>
      <c r="I153" s="10" t="s">
        <v>352</v>
      </c>
      <c r="J153" s="10" t="s">
        <v>352</v>
      </c>
      <c r="K153" s="10" t="s">
        <v>352</v>
      </c>
      <c r="L153" s="163">
        <v>204.42</v>
      </c>
      <c r="M153" s="200">
        <v>44.65</v>
      </c>
      <c r="N153" s="10" t="s">
        <v>352</v>
      </c>
      <c r="O153" s="10" t="s">
        <v>352</v>
      </c>
      <c r="P153" s="10" t="s">
        <v>352</v>
      </c>
      <c r="Q153" s="10" t="s">
        <v>352</v>
      </c>
      <c r="R153" s="10" t="s">
        <v>352</v>
      </c>
      <c r="S153" s="10" t="s">
        <v>352</v>
      </c>
      <c r="T153" s="10" t="s">
        <v>352</v>
      </c>
      <c r="U153" s="107"/>
      <c r="V153" s="247"/>
      <c r="W153" s="248"/>
    </row>
    <row r="154" spans="1:23">
      <c r="A154" s="67" t="s">
        <v>409</v>
      </c>
      <c r="B154" s="79" t="s">
        <v>528</v>
      </c>
      <c r="C154" s="73" t="s">
        <v>349</v>
      </c>
      <c r="D154" s="71" t="s">
        <v>412</v>
      </c>
      <c r="E154" s="69">
        <v>7102</v>
      </c>
      <c r="F154" s="79" t="s">
        <v>528</v>
      </c>
      <c r="G154" s="79" t="s">
        <v>528</v>
      </c>
      <c r="H154" s="10" t="s">
        <v>352</v>
      </c>
      <c r="I154" s="10" t="s">
        <v>352</v>
      </c>
      <c r="J154" s="10" t="s">
        <v>352</v>
      </c>
      <c r="K154" s="10" t="s">
        <v>352</v>
      </c>
      <c r="L154" s="163">
        <v>161.44999999999999</v>
      </c>
      <c r="M154" s="200">
        <v>27.83</v>
      </c>
      <c r="N154" s="10" t="s">
        <v>352</v>
      </c>
      <c r="O154" s="10" t="s">
        <v>352</v>
      </c>
      <c r="P154" s="10" t="s">
        <v>352</v>
      </c>
      <c r="Q154" s="10" t="s">
        <v>352</v>
      </c>
      <c r="R154" s="10" t="s">
        <v>352</v>
      </c>
      <c r="S154" s="10" t="s">
        <v>352</v>
      </c>
      <c r="T154" s="10" t="s">
        <v>352</v>
      </c>
      <c r="U154" s="107"/>
      <c r="V154" s="247"/>
      <c r="W154" s="248"/>
    </row>
    <row r="155" spans="1:23">
      <c r="A155" s="67" t="s">
        <v>409</v>
      </c>
      <c r="B155" s="79" t="s">
        <v>528</v>
      </c>
      <c r="C155" s="73" t="s">
        <v>349</v>
      </c>
      <c r="D155" s="70" t="s">
        <v>414</v>
      </c>
      <c r="E155" s="69">
        <v>7301</v>
      </c>
      <c r="F155" s="79" t="s">
        <v>528</v>
      </c>
      <c r="G155" s="79" t="s">
        <v>528</v>
      </c>
      <c r="H155" s="10" t="s">
        <v>352</v>
      </c>
      <c r="I155" s="10" t="s">
        <v>352</v>
      </c>
      <c r="J155" s="10" t="s">
        <v>352</v>
      </c>
      <c r="K155" s="10" t="s">
        <v>352</v>
      </c>
      <c r="L155" s="163">
        <v>198.78</v>
      </c>
      <c r="M155" s="200">
        <v>46.27</v>
      </c>
      <c r="N155" s="10" t="s">
        <v>352</v>
      </c>
      <c r="O155" s="10" t="s">
        <v>352</v>
      </c>
      <c r="P155" s="10" t="s">
        <v>352</v>
      </c>
      <c r="Q155" s="10" t="s">
        <v>352</v>
      </c>
      <c r="R155" s="10" t="s">
        <v>352</v>
      </c>
      <c r="S155" s="10" t="s">
        <v>352</v>
      </c>
      <c r="T155" s="10" t="s">
        <v>352</v>
      </c>
      <c r="U155" s="107"/>
      <c r="V155" s="247"/>
      <c r="W155" s="248"/>
    </row>
    <row r="156" spans="1:23">
      <c r="A156" s="67" t="s">
        <v>409</v>
      </c>
      <c r="B156" s="79" t="s">
        <v>528</v>
      </c>
      <c r="C156" s="73" t="s">
        <v>349</v>
      </c>
      <c r="D156" s="71" t="s">
        <v>417</v>
      </c>
      <c r="E156" s="69">
        <v>7401</v>
      </c>
      <c r="F156" s="79" t="s">
        <v>528</v>
      </c>
      <c r="G156" s="79" t="s">
        <v>528</v>
      </c>
      <c r="H156" s="10" t="s">
        <v>352</v>
      </c>
      <c r="I156" s="10" t="s">
        <v>352</v>
      </c>
      <c r="J156" s="10" t="s">
        <v>352</v>
      </c>
      <c r="K156" s="10" t="s">
        <v>352</v>
      </c>
      <c r="L156" s="163">
        <v>171.79</v>
      </c>
      <c r="M156" s="200">
        <v>44.85</v>
      </c>
      <c r="N156" s="10" t="s">
        <v>352</v>
      </c>
      <c r="O156" s="10" t="s">
        <v>352</v>
      </c>
      <c r="P156" s="10" t="s">
        <v>352</v>
      </c>
      <c r="Q156" s="10" t="s">
        <v>352</v>
      </c>
      <c r="R156" s="10" t="s">
        <v>352</v>
      </c>
      <c r="S156" s="10" t="s">
        <v>352</v>
      </c>
      <c r="T156" s="10" t="s">
        <v>352</v>
      </c>
      <c r="U156" s="107"/>
      <c r="V156" s="247"/>
      <c r="W156" s="248"/>
    </row>
    <row r="157" spans="1:23">
      <c r="A157" s="67" t="s">
        <v>418</v>
      </c>
      <c r="B157" s="79" t="s">
        <v>528</v>
      </c>
      <c r="C157" s="73" t="s">
        <v>420</v>
      </c>
      <c r="D157" s="70" t="s">
        <v>420</v>
      </c>
      <c r="E157" s="69">
        <v>8001</v>
      </c>
      <c r="F157" s="79" t="s">
        <v>528</v>
      </c>
      <c r="G157" s="79" t="s">
        <v>528</v>
      </c>
      <c r="H157" s="10" t="s">
        <v>352</v>
      </c>
      <c r="I157" s="10" t="s">
        <v>352</v>
      </c>
      <c r="J157" s="10" t="s">
        <v>352</v>
      </c>
      <c r="K157" s="10" t="s">
        <v>352</v>
      </c>
      <c r="L157" s="163">
        <v>157.44</v>
      </c>
      <c r="M157" s="200">
        <v>35.79</v>
      </c>
      <c r="N157" s="10" t="s">
        <v>352</v>
      </c>
      <c r="O157" s="10" t="s">
        <v>352</v>
      </c>
      <c r="P157" s="10" t="s">
        <v>352</v>
      </c>
      <c r="Q157" s="10" t="s">
        <v>352</v>
      </c>
      <c r="R157" s="10" t="s">
        <v>352</v>
      </c>
      <c r="S157" s="10" t="s">
        <v>352</v>
      </c>
      <c r="T157" s="10" t="s">
        <v>352</v>
      </c>
      <c r="U157" s="107"/>
      <c r="V157" s="247"/>
      <c r="W157" s="248"/>
    </row>
    <row r="158" spans="1:23">
      <c r="A158" s="67" t="s">
        <v>418</v>
      </c>
      <c r="B158" s="79" t="s">
        <v>528</v>
      </c>
      <c r="C158" s="73" t="s">
        <v>349</v>
      </c>
      <c r="D158" s="70" t="s">
        <v>431</v>
      </c>
      <c r="E158" s="69">
        <v>8301</v>
      </c>
      <c r="F158" s="79" t="s">
        <v>528</v>
      </c>
      <c r="G158" s="79" t="s">
        <v>528</v>
      </c>
      <c r="H158" s="10" t="s">
        <v>352</v>
      </c>
      <c r="I158" s="10" t="s">
        <v>352</v>
      </c>
      <c r="J158" s="10" t="s">
        <v>352</v>
      </c>
      <c r="K158" s="10" t="s">
        <v>352</v>
      </c>
      <c r="L158" s="200">
        <v>173.14</v>
      </c>
      <c r="M158" s="200">
        <v>24.87</v>
      </c>
      <c r="N158" s="10" t="s">
        <v>352</v>
      </c>
      <c r="O158" s="10" t="s">
        <v>352</v>
      </c>
      <c r="P158" s="10" t="s">
        <v>352</v>
      </c>
      <c r="Q158" s="10" t="s">
        <v>352</v>
      </c>
      <c r="R158" s="10" t="s">
        <v>352</v>
      </c>
      <c r="S158" s="10" t="s">
        <v>352</v>
      </c>
      <c r="T158" s="10" t="s">
        <v>352</v>
      </c>
      <c r="U158" s="107"/>
      <c r="V158" s="247"/>
      <c r="W158" s="248"/>
    </row>
    <row r="159" spans="1:23">
      <c r="A159" s="67" t="s">
        <v>434</v>
      </c>
      <c r="B159" s="79" t="s">
        <v>528</v>
      </c>
      <c r="C159" s="73" t="s">
        <v>349</v>
      </c>
      <c r="D159" s="70" t="s">
        <v>436</v>
      </c>
      <c r="E159" s="69">
        <v>9001</v>
      </c>
      <c r="F159" s="79" t="s">
        <v>528</v>
      </c>
      <c r="G159" s="79" t="s">
        <v>528</v>
      </c>
      <c r="H159" s="10" t="s">
        <v>352</v>
      </c>
      <c r="I159" s="10" t="s">
        <v>352</v>
      </c>
      <c r="J159" s="10" t="s">
        <v>352</v>
      </c>
      <c r="K159" s="10" t="s">
        <v>352</v>
      </c>
      <c r="L159" s="163">
        <v>170.14</v>
      </c>
      <c r="M159" s="200">
        <v>40.090000000000003</v>
      </c>
      <c r="N159" s="10" t="s">
        <v>352</v>
      </c>
      <c r="O159" s="10" t="s">
        <v>352</v>
      </c>
      <c r="P159" s="10" t="s">
        <v>352</v>
      </c>
      <c r="Q159" s="10" t="s">
        <v>352</v>
      </c>
      <c r="R159" s="10" t="s">
        <v>352</v>
      </c>
      <c r="S159" s="10" t="s">
        <v>352</v>
      </c>
      <c r="T159" s="10" t="s">
        <v>352</v>
      </c>
      <c r="U159" s="107"/>
      <c r="V159" s="247"/>
      <c r="W159" s="248"/>
    </row>
    <row r="160" spans="1:23">
      <c r="A160" s="67" t="s">
        <v>434</v>
      </c>
      <c r="B160" s="79" t="s">
        <v>528</v>
      </c>
      <c r="C160" s="73" t="s">
        <v>349</v>
      </c>
      <c r="D160" s="71" t="s">
        <v>439</v>
      </c>
      <c r="E160" s="69">
        <v>9120</v>
      </c>
      <c r="F160" s="79" t="s">
        <v>528</v>
      </c>
      <c r="G160" s="79" t="s">
        <v>528</v>
      </c>
      <c r="H160" s="10" t="s">
        <v>352</v>
      </c>
      <c r="I160" s="10" t="s">
        <v>352</v>
      </c>
      <c r="J160" s="10" t="s">
        <v>352</v>
      </c>
      <c r="K160" s="10" t="s">
        <v>352</v>
      </c>
      <c r="L160" s="163">
        <v>202.09</v>
      </c>
      <c r="M160" s="200">
        <v>29.27</v>
      </c>
      <c r="N160" s="10" t="s">
        <v>352</v>
      </c>
      <c r="O160" s="10" t="s">
        <v>352</v>
      </c>
      <c r="P160" s="10" t="s">
        <v>352</v>
      </c>
      <c r="Q160" s="10" t="s">
        <v>352</v>
      </c>
      <c r="R160" s="10" t="s">
        <v>352</v>
      </c>
      <c r="S160" s="10" t="s">
        <v>352</v>
      </c>
      <c r="T160" s="10" t="s">
        <v>352</v>
      </c>
      <c r="U160" s="107"/>
      <c r="V160" s="249"/>
      <c r="W160" s="248"/>
    </row>
    <row r="161" spans="1:23">
      <c r="A161" s="67" t="s">
        <v>434</v>
      </c>
      <c r="B161" s="79" t="s">
        <v>528</v>
      </c>
      <c r="C161" s="73" t="s">
        <v>349</v>
      </c>
      <c r="D161" s="71" t="s">
        <v>441</v>
      </c>
      <c r="E161" s="69">
        <v>9201</v>
      </c>
      <c r="F161" s="79" t="s">
        <v>528</v>
      </c>
      <c r="G161" s="79" t="s">
        <v>528</v>
      </c>
      <c r="H161" s="10" t="s">
        <v>352</v>
      </c>
      <c r="I161" s="10" t="s">
        <v>352</v>
      </c>
      <c r="J161" s="10" t="s">
        <v>352</v>
      </c>
      <c r="K161" s="10" t="s">
        <v>352</v>
      </c>
      <c r="L161" s="163">
        <v>199.69</v>
      </c>
      <c r="M161" s="200">
        <v>20.100000000000001</v>
      </c>
      <c r="N161" s="10" t="s">
        <v>352</v>
      </c>
      <c r="O161" s="10" t="s">
        <v>352</v>
      </c>
      <c r="P161" s="10" t="s">
        <v>352</v>
      </c>
      <c r="Q161" s="10" t="s">
        <v>352</v>
      </c>
      <c r="R161" s="10" t="s">
        <v>352</v>
      </c>
      <c r="S161" s="10" t="s">
        <v>352</v>
      </c>
      <c r="T161" s="10" t="s">
        <v>352</v>
      </c>
      <c r="U161" s="107"/>
      <c r="V161" s="249"/>
      <c r="W161" s="248"/>
    </row>
    <row r="162" spans="1:23">
      <c r="A162" s="67" t="s">
        <v>442</v>
      </c>
      <c r="B162" s="79" t="s">
        <v>528</v>
      </c>
      <c r="C162" s="73" t="s">
        <v>349</v>
      </c>
      <c r="D162" s="70" t="s">
        <v>444</v>
      </c>
      <c r="E162" s="69">
        <v>10001</v>
      </c>
      <c r="F162" s="79" t="s">
        <v>528</v>
      </c>
      <c r="G162" s="79" t="s">
        <v>528</v>
      </c>
      <c r="H162" s="10" t="s">
        <v>352</v>
      </c>
      <c r="I162" s="10" t="s">
        <v>352</v>
      </c>
      <c r="J162" s="10" t="s">
        <v>352</v>
      </c>
      <c r="K162" s="10" t="s">
        <v>352</v>
      </c>
      <c r="L162" s="163">
        <v>147.62</v>
      </c>
      <c r="M162" s="200">
        <v>40.909999999999997</v>
      </c>
      <c r="N162" s="10" t="s">
        <v>352</v>
      </c>
      <c r="O162" s="10" t="s">
        <v>352</v>
      </c>
      <c r="P162" s="10" t="s">
        <v>352</v>
      </c>
      <c r="Q162" s="10" t="s">
        <v>352</v>
      </c>
      <c r="R162" s="10" t="s">
        <v>352</v>
      </c>
      <c r="S162" s="10" t="s">
        <v>352</v>
      </c>
      <c r="T162" s="10" t="s">
        <v>352</v>
      </c>
      <c r="U162" s="107"/>
      <c r="V162" s="247"/>
      <c r="W162" s="248"/>
    </row>
    <row r="163" spans="1:23">
      <c r="A163" s="67" t="s">
        <v>442</v>
      </c>
      <c r="B163" s="79" t="s">
        <v>528</v>
      </c>
      <c r="C163" s="73" t="s">
        <v>349</v>
      </c>
      <c r="D163" s="71" t="s">
        <v>448</v>
      </c>
      <c r="E163" s="69">
        <v>10201</v>
      </c>
      <c r="F163" s="79" t="s">
        <v>528</v>
      </c>
      <c r="G163" s="79" t="s">
        <v>528</v>
      </c>
      <c r="H163" s="10" t="s">
        <v>352</v>
      </c>
      <c r="I163" s="10" t="s">
        <v>352</v>
      </c>
      <c r="J163" s="10" t="s">
        <v>352</v>
      </c>
      <c r="K163" s="10" t="s">
        <v>352</v>
      </c>
      <c r="L163" s="163">
        <v>164.03</v>
      </c>
      <c r="M163" s="200">
        <v>33.26</v>
      </c>
      <c r="N163" s="10" t="s">
        <v>352</v>
      </c>
      <c r="O163" s="10" t="s">
        <v>352</v>
      </c>
      <c r="P163" s="10" t="s">
        <v>352</v>
      </c>
      <c r="Q163" s="10" t="s">
        <v>352</v>
      </c>
      <c r="R163" s="10" t="s">
        <v>352</v>
      </c>
      <c r="S163" s="10" t="s">
        <v>352</v>
      </c>
      <c r="T163" s="10" t="s">
        <v>352</v>
      </c>
      <c r="U163" s="107"/>
      <c r="V163" s="247"/>
      <c r="W163" s="248"/>
    </row>
    <row r="164" spans="1:23">
      <c r="A164" s="67" t="s">
        <v>442</v>
      </c>
      <c r="B164" s="79" t="s">
        <v>528</v>
      </c>
      <c r="C164" s="73" t="s">
        <v>349</v>
      </c>
      <c r="D164" s="70" t="s">
        <v>449</v>
      </c>
      <c r="E164" s="69">
        <v>10301</v>
      </c>
      <c r="F164" s="79" t="s">
        <v>528</v>
      </c>
      <c r="G164" s="79" t="s">
        <v>528</v>
      </c>
      <c r="H164" s="10" t="s">
        <v>352</v>
      </c>
      <c r="I164" s="10" t="s">
        <v>352</v>
      </c>
      <c r="J164" s="10" t="s">
        <v>352</v>
      </c>
      <c r="K164" s="10" t="s">
        <v>352</v>
      </c>
      <c r="L164" s="163">
        <v>138.88999999999999</v>
      </c>
      <c r="M164" s="200">
        <v>26.63</v>
      </c>
      <c r="N164" s="10" t="s">
        <v>352</v>
      </c>
      <c r="O164" s="10" t="s">
        <v>352</v>
      </c>
      <c r="P164" s="10" t="s">
        <v>352</v>
      </c>
      <c r="Q164" s="10" t="s">
        <v>352</v>
      </c>
      <c r="R164" s="10" t="s">
        <v>352</v>
      </c>
      <c r="S164" s="10" t="s">
        <v>352</v>
      </c>
      <c r="T164" s="10" t="s">
        <v>352</v>
      </c>
      <c r="U164" s="107"/>
      <c r="V164" s="247"/>
      <c r="W164" s="248"/>
    </row>
    <row r="165" spans="1:23">
      <c r="A165" s="67" t="s">
        <v>450</v>
      </c>
      <c r="B165" s="79" t="s">
        <v>528</v>
      </c>
      <c r="C165" s="73" t="s">
        <v>349</v>
      </c>
      <c r="D165" s="71" t="s">
        <v>451</v>
      </c>
      <c r="E165" s="69">
        <v>11101</v>
      </c>
      <c r="F165" s="79" t="s">
        <v>528</v>
      </c>
      <c r="G165" s="79" t="s">
        <v>528</v>
      </c>
      <c r="H165" s="10" t="s">
        <v>352</v>
      </c>
      <c r="I165" s="10" t="s">
        <v>352</v>
      </c>
      <c r="J165" s="10" t="s">
        <v>352</v>
      </c>
      <c r="K165" s="10" t="s">
        <v>352</v>
      </c>
      <c r="L165" s="163">
        <v>128.85</v>
      </c>
      <c r="M165" s="200">
        <v>28.79</v>
      </c>
      <c r="N165" s="10" t="s">
        <v>352</v>
      </c>
      <c r="O165" s="10" t="s">
        <v>352</v>
      </c>
      <c r="P165" s="10" t="s">
        <v>352</v>
      </c>
      <c r="Q165" s="10" t="s">
        <v>352</v>
      </c>
      <c r="R165" s="10" t="s">
        <v>352</v>
      </c>
      <c r="S165" s="10" t="s">
        <v>352</v>
      </c>
      <c r="T165" s="10" t="s">
        <v>352</v>
      </c>
      <c r="U165" s="107"/>
      <c r="V165" s="247"/>
      <c r="W165" s="248"/>
    </row>
    <row r="166" spans="1:23">
      <c r="A166" s="67" t="s">
        <v>452</v>
      </c>
      <c r="B166" s="79" t="s">
        <v>528</v>
      </c>
      <c r="C166" s="73" t="s">
        <v>349</v>
      </c>
      <c r="D166" s="70" t="s">
        <v>453</v>
      </c>
      <c r="E166" s="69">
        <v>12101</v>
      </c>
      <c r="F166" s="79" t="s">
        <v>528</v>
      </c>
      <c r="G166" s="79" t="s">
        <v>528</v>
      </c>
      <c r="H166" s="10" t="s">
        <v>352</v>
      </c>
      <c r="I166" s="10" t="s">
        <v>352</v>
      </c>
      <c r="J166" s="10" t="s">
        <v>352</v>
      </c>
      <c r="K166" s="10" t="s">
        <v>352</v>
      </c>
      <c r="L166" s="163">
        <v>161.25</v>
      </c>
      <c r="M166" s="200">
        <v>17.190000000000001</v>
      </c>
      <c r="N166" s="10" t="s">
        <v>352</v>
      </c>
      <c r="O166" s="10" t="s">
        <v>352</v>
      </c>
      <c r="P166" s="10" t="s">
        <v>352</v>
      </c>
      <c r="Q166" s="10" t="s">
        <v>352</v>
      </c>
      <c r="R166" s="10" t="s">
        <v>352</v>
      </c>
      <c r="S166" s="10" t="s">
        <v>352</v>
      </c>
      <c r="T166" s="10" t="s">
        <v>352</v>
      </c>
      <c r="U166" s="107"/>
      <c r="V166" s="248"/>
      <c r="W166" s="248"/>
    </row>
    <row r="167" spans="1:23">
      <c r="A167" s="67" t="s">
        <v>454</v>
      </c>
      <c r="B167" s="79" t="s">
        <v>528</v>
      </c>
      <c r="C167" s="73" t="s">
        <v>456</v>
      </c>
      <c r="D167" s="70" t="s">
        <v>456</v>
      </c>
      <c r="E167" s="69">
        <v>13001</v>
      </c>
      <c r="F167" s="79" t="s">
        <v>528</v>
      </c>
      <c r="G167" s="79" t="s">
        <v>528</v>
      </c>
      <c r="H167" s="10" t="s">
        <v>352</v>
      </c>
      <c r="I167" s="10" t="s">
        <v>352</v>
      </c>
      <c r="J167" s="10" t="s">
        <v>352</v>
      </c>
      <c r="K167" s="10" t="s">
        <v>352</v>
      </c>
      <c r="L167" s="163">
        <v>195.99</v>
      </c>
      <c r="M167" s="200">
        <v>33.14</v>
      </c>
      <c r="N167" s="10" t="s">
        <v>352</v>
      </c>
      <c r="O167" s="10" t="s">
        <v>352</v>
      </c>
      <c r="P167" s="10" t="s">
        <v>352</v>
      </c>
      <c r="Q167" s="10" t="s">
        <v>352</v>
      </c>
      <c r="R167" s="10" t="s">
        <v>352</v>
      </c>
      <c r="S167" s="10" t="s">
        <v>352</v>
      </c>
      <c r="T167" s="10" t="s">
        <v>352</v>
      </c>
      <c r="U167" s="107"/>
      <c r="V167" s="247"/>
      <c r="W167" s="248"/>
    </row>
    <row r="168" spans="1:23">
      <c r="A168" s="67" t="s">
        <v>454</v>
      </c>
      <c r="B168" s="79" t="s">
        <v>528</v>
      </c>
      <c r="C168" s="73" t="s">
        <v>349</v>
      </c>
      <c r="D168" s="70" t="s">
        <v>501</v>
      </c>
      <c r="E168" s="69">
        <v>13501</v>
      </c>
      <c r="F168" s="79" t="s">
        <v>528</v>
      </c>
      <c r="G168" s="79" t="s">
        <v>528</v>
      </c>
      <c r="H168" s="10" t="s">
        <v>352</v>
      </c>
      <c r="I168" s="10" t="s">
        <v>352</v>
      </c>
      <c r="J168" s="10" t="s">
        <v>352</v>
      </c>
      <c r="K168" s="10" t="s">
        <v>352</v>
      </c>
      <c r="L168" s="163">
        <v>186.64</v>
      </c>
      <c r="M168" s="200">
        <v>37.799999999999997</v>
      </c>
      <c r="N168" s="10" t="s">
        <v>352</v>
      </c>
      <c r="O168" s="10" t="s">
        <v>352</v>
      </c>
      <c r="P168" s="10" t="s">
        <v>352</v>
      </c>
      <c r="Q168" s="10" t="s">
        <v>352</v>
      </c>
      <c r="R168" s="10" t="s">
        <v>352</v>
      </c>
      <c r="S168" s="10" t="s">
        <v>352</v>
      </c>
      <c r="T168" s="10" t="s">
        <v>352</v>
      </c>
      <c r="U168" s="107"/>
      <c r="V168" s="247"/>
      <c r="W168" s="248"/>
    </row>
    <row r="169" spans="1:23">
      <c r="A169" s="67" t="s">
        <v>507</v>
      </c>
      <c r="B169" s="79" t="s">
        <v>528</v>
      </c>
      <c r="C169" s="73" t="s">
        <v>349</v>
      </c>
      <c r="D169" s="70" t="s">
        <v>508</v>
      </c>
      <c r="E169" s="69">
        <v>14101</v>
      </c>
      <c r="F169" s="79" t="s">
        <v>528</v>
      </c>
      <c r="G169" s="79" t="s">
        <v>528</v>
      </c>
      <c r="H169" s="10" t="s">
        <v>352</v>
      </c>
      <c r="I169" s="10" t="s">
        <v>352</v>
      </c>
      <c r="J169" s="10" t="s">
        <v>352</v>
      </c>
      <c r="K169" s="10" t="s">
        <v>352</v>
      </c>
      <c r="L169" s="163">
        <v>152.63999999999999</v>
      </c>
      <c r="M169" s="200">
        <v>20.43</v>
      </c>
      <c r="N169" s="10" t="s">
        <v>352</v>
      </c>
      <c r="O169" s="10" t="s">
        <v>352</v>
      </c>
      <c r="P169" s="10" t="s">
        <v>352</v>
      </c>
      <c r="Q169" s="10" t="s">
        <v>352</v>
      </c>
      <c r="R169" s="10" t="s">
        <v>352</v>
      </c>
      <c r="S169" s="10" t="s">
        <v>352</v>
      </c>
      <c r="T169" s="10" t="s">
        <v>352</v>
      </c>
      <c r="U169" s="107"/>
      <c r="V169" s="247"/>
      <c r="W169" s="248"/>
    </row>
    <row r="170" spans="1:23">
      <c r="A170" s="67" t="s">
        <v>509</v>
      </c>
      <c r="B170" s="79" t="s">
        <v>528</v>
      </c>
      <c r="C170" s="73" t="s">
        <v>349</v>
      </c>
      <c r="D170" s="70" t="s">
        <v>510</v>
      </c>
      <c r="E170" s="69">
        <v>15101</v>
      </c>
      <c r="F170" s="79" t="s">
        <v>528</v>
      </c>
      <c r="G170" s="79" t="s">
        <v>528</v>
      </c>
      <c r="H170" s="10" t="s">
        <v>352</v>
      </c>
      <c r="I170" s="10" t="s">
        <v>352</v>
      </c>
      <c r="J170" s="10" t="s">
        <v>352</v>
      </c>
      <c r="K170" s="10" t="s">
        <v>352</v>
      </c>
      <c r="L170" s="163">
        <v>151.81</v>
      </c>
      <c r="M170" s="200">
        <v>30.44</v>
      </c>
      <c r="N170" s="10" t="s">
        <v>352</v>
      </c>
      <c r="O170" s="10" t="s">
        <v>352</v>
      </c>
      <c r="P170" s="10" t="s">
        <v>352</v>
      </c>
      <c r="Q170" s="10" t="s">
        <v>352</v>
      </c>
      <c r="R170" s="10" t="s">
        <v>352</v>
      </c>
      <c r="S170" s="10" t="s">
        <v>352</v>
      </c>
      <c r="T170" s="10" t="s">
        <v>352</v>
      </c>
      <c r="U170" s="107"/>
      <c r="V170" s="247"/>
      <c r="W170" s="248"/>
    </row>
    <row r="171" spans="1:23">
      <c r="A171" s="67" t="s">
        <v>511</v>
      </c>
      <c r="B171" s="79" t="s">
        <v>528</v>
      </c>
      <c r="C171" s="73" t="s">
        <v>349</v>
      </c>
      <c r="D171" s="70" t="s">
        <v>513</v>
      </c>
      <c r="E171" s="69">
        <v>16101</v>
      </c>
      <c r="F171" s="79" t="s">
        <v>528</v>
      </c>
      <c r="G171" s="79" t="s">
        <v>528</v>
      </c>
      <c r="H171" s="10" t="s">
        <v>352</v>
      </c>
      <c r="I171" s="10" t="s">
        <v>352</v>
      </c>
      <c r="J171" s="10" t="s">
        <v>352</v>
      </c>
      <c r="K171" s="10" t="s">
        <v>352</v>
      </c>
      <c r="L171" s="163">
        <v>151.19</v>
      </c>
      <c r="M171" s="200">
        <v>31.62</v>
      </c>
      <c r="N171" s="10" t="s">
        <v>352</v>
      </c>
      <c r="O171" s="10" t="s">
        <v>352</v>
      </c>
      <c r="P171" s="10" t="s">
        <v>352</v>
      </c>
      <c r="Q171" s="10" t="s">
        <v>352</v>
      </c>
      <c r="R171" s="10" t="s">
        <v>352</v>
      </c>
      <c r="S171" s="10" t="s">
        <v>352</v>
      </c>
      <c r="T171" s="10" t="s">
        <v>352</v>
      </c>
      <c r="U171" s="107"/>
      <c r="V171" s="107"/>
      <c r="W171" s="107"/>
    </row>
    <row r="172" spans="1:23">
      <c r="A172" s="67" t="s">
        <v>511</v>
      </c>
      <c r="B172" s="79" t="s">
        <v>528</v>
      </c>
      <c r="C172" s="73" t="s">
        <v>349</v>
      </c>
      <c r="D172" s="71" t="s">
        <v>517</v>
      </c>
      <c r="E172" s="69">
        <v>16301</v>
      </c>
      <c r="F172" s="79" t="s">
        <v>528</v>
      </c>
      <c r="G172" s="79" t="s">
        <v>528</v>
      </c>
      <c r="H172" s="10" t="s">
        <v>352</v>
      </c>
      <c r="I172" s="10" t="s">
        <v>352</v>
      </c>
      <c r="J172" s="10" t="s">
        <v>352</v>
      </c>
      <c r="K172" s="10" t="s">
        <v>352</v>
      </c>
      <c r="L172" s="163">
        <v>173.71</v>
      </c>
      <c r="M172" s="200">
        <v>38.94</v>
      </c>
      <c r="N172" s="10" t="s">
        <v>352</v>
      </c>
      <c r="O172" s="10" t="s">
        <v>352</v>
      </c>
      <c r="P172" s="10" t="s">
        <v>352</v>
      </c>
      <c r="Q172" s="10" t="s">
        <v>352</v>
      </c>
      <c r="R172" s="10" t="s">
        <v>352</v>
      </c>
      <c r="S172" s="10" t="s">
        <v>352</v>
      </c>
      <c r="T172" s="10" t="s">
        <v>352</v>
      </c>
      <c r="U172" s="107"/>
      <c r="V172" s="107"/>
      <c r="W172" s="107"/>
    </row>
    <row r="173" spans="1:23">
      <c r="A173" s="231"/>
      <c r="B173" s="232"/>
      <c r="C173" s="233"/>
      <c r="D173" s="234"/>
      <c r="E173" s="235"/>
      <c r="F173" s="232"/>
      <c r="G173" s="232"/>
      <c r="H173" s="89"/>
      <c r="I173" s="89"/>
      <c r="J173" s="89"/>
      <c r="K173" s="89"/>
      <c r="L173" s="241"/>
      <c r="M173" s="239"/>
      <c r="N173" s="89"/>
      <c r="O173" s="89"/>
      <c r="P173" s="89"/>
      <c r="Q173" s="89"/>
      <c r="R173" s="89"/>
      <c r="S173" s="89"/>
      <c r="T173" s="89"/>
      <c r="U173" s="107"/>
      <c r="V173" s="107"/>
      <c r="W173" s="107"/>
    </row>
    <row r="174" spans="1:23">
      <c r="A174" s="231"/>
      <c r="B174" s="232"/>
      <c r="C174" s="233"/>
      <c r="D174" s="234"/>
      <c r="E174" s="235"/>
      <c r="F174" s="232"/>
      <c r="G174" s="232"/>
      <c r="H174" s="89"/>
      <c r="I174" s="89"/>
      <c r="J174" s="89"/>
      <c r="K174" s="89"/>
      <c r="L174" s="89"/>
      <c r="M174" s="239"/>
      <c r="N174" s="89"/>
      <c r="O174" s="89"/>
      <c r="P174" s="89"/>
      <c r="Q174" s="89"/>
      <c r="R174" s="89"/>
      <c r="S174" s="89"/>
      <c r="T174" s="89"/>
      <c r="U174" s="107"/>
      <c r="V174" s="107"/>
      <c r="W174" s="107"/>
    </row>
    <row r="175" spans="1:23">
      <c r="A175" s="231"/>
      <c r="B175" s="232"/>
      <c r="C175" s="233"/>
      <c r="D175" s="234"/>
      <c r="G175" s="43" t="s">
        <v>289</v>
      </c>
      <c r="H175" s="106" t="s">
        <v>238</v>
      </c>
      <c r="I175" s="106" t="s">
        <v>240</v>
      </c>
      <c r="J175" s="106" t="s">
        <v>242</v>
      </c>
      <c r="K175" s="106" t="s">
        <v>244</v>
      </c>
      <c r="L175" s="106" t="s">
        <v>247</v>
      </c>
      <c r="M175" s="239"/>
      <c r="N175" s="89"/>
      <c r="O175" s="89"/>
      <c r="P175" s="89"/>
      <c r="Q175" s="89"/>
      <c r="R175" s="89"/>
      <c r="S175" s="89"/>
      <c r="T175" s="89"/>
      <c r="U175" s="107"/>
      <c r="V175" s="107"/>
      <c r="W175" s="107"/>
    </row>
    <row r="176" spans="1:23">
      <c r="A176" s="109" t="s">
        <v>609</v>
      </c>
      <c r="B176" s="232"/>
      <c r="C176" s="233"/>
      <c r="D176" s="234"/>
      <c r="G176" s="43" t="s">
        <v>290</v>
      </c>
      <c r="H176" s="178" t="s">
        <v>28</v>
      </c>
      <c r="I176" s="178" t="s">
        <v>28</v>
      </c>
      <c r="J176" s="178" t="s">
        <v>28</v>
      </c>
      <c r="K176" s="176" t="s">
        <v>245</v>
      </c>
      <c r="L176" s="178" t="s">
        <v>28</v>
      </c>
      <c r="M176" s="239"/>
      <c r="N176" s="89"/>
      <c r="O176" s="89"/>
      <c r="P176" s="89"/>
      <c r="Q176" s="89"/>
      <c r="R176" s="89"/>
      <c r="S176" s="89"/>
      <c r="T176" s="89"/>
      <c r="U176" s="107"/>
      <c r="V176" s="107"/>
      <c r="W176" s="107"/>
    </row>
    <row r="177" spans="1:23" ht="25.5">
      <c r="A177" s="231"/>
      <c r="B177" s="232"/>
      <c r="C177" s="233"/>
      <c r="D177" s="234"/>
      <c r="G177" s="64" t="s">
        <v>294</v>
      </c>
      <c r="H177" s="178" t="s">
        <v>297</v>
      </c>
      <c r="I177" s="178" t="s">
        <v>297</v>
      </c>
      <c r="J177" s="178" t="s">
        <v>297</v>
      </c>
      <c r="K177" s="178" t="s">
        <v>297</v>
      </c>
      <c r="L177" s="178" t="s">
        <v>297</v>
      </c>
      <c r="M177" s="239"/>
      <c r="N177" s="89"/>
      <c r="O177" s="89"/>
      <c r="P177" s="89"/>
      <c r="Q177" s="89"/>
      <c r="R177" s="89"/>
      <c r="S177" s="89"/>
      <c r="T177" s="89"/>
      <c r="U177" s="107"/>
      <c r="V177" s="107"/>
      <c r="W177" s="107"/>
    </row>
    <row r="178" spans="1:23" ht="63.75">
      <c r="A178" s="66" t="s">
        <v>320</v>
      </c>
      <c r="B178" s="43" t="s">
        <v>321</v>
      </c>
      <c r="C178" s="77" t="s">
        <v>322</v>
      </c>
      <c r="D178" s="78" t="s">
        <v>530</v>
      </c>
      <c r="E178" s="78" t="s">
        <v>324</v>
      </c>
      <c r="F178" s="43" t="s">
        <v>25</v>
      </c>
      <c r="G178" s="43" t="s">
        <v>325</v>
      </c>
      <c r="H178" s="80" t="s">
        <v>239</v>
      </c>
      <c r="I178" s="80" t="s">
        <v>241</v>
      </c>
      <c r="J178" s="80" t="s">
        <v>243</v>
      </c>
      <c r="K178" s="80" t="s">
        <v>246</v>
      </c>
      <c r="L178" s="80" t="s">
        <v>248</v>
      </c>
      <c r="M178" s="239"/>
      <c r="N178" s="89"/>
      <c r="O178" s="89"/>
      <c r="P178" s="89"/>
      <c r="Q178" s="89"/>
      <c r="R178" s="89"/>
      <c r="S178" s="89"/>
      <c r="T178" s="89"/>
      <c r="U178" s="107"/>
      <c r="V178" s="107"/>
      <c r="W178" s="107"/>
    </row>
    <row r="179" spans="1:23">
      <c r="A179" s="208" t="s">
        <v>347</v>
      </c>
      <c r="B179" s="79" t="s">
        <v>528</v>
      </c>
      <c r="C179" s="207" t="s">
        <v>349</v>
      </c>
      <c r="D179" s="208" t="s">
        <v>356</v>
      </c>
      <c r="E179" s="79" t="s">
        <v>528</v>
      </c>
      <c r="F179" s="79" t="s">
        <v>528</v>
      </c>
      <c r="G179" s="79" t="s">
        <v>528</v>
      </c>
      <c r="H179" s="10" t="s">
        <v>352</v>
      </c>
      <c r="I179" s="10" t="s">
        <v>352</v>
      </c>
      <c r="J179" s="10" t="s">
        <v>352</v>
      </c>
      <c r="K179" s="10" t="s">
        <v>352</v>
      </c>
      <c r="L179" s="10" t="s">
        <v>352</v>
      </c>
      <c r="M179" s="239"/>
      <c r="N179" s="85" t="s">
        <v>531</v>
      </c>
      <c r="O179" s="85"/>
      <c r="P179" s="85"/>
      <c r="Q179" s="85"/>
      <c r="R179" s="89"/>
      <c r="S179" s="89"/>
      <c r="T179" s="89"/>
      <c r="U179" s="107"/>
      <c r="V179" s="107"/>
      <c r="W179" s="107"/>
    </row>
    <row r="180" spans="1:23">
      <c r="A180" s="208" t="s">
        <v>347</v>
      </c>
      <c r="B180" s="79" t="s">
        <v>528</v>
      </c>
      <c r="C180" s="207" t="s">
        <v>349</v>
      </c>
      <c r="D180" s="208" t="s">
        <v>533</v>
      </c>
      <c r="E180" s="79" t="s">
        <v>528</v>
      </c>
      <c r="F180" s="79" t="s">
        <v>528</v>
      </c>
      <c r="G180" s="79" t="s">
        <v>528</v>
      </c>
      <c r="H180" s="10" t="s">
        <v>352</v>
      </c>
      <c r="I180" s="10" t="s">
        <v>352</v>
      </c>
      <c r="J180" s="10" t="s">
        <v>352</v>
      </c>
      <c r="K180" s="10" t="s">
        <v>352</v>
      </c>
      <c r="L180" s="10" t="s">
        <v>352</v>
      </c>
      <c r="M180" s="239"/>
      <c r="N180" s="324" t="s">
        <v>532</v>
      </c>
      <c r="O180" s="324"/>
      <c r="P180" s="324"/>
      <c r="Q180" s="324"/>
      <c r="R180" s="89"/>
      <c r="S180" s="89"/>
      <c r="T180" s="89"/>
      <c r="U180" s="107"/>
      <c r="V180" s="107"/>
      <c r="W180" s="107"/>
    </row>
    <row r="181" spans="1:23">
      <c r="A181" s="208" t="s">
        <v>360</v>
      </c>
      <c r="B181" s="79" t="s">
        <v>528</v>
      </c>
      <c r="C181" s="207" t="s">
        <v>349</v>
      </c>
      <c r="D181" s="208" t="s">
        <v>534</v>
      </c>
      <c r="E181" s="79" t="s">
        <v>528</v>
      </c>
      <c r="F181" s="79" t="s">
        <v>528</v>
      </c>
      <c r="G181" s="79" t="s">
        <v>528</v>
      </c>
      <c r="H181" s="10" t="s">
        <v>352</v>
      </c>
      <c r="I181" s="10" t="s">
        <v>352</v>
      </c>
      <c r="J181" s="10" t="s">
        <v>352</v>
      </c>
      <c r="K181" s="10" t="s">
        <v>352</v>
      </c>
      <c r="L181" s="10" t="s">
        <v>352</v>
      </c>
      <c r="M181" s="239"/>
      <c r="N181" s="324"/>
      <c r="O181" s="324"/>
      <c r="P181" s="324"/>
      <c r="Q181" s="324"/>
      <c r="R181" s="89"/>
      <c r="S181" s="89"/>
      <c r="T181" s="89"/>
      <c r="U181" s="107"/>
      <c r="V181" s="107"/>
      <c r="W181" s="107"/>
    </row>
    <row r="182" spans="1:23">
      <c r="A182" s="208" t="s">
        <v>360</v>
      </c>
      <c r="B182" s="79" t="s">
        <v>528</v>
      </c>
      <c r="C182" s="207" t="s">
        <v>349</v>
      </c>
      <c r="D182" s="206" t="s">
        <v>536</v>
      </c>
      <c r="E182" s="79" t="s">
        <v>528</v>
      </c>
      <c r="F182" s="79" t="s">
        <v>528</v>
      </c>
      <c r="G182" s="79" t="s">
        <v>528</v>
      </c>
      <c r="H182" s="10" t="s">
        <v>352</v>
      </c>
      <c r="I182" s="10" t="s">
        <v>352</v>
      </c>
      <c r="J182" s="10" t="s">
        <v>352</v>
      </c>
      <c r="K182" s="10" t="s">
        <v>352</v>
      </c>
      <c r="L182" s="10" t="s">
        <v>352</v>
      </c>
      <c r="M182" s="239"/>
      <c r="N182" s="85" t="s">
        <v>535</v>
      </c>
      <c r="O182" s="85"/>
      <c r="P182" s="85"/>
      <c r="Q182" s="85"/>
      <c r="R182" s="89"/>
      <c r="S182" s="89"/>
      <c r="T182" s="89"/>
      <c r="U182" s="107"/>
      <c r="V182" s="107"/>
      <c r="W182" s="107"/>
    </row>
    <row r="183" spans="1:23">
      <c r="A183" s="208" t="s">
        <v>363</v>
      </c>
      <c r="B183" s="79" t="s">
        <v>528</v>
      </c>
      <c r="C183" s="207" t="s">
        <v>349</v>
      </c>
      <c r="D183" s="206" t="s">
        <v>538</v>
      </c>
      <c r="E183" s="79" t="s">
        <v>528</v>
      </c>
      <c r="F183" s="79" t="s">
        <v>528</v>
      </c>
      <c r="G183" s="79" t="s">
        <v>528</v>
      </c>
      <c r="H183" s="10" t="s">
        <v>352</v>
      </c>
      <c r="I183" s="10" t="s">
        <v>352</v>
      </c>
      <c r="J183" s="10" t="s">
        <v>352</v>
      </c>
      <c r="K183" s="10" t="s">
        <v>352</v>
      </c>
      <c r="L183" s="10" t="s">
        <v>352</v>
      </c>
      <c r="M183" s="239"/>
      <c r="N183" s="85" t="s">
        <v>537</v>
      </c>
      <c r="O183" s="85"/>
      <c r="P183" s="85"/>
      <c r="Q183" s="85"/>
      <c r="R183" s="89"/>
      <c r="S183" s="89"/>
      <c r="T183" s="89"/>
      <c r="U183" s="107"/>
      <c r="V183" s="107"/>
      <c r="W183" s="107"/>
    </row>
    <row r="184" spans="1:23">
      <c r="A184" s="208" t="s">
        <v>363</v>
      </c>
      <c r="B184" s="79" t="s">
        <v>528</v>
      </c>
      <c r="C184" s="207" t="s">
        <v>349</v>
      </c>
      <c r="D184" s="208" t="s">
        <v>540</v>
      </c>
      <c r="E184" s="79" t="s">
        <v>528</v>
      </c>
      <c r="F184" s="79" t="s">
        <v>528</v>
      </c>
      <c r="G184" s="79" t="s">
        <v>528</v>
      </c>
      <c r="H184" s="10" t="s">
        <v>352</v>
      </c>
      <c r="I184" s="10" t="s">
        <v>352</v>
      </c>
      <c r="J184" s="10" t="s">
        <v>352</v>
      </c>
      <c r="K184" s="10" t="s">
        <v>352</v>
      </c>
      <c r="L184" s="10" t="s">
        <v>352</v>
      </c>
      <c r="M184" s="239"/>
      <c r="N184" s="85" t="s">
        <v>539</v>
      </c>
      <c r="O184" s="85"/>
      <c r="P184" s="85"/>
      <c r="Q184" s="85"/>
      <c r="R184" s="89"/>
      <c r="S184" s="89"/>
      <c r="T184" s="89"/>
      <c r="U184" s="107"/>
      <c r="V184" s="107"/>
      <c r="W184" s="107"/>
    </row>
    <row r="185" spans="1:23">
      <c r="A185" s="208" t="s">
        <v>369</v>
      </c>
      <c r="B185" s="79" t="s">
        <v>528</v>
      </c>
      <c r="C185" s="207" t="s">
        <v>349</v>
      </c>
      <c r="D185" s="208" t="s">
        <v>541</v>
      </c>
      <c r="E185" s="79" t="s">
        <v>528</v>
      </c>
      <c r="F185" s="79" t="s">
        <v>528</v>
      </c>
      <c r="G185" s="79" t="s">
        <v>528</v>
      </c>
      <c r="H185" s="10" t="s">
        <v>352</v>
      </c>
      <c r="I185" s="10" t="s">
        <v>352</v>
      </c>
      <c r="J185" s="10" t="s">
        <v>352</v>
      </c>
      <c r="K185" s="10" t="s">
        <v>352</v>
      </c>
      <c r="L185" s="10" t="s">
        <v>352</v>
      </c>
      <c r="M185" s="239"/>
      <c r="N185" s="85"/>
      <c r="O185" s="85"/>
      <c r="P185" s="85"/>
      <c r="Q185" s="85"/>
      <c r="R185" s="89"/>
      <c r="S185" s="89"/>
      <c r="T185" s="89"/>
      <c r="U185" s="107"/>
      <c r="V185" s="107"/>
      <c r="W185" s="107"/>
    </row>
    <row r="186" spans="1:23">
      <c r="A186" s="208" t="s">
        <v>369</v>
      </c>
      <c r="B186" s="79" t="s">
        <v>528</v>
      </c>
      <c r="C186" s="207" t="s">
        <v>349</v>
      </c>
      <c r="D186" s="208" t="s">
        <v>542</v>
      </c>
      <c r="E186" s="79" t="s">
        <v>528</v>
      </c>
      <c r="F186" s="79" t="s">
        <v>528</v>
      </c>
      <c r="G186" s="79" t="s">
        <v>528</v>
      </c>
      <c r="H186" s="10" t="s">
        <v>352</v>
      </c>
      <c r="I186" s="10" t="s">
        <v>352</v>
      </c>
      <c r="J186" s="10" t="s">
        <v>352</v>
      </c>
      <c r="K186" s="10" t="s">
        <v>352</v>
      </c>
      <c r="L186" s="10" t="s">
        <v>352</v>
      </c>
      <c r="M186" s="239"/>
      <c r="N186" s="89"/>
      <c r="O186" s="89"/>
      <c r="P186" s="89"/>
      <c r="Q186" s="89"/>
      <c r="R186" s="89"/>
      <c r="S186" s="89"/>
      <c r="T186" s="89"/>
      <c r="U186" s="107"/>
      <c r="V186" s="107"/>
      <c r="W186" s="107"/>
    </row>
    <row r="187" spans="1:23">
      <c r="A187" s="208" t="s">
        <v>369</v>
      </c>
      <c r="B187" s="79" t="s">
        <v>528</v>
      </c>
      <c r="C187" s="207" t="s">
        <v>349</v>
      </c>
      <c r="D187" s="208" t="s">
        <v>543</v>
      </c>
      <c r="E187" s="79" t="s">
        <v>528</v>
      </c>
      <c r="F187" s="79" t="s">
        <v>528</v>
      </c>
      <c r="G187" s="79" t="s">
        <v>528</v>
      </c>
      <c r="H187" s="10" t="s">
        <v>352</v>
      </c>
      <c r="I187" s="10" t="s">
        <v>352</v>
      </c>
      <c r="J187" s="10" t="s">
        <v>352</v>
      </c>
      <c r="K187" s="10" t="s">
        <v>352</v>
      </c>
      <c r="L187" s="10" t="s">
        <v>352</v>
      </c>
      <c r="M187" s="239"/>
      <c r="N187" s="89"/>
      <c r="O187" s="89"/>
      <c r="P187" s="89"/>
      <c r="Q187" s="89"/>
      <c r="R187" s="89"/>
      <c r="S187" s="89"/>
      <c r="T187" s="89"/>
      <c r="U187" s="107"/>
      <c r="V187" s="107"/>
      <c r="W187" s="107"/>
    </row>
    <row r="188" spans="1:23">
      <c r="A188" s="208" t="s">
        <v>375</v>
      </c>
      <c r="B188" s="79" t="s">
        <v>528</v>
      </c>
      <c r="C188" s="207" t="s">
        <v>376</v>
      </c>
      <c r="D188" s="208" t="s">
        <v>544</v>
      </c>
      <c r="E188" s="79" t="s">
        <v>528</v>
      </c>
      <c r="F188" s="79" t="s">
        <v>528</v>
      </c>
      <c r="G188" s="79" t="s">
        <v>528</v>
      </c>
      <c r="H188" s="10" t="s">
        <v>352</v>
      </c>
      <c r="I188" s="10" t="s">
        <v>352</v>
      </c>
      <c r="J188" s="10" t="s">
        <v>352</v>
      </c>
      <c r="K188" s="10" t="s">
        <v>352</v>
      </c>
      <c r="L188" s="10" t="s">
        <v>352</v>
      </c>
      <c r="M188" s="239"/>
      <c r="N188" s="89"/>
      <c r="O188" s="89"/>
      <c r="P188" s="89"/>
      <c r="Q188" s="89"/>
      <c r="R188" s="89"/>
      <c r="S188" s="89"/>
      <c r="T188" s="89"/>
      <c r="U188" s="107"/>
      <c r="V188" s="107"/>
      <c r="W188" s="107"/>
    </row>
    <row r="189" spans="1:23">
      <c r="A189" s="208" t="s">
        <v>375</v>
      </c>
      <c r="B189" s="79" t="s">
        <v>528</v>
      </c>
      <c r="C189" s="207" t="s">
        <v>376</v>
      </c>
      <c r="D189" s="208" t="s">
        <v>545</v>
      </c>
      <c r="E189" s="79" t="s">
        <v>528</v>
      </c>
      <c r="F189" s="79" t="s">
        <v>528</v>
      </c>
      <c r="G189" s="79" t="s">
        <v>528</v>
      </c>
      <c r="H189" s="10" t="s">
        <v>352</v>
      </c>
      <c r="I189" s="10" t="s">
        <v>352</v>
      </c>
      <c r="J189" s="10" t="s">
        <v>352</v>
      </c>
      <c r="K189" s="10" t="s">
        <v>352</v>
      </c>
      <c r="L189" s="10" t="s">
        <v>352</v>
      </c>
      <c r="M189" s="239"/>
      <c r="N189" s="89"/>
      <c r="O189" s="89"/>
      <c r="P189" s="89"/>
      <c r="Q189" s="89"/>
      <c r="R189" s="89"/>
      <c r="S189" s="89"/>
      <c r="T189" s="89"/>
      <c r="U189" s="107"/>
      <c r="V189" s="107"/>
      <c r="W189" s="107"/>
    </row>
    <row r="190" spans="1:23">
      <c r="A190" s="208" t="s">
        <v>375</v>
      </c>
      <c r="B190" s="79" t="s">
        <v>528</v>
      </c>
      <c r="C190" s="207" t="s">
        <v>349</v>
      </c>
      <c r="D190" s="208" t="s">
        <v>546</v>
      </c>
      <c r="E190" s="79" t="s">
        <v>528</v>
      </c>
      <c r="F190" s="79" t="s">
        <v>528</v>
      </c>
      <c r="G190" s="79" t="s">
        <v>528</v>
      </c>
      <c r="H190" s="10" t="s">
        <v>352</v>
      </c>
      <c r="I190" s="10" t="s">
        <v>352</v>
      </c>
      <c r="J190" s="10" t="s">
        <v>352</v>
      </c>
      <c r="K190" s="10" t="s">
        <v>352</v>
      </c>
      <c r="L190" s="10" t="s">
        <v>352</v>
      </c>
      <c r="M190" s="239"/>
      <c r="N190" s="89"/>
      <c r="O190" s="89"/>
      <c r="P190" s="89"/>
      <c r="Q190" s="89"/>
      <c r="R190" s="89"/>
      <c r="S190" s="89"/>
      <c r="T190" s="89"/>
      <c r="U190" s="107"/>
      <c r="V190" s="107"/>
      <c r="W190" s="107"/>
    </row>
    <row r="191" spans="1:23">
      <c r="A191" s="208" t="s">
        <v>401</v>
      </c>
      <c r="B191" s="79" t="s">
        <v>528</v>
      </c>
      <c r="C191" s="207" t="s">
        <v>349</v>
      </c>
      <c r="D191" s="206" t="s">
        <v>547</v>
      </c>
      <c r="E191" s="79" t="s">
        <v>528</v>
      </c>
      <c r="F191" s="79" t="s">
        <v>528</v>
      </c>
      <c r="G191" s="79" t="s">
        <v>528</v>
      </c>
      <c r="H191" s="10" t="s">
        <v>352</v>
      </c>
      <c r="I191" s="10" t="s">
        <v>352</v>
      </c>
      <c r="J191" s="10" t="s">
        <v>352</v>
      </c>
      <c r="K191" s="10" t="s">
        <v>352</v>
      </c>
      <c r="L191" s="10" t="s">
        <v>352</v>
      </c>
      <c r="M191" s="239"/>
      <c r="N191" s="89"/>
      <c r="O191" s="89"/>
      <c r="P191" s="89"/>
      <c r="Q191" s="89"/>
      <c r="R191" s="89"/>
      <c r="S191" s="89"/>
      <c r="T191" s="89"/>
      <c r="U191" s="107"/>
      <c r="V191" s="107"/>
      <c r="W191" s="107"/>
    </row>
    <row r="192" spans="1:23">
      <c r="A192" s="208" t="s">
        <v>401</v>
      </c>
      <c r="B192" s="79" t="s">
        <v>528</v>
      </c>
      <c r="C192" s="207" t="s">
        <v>349</v>
      </c>
      <c r="D192" s="208" t="s">
        <v>548</v>
      </c>
      <c r="E192" s="79" t="s">
        <v>528</v>
      </c>
      <c r="F192" s="79" t="s">
        <v>528</v>
      </c>
      <c r="G192" s="79" t="s">
        <v>528</v>
      </c>
      <c r="H192" s="10" t="s">
        <v>352</v>
      </c>
      <c r="I192" s="10" t="s">
        <v>352</v>
      </c>
      <c r="J192" s="10" t="s">
        <v>352</v>
      </c>
      <c r="K192" s="10" t="s">
        <v>352</v>
      </c>
      <c r="L192" s="10" t="s">
        <v>352</v>
      </c>
      <c r="M192" s="239"/>
      <c r="N192" s="89"/>
      <c r="O192" s="89"/>
      <c r="P192" s="89"/>
      <c r="Q192" s="89"/>
      <c r="R192" s="89"/>
      <c r="S192" s="89"/>
      <c r="T192" s="89"/>
      <c r="U192" s="107"/>
      <c r="V192" s="107"/>
      <c r="W192" s="107"/>
    </row>
    <row r="193" spans="1:23">
      <c r="A193" s="208" t="s">
        <v>409</v>
      </c>
      <c r="B193" s="79" t="s">
        <v>528</v>
      </c>
      <c r="C193" s="207" t="s">
        <v>349</v>
      </c>
      <c r="D193" s="208" t="s">
        <v>549</v>
      </c>
      <c r="E193" s="79" t="s">
        <v>528</v>
      </c>
      <c r="F193" s="79" t="s">
        <v>528</v>
      </c>
      <c r="G193" s="79" t="s">
        <v>528</v>
      </c>
      <c r="H193" s="10" t="s">
        <v>352</v>
      </c>
      <c r="I193" s="10" t="s">
        <v>352</v>
      </c>
      <c r="J193" s="10" t="s">
        <v>352</v>
      </c>
      <c r="K193" s="10" t="s">
        <v>352</v>
      </c>
      <c r="L193" s="10" t="s">
        <v>352</v>
      </c>
      <c r="M193" s="239"/>
      <c r="N193" s="89"/>
      <c r="O193" s="89"/>
      <c r="P193" s="89"/>
      <c r="Q193" s="89"/>
      <c r="R193" s="89"/>
      <c r="S193" s="89"/>
      <c r="T193" s="89"/>
      <c r="U193" s="107"/>
      <c r="V193" s="107"/>
      <c r="W193" s="107"/>
    </row>
    <row r="194" spans="1:23">
      <c r="A194" s="208" t="s">
        <v>409</v>
      </c>
      <c r="B194" s="79" t="s">
        <v>528</v>
      </c>
      <c r="C194" s="207" t="s">
        <v>349</v>
      </c>
      <c r="D194" s="208" t="s">
        <v>550</v>
      </c>
      <c r="E194" s="79" t="s">
        <v>528</v>
      </c>
      <c r="F194" s="79" t="s">
        <v>528</v>
      </c>
      <c r="G194" s="79" t="s">
        <v>528</v>
      </c>
      <c r="H194" s="10" t="s">
        <v>352</v>
      </c>
      <c r="I194" s="10" t="s">
        <v>352</v>
      </c>
      <c r="J194" s="10" t="s">
        <v>352</v>
      </c>
      <c r="K194" s="10" t="s">
        <v>352</v>
      </c>
      <c r="L194" s="10" t="s">
        <v>352</v>
      </c>
      <c r="M194" s="239"/>
      <c r="N194" s="89"/>
      <c r="O194" s="89"/>
      <c r="P194" s="89"/>
      <c r="Q194" s="89"/>
      <c r="R194" s="89"/>
      <c r="S194" s="89"/>
      <c r="T194" s="89"/>
      <c r="U194" s="107"/>
      <c r="V194" s="107"/>
      <c r="W194" s="107"/>
    </row>
    <row r="195" spans="1:23">
      <c r="A195" s="208" t="s">
        <v>409</v>
      </c>
      <c r="B195" s="79" t="s">
        <v>528</v>
      </c>
      <c r="C195" s="207" t="s">
        <v>349</v>
      </c>
      <c r="D195" s="208" t="s">
        <v>551</v>
      </c>
      <c r="E195" s="79" t="s">
        <v>528</v>
      </c>
      <c r="F195" s="79" t="s">
        <v>528</v>
      </c>
      <c r="G195" s="79" t="s">
        <v>528</v>
      </c>
      <c r="H195" s="10" t="s">
        <v>352</v>
      </c>
      <c r="I195" s="10" t="s">
        <v>352</v>
      </c>
      <c r="J195" s="10" t="s">
        <v>352</v>
      </c>
      <c r="K195" s="10" t="s">
        <v>352</v>
      </c>
      <c r="L195" s="10" t="s">
        <v>352</v>
      </c>
      <c r="M195" s="239"/>
      <c r="N195" s="89"/>
      <c r="O195" s="89"/>
      <c r="P195" s="89"/>
      <c r="Q195" s="89"/>
      <c r="R195" s="89"/>
      <c r="S195" s="89"/>
      <c r="T195" s="89"/>
      <c r="U195" s="107"/>
      <c r="V195" s="107"/>
      <c r="W195" s="107"/>
    </row>
    <row r="196" spans="1:23">
      <c r="A196" s="208" t="s">
        <v>418</v>
      </c>
      <c r="B196" s="79" t="s">
        <v>528</v>
      </c>
      <c r="C196" s="207" t="s">
        <v>420</v>
      </c>
      <c r="D196" s="208" t="s">
        <v>552</v>
      </c>
      <c r="E196" s="79" t="s">
        <v>528</v>
      </c>
      <c r="F196" s="79" t="s">
        <v>528</v>
      </c>
      <c r="G196" s="79" t="s">
        <v>528</v>
      </c>
      <c r="H196" s="10" t="s">
        <v>352</v>
      </c>
      <c r="I196" s="10" t="s">
        <v>352</v>
      </c>
      <c r="J196" s="10" t="s">
        <v>352</v>
      </c>
      <c r="K196" s="10" t="s">
        <v>352</v>
      </c>
      <c r="L196" s="10" t="s">
        <v>352</v>
      </c>
      <c r="M196" s="239"/>
      <c r="N196" s="89"/>
      <c r="O196" s="89"/>
      <c r="P196" s="89"/>
      <c r="Q196" s="89"/>
      <c r="R196" s="89"/>
      <c r="S196" s="89"/>
      <c r="T196" s="89"/>
      <c r="U196" s="107"/>
      <c r="V196" s="107"/>
      <c r="W196" s="107"/>
    </row>
    <row r="197" spans="1:23">
      <c r="A197" s="208" t="s">
        <v>418</v>
      </c>
      <c r="B197" s="79" t="s">
        <v>528</v>
      </c>
      <c r="C197" s="207" t="s">
        <v>420</v>
      </c>
      <c r="D197" s="206" t="s">
        <v>553</v>
      </c>
      <c r="E197" s="79" t="s">
        <v>528</v>
      </c>
      <c r="F197" s="79" t="s">
        <v>528</v>
      </c>
      <c r="G197" s="79" t="s">
        <v>528</v>
      </c>
      <c r="H197" s="10" t="s">
        <v>352</v>
      </c>
      <c r="I197" s="10" t="s">
        <v>352</v>
      </c>
      <c r="J197" s="10" t="s">
        <v>352</v>
      </c>
      <c r="K197" s="10" t="s">
        <v>352</v>
      </c>
      <c r="L197" s="10" t="s">
        <v>352</v>
      </c>
      <c r="M197" s="239"/>
      <c r="N197" s="89"/>
      <c r="O197" s="89"/>
      <c r="P197" s="89"/>
      <c r="Q197" s="89"/>
      <c r="R197" s="89"/>
      <c r="S197" s="89"/>
      <c r="T197" s="89"/>
      <c r="U197" s="107"/>
      <c r="V197" s="107"/>
      <c r="W197" s="107"/>
    </row>
    <row r="198" spans="1:23">
      <c r="A198" s="208" t="s">
        <v>418</v>
      </c>
      <c r="B198" s="79" t="s">
        <v>528</v>
      </c>
      <c r="C198" s="207" t="s">
        <v>420</v>
      </c>
      <c r="D198" s="208" t="s">
        <v>554</v>
      </c>
      <c r="E198" s="79" t="s">
        <v>528</v>
      </c>
      <c r="F198" s="79" t="s">
        <v>528</v>
      </c>
      <c r="G198" s="79" t="s">
        <v>528</v>
      </c>
      <c r="H198" s="10" t="s">
        <v>352</v>
      </c>
      <c r="I198" s="10" t="s">
        <v>352</v>
      </c>
      <c r="J198" s="10" t="s">
        <v>352</v>
      </c>
      <c r="K198" s="10" t="s">
        <v>352</v>
      </c>
      <c r="L198" s="10" t="s">
        <v>352</v>
      </c>
      <c r="M198" s="239"/>
      <c r="N198" s="89"/>
      <c r="O198" s="89"/>
      <c r="P198" s="89"/>
      <c r="Q198" s="89"/>
      <c r="R198" s="89"/>
      <c r="S198" s="89"/>
      <c r="T198" s="89"/>
      <c r="U198" s="107"/>
      <c r="V198" s="107"/>
      <c r="W198" s="107"/>
    </row>
    <row r="199" spans="1:23">
      <c r="A199" s="208" t="s">
        <v>418</v>
      </c>
      <c r="B199" s="79" t="s">
        <v>528</v>
      </c>
      <c r="C199" s="207" t="s">
        <v>420</v>
      </c>
      <c r="D199" s="208" t="s">
        <v>555</v>
      </c>
      <c r="E199" s="79" t="s">
        <v>528</v>
      </c>
      <c r="F199" s="79" t="s">
        <v>528</v>
      </c>
      <c r="G199" s="79" t="s">
        <v>528</v>
      </c>
      <c r="H199" s="10" t="s">
        <v>352</v>
      </c>
      <c r="I199" s="10" t="s">
        <v>352</v>
      </c>
      <c r="J199" s="10" t="s">
        <v>352</v>
      </c>
      <c r="K199" s="10" t="s">
        <v>352</v>
      </c>
      <c r="L199" s="10" t="s">
        <v>352</v>
      </c>
      <c r="M199" s="239"/>
      <c r="N199" s="89"/>
      <c r="O199" s="89"/>
      <c r="P199" s="89"/>
      <c r="Q199" s="89"/>
      <c r="R199" s="89"/>
      <c r="S199" s="89"/>
      <c r="T199" s="89"/>
      <c r="U199" s="107"/>
      <c r="V199" s="107"/>
      <c r="W199" s="107"/>
    </row>
    <row r="200" spans="1:23">
      <c r="A200" s="208" t="s">
        <v>418</v>
      </c>
      <c r="B200" s="79" t="s">
        <v>528</v>
      </c>
      <c r="C200" s="207" t="s">
        <v>349</v>
      </c>
      <c r="D200" s="208" t="s">
        <v>556</v>
      </c>
      <c r="E200" s="79" t="s">
        <v>528</v>
      </c>
      <c r="F200" s="79" t="s">
        <v>528</v>
      </c>
      <c r="G200" s="79" t="s">
        <v>528</v>
      </c>
      <c r="H200" s="10" t="s">
        <v>352</v>
      </c>
      <c r="I200" s="10" t="s">
        <v>352</v>
      </c>
      <c r="J200" s="10" t="s">
        <v>352</v>
      </c>
      <c r="K200" s="10" t="s">
        <v>352</v>
      </c>
      <c r="L200" s="10" t="s">
        <v>352</v>
      </c>
      <c r="M200" s="239"/>
      <c r="N200" s="89"/>
      <c r="O200" s="89"/>
      <c r="P200" s="89"/>
      <c r="Q200" s="89"/>
      <c r="R200" s="89"/>
      <c r="S200" s="89"/>
      <c r="T200" s="89"/>
      <c r="U200" s="107"/>
      <c r="V200" s="107"/>
      <c r="W200" s="107"/>
    </row>
    <row r="201" spans="1:23">
      <c r="A201" s="67" t="s">
        <v>434</v>
      </c>
      <c r="B201" s="79" t="s">
        <v>528</v>
      </c>
      <c r="C201" s="207" t="s">
        <v>349</v>
      </c>
      <c r="D201" s="208" t="s">
        <v>557</v>
      </c>
      <c r="E201" s="79" t="s">
        <v>528</v>
      </c>
      <c r="F201" s="79" t="s">
        <v>528</v>
      </c>
      <c r="G201" s="79" t="s">
        <v>528</v>
      </c>
      <c r="H201" s="10" t="s">
        <v>352</v>
      </c>
      <c r="I201" s="10" t="s">
        <v>352</v>
      </c>
      <c r="J201" s="10" t="s">
        <v>352</v>
      </c>
      <c r="K201" s="10" t="s">
        <v>352</v>
      </c>
      <c r="L201" s="10" t="s">
        <v>352</v>
      </c>
      <c r="M201" s="239"/>
      <c r="N201" s="89"/>
      <c r="O201" s="89"/>
      <c r="P201" s="89"/>
      <c r="Q201" s="89"/>
      <c r="R201" s="89"/>
      <c r="S201" s="89"/>
      <c r="T201" s="89"/>
      <c r="U201" s="107"/>
      <c r="V201" s="107"/>
      <c r="W201" s="107"/>
    </row>
    <row r="202" spans="1:23">
      <c r="A202" s="67" t="s">
        <v>434</v>
      </c>
      <c r="B202" s="79" t="s">
        <v>528</v>
      </c>
      <c r="C202" s="207" t="s">
        <v>349</v>
      </c>
      <c r="D202" s="206" t="s">
        <v>558</v>
      </c>
      <c r="E202" s="79" t="s">
        <v>528</v>
      </c>
      <c r="F202" s="79" t="s">
        <v>528</v>
      </c>
      <c r="G202" s="79" t="s">
        <v>528</v>
      </c>
      <c r="H202" s="10" t="s">
        <v>352</v>
      </c>
      <c r="I202" s="10" t="s">
        <v>352</v>
      </c>
      <c r="J202" s="10" t="s">
        <v>352</v>
      </c>
      <c r="K202" s="10" t="s">
        <v>352</v>
      </c>
      <c r="L202" s="10" t="s">
        <v>352</v>
      </c>
      <c r="M202" s="239"/>
      <c r="N202" s="89"/>
      <c r="O202" s="89"/>
      <c r="P202" s="89"/>
      <c r="Q202" s="89"/>
      <c r="R202" s="89"/>
      <c r="S202" s="89"/>
      <c r="T202" s="89"/>
      <c r="U202" s="107"/>
      <c r="V202" s="107"/>
      <c r="W202" s="107"/>
    </row>
    <row r="203" spans="1:23">
      <c r="A203" s="208" t="s">
        <v>442</v>
      </c>
      <c r="B203" s="79" t="s">
        <v>528</v>
      </c>
      <c r="C203" s="207" t="s">
        <v>349</v>
      </c>
      <c r="D203" s="208" t="s">
        <v>559</v>
      </c>
      <c r="E203" s="79" t="s">
        <v>528</v>
      </c>
      <c r="F203" s="79" t="s">
        <v>528</v>
      </c>
      <c r="G203" s="79" t="s">
        <v>528</v>
      </c>
      <c r="H203" s="10" t="s">
        <v>352</v>
      </c>
      <c r="I203" s="10" t="s">
        <v>352</v>
      </c>
      <c r="J203" s="10" t="s">
        <v>352</v>
      </c>
      <c r="K203" s="10" t="s">
        <v>352</v>
      </c>
      <c r="L203" s="10" t="s">
        <v>352</v>
      </c>
      <c r="M203" s="239"/>
      <c r="N203" s="89"/>
      <c r="O203" s="89"/>
      <c r="P203" s="89"/>
      <c r="Q203" s="89"/>
      <c r="R203" s="89"/>
      <c r="S203" s="89"/>
      <c r="T203" s="89"/>
      <c r="U203" s="107"/>
      <c r="V203" s="107"/>
      <c r="W203" s="107"/>
    </row>
    <row r="204" spans="1:23">
      <c r="A204" s="208" t="s">
        <v>442</v>
      </c>
      <c r="B204" s="79" t="s">
        <v>528</v>
      </c>
      <c r="C204" s="207" t="s">
        <v>349</v>
      </c>
      <c r="D204" s="208" t="s">
        <v>560</v>
      </c>
      <c r="E204" s="79" t="s">
        <v>528</v>
      </c>
      <c r="F204" s="79" t="s">
        <v>528</v>
      </c>
      <c r="G204" s="79" t="s">
        <v>528</v>
      </c>
      <c r="H204" s="10" t="s">
        <v>352</v>
      </c>
      <c r="I204" s="10" t="s">
        <v>352</v>
      </c>
      <c r="J204" s="10" t="s">
        <v>352</v>
      </c>
      <c r="K204" s="10" t="s">
        <v>352</v>
      </c>
      <c r="L204" s="10" t="s">
        <v>352</v>
      </c>
      <c r="M204" s="239"/>
      <c r="N204" s="89"/>
      <c r="O204" s="89"/>
      <c r="P204" s="89"/>
      <c r="Q204" s="89"/>
      <c r="R204" s="89"/>
      <c r="S204" s="89"/>
      <c r="T204" s="89"/>
      <c r="U204" s="107"/>
      <c r="V204" s="107"/>
      <c r="W204" s="107"/>
    </row>
    <row r="205" spans="1:23">
      <c r="A205" s="208" t="s">
        <v>450</v>
      </c>
      <c r="B205" s="79" t="s">
        <v>528</v>
      </c>
      <c r="C205" s="207" t="s">
        <v>349</v>
      </c>
      <c r="D205" s="208" t="s">
        <v>561</v>
      </c>
      <c r="E205" s="79" t="s">
        <v>528</v>
      </c>
      <c r="F205" s="79" t="s">
        <v>528</v>
      </c>
      <c r="G205" s="79" t="s">
        <v>528</v>
      </c>
      <c r="H205" s="10" t="s">
        <v>352</v>
      </c>
      <c r="I205" s="10" t="s">
        <v>352</v>
      </c>
      <c r="J205" s="10" t="s">
        <v>352</v>
      </c>
      <c r="K205" s="10" t="s">
        <v>352</v>
      </c>
      <c r="L205" s="10" t="s">
        <v>352</v>
      </c>
      <c r="M205" s="239"/>
      <c r="N205" s="89"/>
      <c r="O205" s="89"/>
      <c r="P205" s="89"/>
      <c r="Q205" s="89"/>
      <c r="R205" s="89"/>
      <c r="S205" s="89"/>
      <c r="T205" s="89"/>
      <c r="U205" s="107"/>
      <c r="V205" s="107"/>
      <c r="W205" s="107"/>
    </row>
    <row r="206" spans="1:23">
      <c r="A206" s="208" t="s">
        <v>450</v>
      </c>
      <c r="B206" s="79" t="s">
        <v>528</v>
      </c>
      <c r="C206" s="207" t="s">
        <v>349</v>
      </c>
      <c r="D206" s="208" t="s">
        <v>562</v>
      </c>
      <c r="E206" s="79" t="s">
        <v>528</v>
      </c>
      <c r="F206" s="79" t="s">
        <v>528</v>
      </c>
      <c r="G206" s="79" t="s">
        <v>528</v>
      </c>
      <c r="H206" s="10" t="s">
        <v>352</v>
      </c>
      <c r="I206" s="10" t="s">
        <v>352</v>
      </c>
      <c r="J206" s="10" t="s">
        <v>352</v>
      </c>
      <c r="K206" s="10" t="s">
        <v>352</v>
      </c>
      <c r="L206" s="10" t="s">
        <v>352</v>
      </c>
      <c r="M206" s="239"/>
      <c r="N206" s="89"/>
      <c r="O206" s="89"/>
      <c r="P206" s="89"/>
      <c r="Q206" s="89"/>
      <c r="R206" s="89"/>
      <c r="S206" s="89"/>
      <c r="T206" s="89"/>
      <c r="U206" s="107"/>
      <c r="V206" s="107"/>
      <c r="W206" s="107"/>
    </row>
    <row r="207" spans="1:23">
      <c r="A207" s="207" t="s">
        <v>452</v>
      </c>
      <c r="B207" s="79" t="s">
        <v>528</v>
      </c>
      <c r="C207" s="207" t="s">
        <v>349</v>
      </c>
      <c r="D207" s="207" t="s">
        <v>563</v>
      </c>
      <c r="E207" s="79" t="s">
        <v>528</v>
      </c>
      <c r="F207" s="79" t="s">
        <v>528</v>
      </c>
      <c r="G207" s="79" t="s">
        <v>528</v>
      </c>
      <c r="H207" s="10" t="s">
        <v>352</v>
      </c>
      <c r="I207" s="10" t="s">
        <v>352</v>
      </c>
      <c r="J207" s="10" t="s">
        <v>352</v>
      </c>
      <c r="K207" s="10" t="s">
        <v>352</v>
      </c>
      <c r="L207" s="10" t="s">
        <v>352</v>
      </c>
      <c r="M207" s="239"/>
      <c r="N207" s="89"/>
      <c r="O207" s="89"/>
      <c r="P207" s="89"/>
      <c r="Q207" s="89"/>
      <c r="R207" s="89"/>
      <c r="S207" s="89"/>
      <c r="T207" s="89"/>
      <c r="U207" s="107"/>
      <c r="V207" s="107"/>
      <c r="W207" s="107"/>
    </row>
    <row r="208" spans="1:23">
      <c r="A208" s="208" t="s">
        <v>454</v>
      </c>
      <c r="B208" s="79" t="s">
        <v>528</v>
      </c>
      <c r="C208" s="207" t="s">
        <v>456</v>
      </c>
      <c r="D208" s="208" t="s">
        <v>564</v>
      </c>
      <c r="E208" s="79" t="s">
        <v>528</v>
      </c>
      <c r="F208" s="79" t="s">
        <v>528</v>
      </c>
      <c r="G208" s="79" t="s">
        <v>528</v>
      </c>
      <c r="H208" s="10" t="s">
        <v>352</v>
      </c>
      <c r="I208" s="10" t="s">
        <v>352</v>
      </c>
      <c r="J208" s="10" t="s">
        <v>352</v>
      </c>
      <c r="K208" s="10" t="s">
        <v>352</v>
      </c>
      <c r="L208" s="10" t="s">
        <v>352</v>
      </c>
      <c r="M208" s="239"/>
      <c r="N208" s="89"/>
      <c r="O208" s="89"/>
      <c r="P208" s="89"/>
      <c r="Q208" s="89"/>
      <c r="R208" s="89"/>
      <c r="S208" s="89"/>
      <c r="T208" s="89"/>
      <c r="U208" s="107"/>
      <c r="V208" s="107"/>
      <c r="W208" s="107"/>
    </row>
    <row r="209" spans="1:23">
      <c r="A209" s="208" t="s">
        <v>507</v>
      </c>
      <c r="B209" s="79" t="s">
        <v>528</v>
      </c>
      <c r="C209" s="207" t="s">
        <v>349</v>
      </c>
      <c r="D209" s="208" t="s">
        <v>565</v>
      </c>
      <c r="E209" s="79" t="s">
        <v>528</v>
      </c>
      <c r="F209" s="79" t="s">
        <v>528</v>
      </c>
      <c r="G209" s="79" t="s">
        <v>528</v>
      </c>
      <c r="H209" s="10" t="s">
        <v>352</v>
      </c>
      <c r="I209" s="10" t="s">
        <v>352</v>
      </c>
      <c r="J209" s="10" t="s">
        <v>352</v>
      </c>
      <c r="K209" s="10" t="s">
        <v>352</v>
      </c>
      <c r="L209" s="10" t="s">
        <v>352</v>
      </c>
      <c r="M209" s="239"/>
      <c r="N209" s="89"/>
      <c r="O209" s="89"/>
      <c r="P209" s="89"/>
      <c r="Q209" s="89"/>
      <c r="R209" s="89"/>
      <c r="S209" s="89"/>
      <c r="T209" s="89"/>
      <c r="U209" s="107"/>
      <c r="V209" s="107"/>
      <c r="W209" s="107"/>
    </row>
    <row r="210" spans="1:23">
      <c r="A210" s="209" t="s">
        <v>509</v>
      </c>
      <c r="B210" s="79" t="s">
        <v>528</v>
      </c>
      <c r="C210" s="219" t="s">
        <v>349</v>
      </c>
      <c r="D210" s="209" t="s">
        <v>566</v>
      </c>
      <c r="E210" s="79" t="s">
        <v>528</v>
      </c>
      <c r="F210" s="79" t="s">
        <v>528</v>
      </c>
      <c r="G210" s="79" t="s">
        <v>528</v>
      </c>
      <c r="H210" s="10" t="s">
        <v>352</v>
      </c>
      <c r="I210" s="10" t="s">
        <v>352</v>
      </c>
      <c r="J210" s="10" t="s">
        <v>352</v>
      </c>
      <c r="K210" s="10" t="s">
        <v>352</v>
      </c>
      <c r="L210" s="10" t="s">
        <v>352</v>
      </c>
      <c r="M210" s="239"/>
      <c r="N210" s="89"/>
      <c r="O210" s="89"/>
      <c r="P210" s="89"/>
      <c r="Q210" s="89"/>
      <c r="R210" s="89"/>
      <c r="S210" s="89"/>
      <c r="T210" s="89"/>
      <c r="U210" s="107"/>
      <c r="V210" s="107"/>
      <c r="W210" s="107"/>
    </row>
    <row r="211" spans="1:23">
      <c r="A211" s="208" t="s">
        <v>511</v>
      </c>
      <c r="B211" s="79" t="s">
        <v>528</v>
      </c>
      <c r="C211" s="207" t="s">
        <v>349</v>
      </c>
      <c r="D211" s="208" t="s">
        <v>567</v>
      </c>
      <c r="E211" s="79" t="s">
        <v>528</v>
      </c>
      <c r="F211" s="79" t="s">
        <v>528</v>
      </c>
      <c r="G211" s="79" t="s">
        <v>528</v>
      </c>
      <c r="H211" s="10" t="s">
        <v>352</v>
      </c>
      <c r="I211" s="10" t="s">
        <v>352</v>
      </c>
      <c r="J211" s="10" t="s">
        <v>352</v>
      </c>
      <c r="K211" s="10" t="s">
        <v>352</v>
      </c>
      <c r="L211" s="10" t="s">
        <v>352</v>
      </c>
      <c r="M211" s="239"/>
      <c r="N211" s="89"/>
      <c r="O211" s="89"/>
      <c r="P211" s="89"/>
      <c r="Q211" s="89"/>
      <c r="R211" s="89"/>
      <c r="S211" s="89"/>
      <c r="T211" s="89"/>
      <c r="U211" s="107"/>
      <c r="V211" s="107"/>
      <c r="W211" s="107"/>
    </row>
    <row r="212" spans="1:23">
      <c r="A212" s="231"/>
      <c r="B212" s="232"/>
      <c r="C212" s="233"/>
      <c r="D212" s="234"/>
      <c r="E212" s="235"/>
      <c r="F212" s="232"/>
      <c r="G212" s="232"/>
      <c r="H212" s="89"/>
      <c r="I212" s="89"/>
      <c r="J212" s="89"/>
      <c r="K212" s="89"/>
      <c r="L212" s="241"/>
      <c r="M212" s="239"/>
      <c r="N212" s="89"/>
      <c r="O212" s="89"/>
      <c r="P212" s="89"/>
      <c r="Q212" s="89"/>
      <c r="R212" s="89"/>
      <c r="S212" s="89"/>
      <c r="T212" s="89"/>
      <c r="U212" s="107"/>
      <c r="V212" s="107"/>
      <c r="W212" s="107"/>
    </row>
    <row r="213" spans="1:23">
      <c r="U213" s="107"/>
      <c r="V213" s="107"/>
      <c r="W213" s="107"/>
    </row>
    <row r="214" spans="1:23">
      <c r="F214" s="43" t="s">
        <v>289</v>
      </c>
      <c r="G214" s="106" t="s">
        <v>215</v>
      </c>
      <c r="U214" s="107"/>
      <c r="V214" s="107"/>
      <c r="W214" s="107"/>
    </row>
    <row r="215" spans="1:23">
      <c r="A215" s="109" t="s">
        <v>610</v>
      </c>
      <c r="F215" s="43" t="s">
        <v>290</v>
      </c>
      <c r="G215" s="178" t="s">
        <v>28</v>
      </c>
      <c r="U215" s="107"/>
      <c r="V215" s="107"/>
      <c r="W215" s="107"/>
    </row>
    <row r="216" spans="1:23" ht="25.5">
      <c r="F216" s="64" t="s">
        <v>294</v>
      </c>
      <c r="G216" s="178" t="s">
        <v>317</v>
      </c>
      <c r="U216" s="107"/>
      <c r="V216" s="107"/>
      <c r="W216" s="107"/>
    </row>
    <row r="217" spans="1:23" ht="51">
      <c r="A217" s="226" t="s">
        <v>320</v>
      </c>
      <c r="B217" s="43" t="s">
        <v>321</v>
      </c>
      <c r="C217" s="225" t="s">
        <v>322</v>
      </c>
      <c r="D217" s="78" t="s">
        <v>569</v>
      </c>
      <c r="E217" s="77" t="s">
        <v>570</v>
      </c>
      <c r="F217" s="226" t="s">
        <v>571</v>
      </c>
      <c r="G217" s="80" t="s">
        <v>216</v>
      </c>
      <c r="U217" s="107"/>
      <c r="V217" s="107"/>
      <c r="W217" s="107"/>
    </row>
    <row r="218" spans="1:23" ht="25.5">
      <c r="A218" s="223" t="s">
        <v>347</v>
      </c>
      <c r="B218" s="79" t="s">
        <v>528</v>
      </c>
      <c r="C218" s="223" t="s">
        <v>349</v>
      </c>
      <c r="D218" s="224" t="s">
        <v>572</v>
      </c>
      <c r="E218" s="224" t="s">
        <v>573</v>
      </c>
      <c r="F218" s="222">
        <v>1031</v>
      </c>
      <c r="G218" s="218" t="s">
        <v>352</v>
      </c>
      <c r="U218" s="107"/>
      <c r="V218" s="107"/>
      <c r="W218" s="107"/>
    </row>
    <row r="219" spans="1:23">
      <c r="A219" s="190" t="s">
        <v>360</v>
      </c>
      <c r="B219" s="79" t="s">
        <v>528</v>
      </c>
      <c r="C219" s="190" t="s">
        <v>349</v>
      </c>
      <c r="D219" s="221" t="s">
        <v>360</v>
      </c>
      <c r="E219" s="221" t="s">
        <v>360</v>
      </c>
      <c r="F219" s="195">
        <v>2003</v>
      </c>
      <c r="G219" s="218" t="s">
        <v>352</v>
      </c>
      <c r="U219" s="107"/>
      <c r="V219" s="107"/>
      <c r="W219" s="107"/>
    </row>
    <row r="220" spans="1:23">
      <c r="A220" s="190" t="s">
        <v>360</v>
      </c>
      <c r="B220" s="79" t="s">
        <v>528</v>
      </c>
      <c r="C220" s="190" t="s">
        <v>349</v>
      </c>
      <c r="D220" s="221" t="s">
        <v>362</v>
      </c>
      <c r="E220" s="221" t="s">
        <v>362</v>
      </c>
      <c r="F220" s="195">
        <v>2005</v>
      </c>
      <c r="G220" s="218" t="s">
        <v>352</v>
      </c>
      <c r="U220" s="107"/>
      <c r="V220" s="107"/>
      <c r="W220" s="107"/>
    </row>
    <row r="221" spans="1:23">
      <c r="A221" s="190" t="s">
        <v>363</v>
      </c>
      <c r="B221" s="79" t="s">
        <v>528</v>
      </c>
      <c r="C221" s="190" t="s">
        <v>349</v>
      </c>
      <c r="D221" s="221" t="s">
        <v>364</v>
      </c>
      <c r="E221" s="221" t="s">
        <v>364</v>
      </c>
      <c r="F221" s="195">
        <v>3018</v>
      </c>
      <c r="G221" s="218" t="s">
        <v>352</v>
      </c>
      <c r="U221" s="107"/>
      <c r="V221" s="107"/>
      <c r="W221" s="107"/>
    </row>
    <row r="222" spans="1:23">
      <c r="A222" s="190" t="s">
        <v>363</v>
      </c>
      <c r="B222" s="79" t="s">
        <v>528</v>
      </c>
      <c r="C222" s="190" t="s">
        <v>349</v>
      </c>
      <c r="D222" s="221" t="s">
        <v>366</v>
      </c>
      <c r="E222" s="221" t="s">
        <v>366</v>
      </c>
      <c r="F222" s="195">
        <v>3064</v>
      </c>
      <c r="G222" s="218" t="s">
        <v>352</v>
      </c>
      <c r="U222" s="107"/>
      <c r="V222" s="107"/>
      <c r="W222" s="107"/>
    </row>
    <row r="223" spans="1:23">
      <c r="A223" s="190" t="s">
        <v>363</v>
      </c>
      <c r="B223" s="79" t="s">
        <v>528</v>
      </c>
      <c r="C223" s="190" t="s">
        <v>349</v>
      </c>
      <c r="D223" s="221" t="s">
        <v>368</v>
      </c>
      <c r="E223" s="221" t="s">
        <v>368</v>
      </c>
      <c r="F223" s="195">
        <v>3068</v>
      </c>
      <c r="G223" s="218" t="s">
        <v>352</v>
      </c>
      <c r="U223" s="107"/>
      <c r="V223" s="107"/>
      <c r="W223" s="107"/>
    </row>
    <row r="224" spans="1:23" ht="25.5">
      <c r="A224" s="190" t="s">
        <v>369</v>
      </c>
      <c r="B224" s="79" t="s">
        <v>528</v>
      </c>
      <c r="C224" s="190" t="s">
        <v>349</v>
      </c>
      <c r="D224" s="221" t="s">
        <v>574</v>
      </c>
      <c r="E224" s="221" t="s">
        <v>575</v>
      </c>
      <c r="F224" s="195">
        <v>4107</v>
      </c>
      <c r="G224" s="218" t="s">
        <v>352</v>
      </c>
      <c r="U224" s="107"/>
      <c r="V224" s="107"/>
      <c r="W224" s="107"/>
    </row>
    <row r="225" spans="1:23">
      <c r="A225" s="190" t="s">
        <v>369</v>
      </c>
      <c r="B225" s="79" t="s">
        <v>528</v>
      </c>
      <c r="C225" s="190" t="s">
        <v>349</v>
      </c>
      <c r="D225" s="221" t="s">
        <v>374</v>
      </c>
      <c r="E225" s="221" t="s">
        <v>374</v>
      </c>
      <c r="F225" s="195">
        <v>4144</v>
      </c>
      <c r="G225" s="218" t="s">
        <v>352</v>
      </c>
      <c r="U225" s="107"/>
      <c r="V225" s="107"/>
      <c r="W225" s="107"/>
    </row>
    <row r="226" spans="1:23">
      <c r="A226" s="190" t="s">
        <v>375</v>
      </c>
      <c r="B226" s="79" t="s">
        <v>528</v>
      </c>
      <c r="C226" s="190" t="s">
        <v>349</v>
      </c>
      <c r="D226" s="221" t="s">
        <v>377</v>
      </c>
      <c r="E226" s="221" t="s">
        <v>377</v>
      </c>
      <c r="F226" s="195">
        <v>5006</v>
      </c>
      <c r="G226" s="218" t="s">
        <v>352</v>
      </c>
      <c r="U226" s="107"/>
      <c r="V226" s="107"/>
      <c r="W226" s="107"/>
    </row>
    <row r="227" spans="1:23" ht="38.25">
      <c r="A227" s="190" t="s">
        <v>375</v>
      </c>
      <c r="B227" s="79" t="s">
        <v>528</v>
      </c>
      <c r="C227" s="190" t="s">
        <v>376</v>
      </c>
      <c r="D227" s="221" t="s">
        <v>576</v>
      </c>
      <c r="E227" s="221" t="s">
        <v>376</v>
      </c>
      <c r="F227" s="195">
        <v>5025</v>
      </c>
      <c r="G227" s="218" t="s">
        <v>352</v>
      </c>
      <c r="U227" s="107"/>
      <c r="V227" s="107"/>
      <c r="W227" s="107"/>
    </row>
    <row r="228" spans="1:23">
      <c r="A228" s="190" t="s">
        <v>375</v>
      </c>
      <c r="B228" s="79" t="s">
        <v>528</v>
      </c>
      <c r="C228" s="190" t="s">
        <v>349</v>
      </c>
      <c r="D228" s="221" t="s">
        <v>398</v>
      </c>
      <c r="E228" s="221" t="s">
        <v>398</v>
      </c>
      <c r="F228" s="195">
        <v>5044</v>
      </c>
      <c r="G228" s="218" t="s">
        <v>352</v>
      </c>
      <c r="U228" s="107"/>
      <c r="V228" s="107"/>
      <c r="W228" s="107"/>
    </row>
    <row r="229" spans="1:23" ht="25.5">
      <c r="A229" s="190" t="s">
        <v>375</v>
      </c>
      <c r="B229" s="79" t="s">
        <v>528</v>
      </c>
      <c r="C229" s="190" t="s">
        <v>349</v>
      </c>
      <c r="D229" s="221" t="s">
        <v>577</v>
      </c>
      <c r="E229" s="221" t="s">
        <v>578</v>
      </c>
      <c r="F229" s="195">
        <v>5049</v>
      </c>
      <c r="G229" s="218" t="s">
        <v>352</v>
      </c>
      <c r="U229" s="107"/>
      <c r="V229" s="107"/>
      <c r="W229" s="107"/>
    </row>
    <row r="230" spans="1:23">
      <c r="A230" s="190" t="s">
        <v>375</v>
      </c>
      <c r="B230" s="79" t="s">
        <v>528</v>
      </c>
      <c r="C230" s="190" t="s">
        <v>349</v>
      </c>
      <c r="D230" s="221" t="s">
        <v>579</v>
      </c>
      <c r="E230" s="221" t="s">
        <v>399</v>
      </c>
      <c r="F230" s="195">
        <v>5059</v>
      </c>
      <c r="G230" s="218" t="s">
        <v>352</v>
      </c>
      <c r="U230" s="107"/>
      <c r="V230" s="107"/>
      <c r="W230" s="107"/>
    </row>
    <row r="231" spans="1:23">
      <c r="A231" s="190" t="s">
        <v>375</v>
      </c>
      <c r="B231" s="79" t="s">
        <v>528</v>
      </c>
      <c r="C231" s="190" t="s">
        <v>349</v>
      </c>
      <c r="D231" s="221" t="s">
        <v>379</v>
      </c>
      <c r="E231" s="221" t="s">
        <v>379</v>
      </c>
      <c r="F231" s="195">
        <v>5069</v>
      </c>
      <c r="G231" s="218" t="s">
        <v>352</v>
      </c>
      <c r="U231" s="107"/>
      <c r="V231" s="107"/>
      <c r="W231" s="107"/>
    </row>
    <row r="232" spans="1:23" ht="38.25">
      <c r="A232" s="190" t="s">
        <v>375</v>
      </c>
      <c r="B232" s="79" t="s">
        <v>528</v>
      </c>
      <c r="C232" s="190" t="s">
        <v>349</v>
      </c>
      <c r="D232" s="221" t="s">
        <v>580</v>
      </c>
      <c r="E232" s="221" t="s">
        <v>581</v>
      </c>
      <c r="F232" s="195">
        <v>5074</v>
      </c>
      <c r="G232" s="218" t="s">
        <v>352</v>
      </c>
      <c r="U232" s="107"/>
      <c r="V232" s="107"/>
      <c r="W232" s="107"/>
    </row>
    <row r="233" spans="1:23">
      <c r="A233" s="190" t="s">
        <v>375</v>
      </c>
      <c r="B233" s="79" t="s">
        <v>528</v>
      </c>
      <c r="C233" s="190" t="s">
        <v>349</v>
      </c>
      <c r="D233" s="221" t="s">
        <v>380</v>
      </c>
      <c r="E233" s="221" t="s">
        <v>380</v>
      </c>
      <c r="F233" s="195">
        <v>5077</v>
      </c>
      <c r="G233" s="218" t="s">
        <v>352</v>
      </c>
      <c r="U233" s="107"/>
      <c r="V233" s="107"/>
      <c r="W233" s="107"/>
    </row>
    <row r="234" spans="1:23" ht="38.25">
      <c r="A234" s="190" t="s">
        <v>375</v>
      </c>
      <c r="B234" s="79" t="s">
        <v>528</v>
      </c>
      <c r="C234" s="190" t="s">
        <v>349</v>
      </c>
      <c r="D234" s="221" t="s">
        <v>582</v>
      </c>
      <c r="E234" s="221" t="s">
        <v>583</v>
      </c>
      <c r="F234" s="195">
        <v>5080</v>
      </c>
      <c r="G234" s="218" t="s">
        <v>352</v>
      </c>
      <c r="U234" s="107"/>
      <c r="V234" s="107"/>
      <c r="W234" s="107"/>
    </row>
    <row r="235" spans="1:23">
      <c r="A235" s="190" t="s">
        <v>375</v>
      </c>
      <c r="B235" s="79" t="s">
        <v>528</v>
      </c>
      <c r="C235" s="190" t="s">
        <v>349</v>
      </c>
      <c r="D235" s="221" t="s">
        <v>384</v>
      </c>
      <c r="E235" s="221" t="s">
        <v>384</v>
      </c>
      <c r="F235" s="195">
        <v>5081</v>
      </c>
      <c r="G235" s="218" t="s">
        <v>352</v>
      </c>
      <c r="U235" s="107"/>
      <c r="V235" s="107"/>
      <c r="W235" s="107"/>
    </row>
    <row r="236" spans="1:23">
      <c r="A236" s="190" t="s">
        <v>375</v>
      </c>
      <c r="B236" s="79" t="s">
        <v>528</v>
      </c>
      <c r="C236" s="190" t="s">
        <v>349</v>
      </c>
      <c r="D236" s="221" t="s">
        <v>395</v>
      </c>
      <c r="E236" s="221" t="s">
        <v>395</v>
      </c>
      <c r="F236" s="195">
        <v>5082</v>
      </c>
      <c r="G236" s="218" t="s">
        <v>352</v>
      </c>
      <c r="U236" s="107"/>
      <c r="V236" s="107"/>
      <c r="W236" s="107"/>
    </row>
    <row r="237" spans="1:23">
      <c r="A237" s="190" t="s">
        <v>375</v>
      </c>
      <c r="B237" s="79" t="s">
        <v>528</v>
      </c>
      <c r="C237" s="190" t="s">
        <v>349</v>
      </c>
      <c r="D237" s="221" t="s">
        <v>393</v>
      </c>
      <c r="E237" s="221" t="s">
        <v>393</v>
      </c>
      <c r="F237" s="195">
        <v>5091</v>
      </c>
      <c r="G237" s="218" t="s">
        <v>352</v>
      </c>
      <c r="U237" s="107"/>
      <c r="V237" s="107"/>
      <c r="W237" s="107"/>
    </row>
    <row r="238" spans="1:23" ht="38.25">
      <c r="A238" s="190" t="s">
        <v>401</v>
      </c>
      <c r="B238" s="79" t="s">
        <v>528</v>
      </c>
      <c r="C238" s="190" t="s">
        <v>349</v>
      </c>
      <c r="D238" s="221" t="s">
        <v>584</v>
      </c>
      <c r="E238" s="221" t="s">
        <v>585</v>
      </c>
      <c r="F238" s="195">
        <v>6089</v>
      </c>
      <c r="G238" s="218" t="s">
        <v>352</v>
      </c>
      <c r="U238" s="107"/>
      <c r="V238" s="107"/>
      <c r="W238" s="107"/>
    </row>
    <row r="239" spans="1:23">
      <c r="A239" s="190" t="s">
        <v>401</v>
      </c>
      <c r="B239" s="79" t="s">
        <v>528</v>
      </c>
      <c r="C239" s="190" t="s">
        <v>349</v>
      </c>
      <c r="D239" s="221" t="s">
        <v>406</v>
      </c>
      <c r="E239" s="221" t="s">
        <v>406</v>
      </c>
      <c r="F239" s="195">
        <v>6092</v>
      </c>
      <c r="G239" s="218" t="s">
        <v>352</v>
      </c>
      <c r="U239" s="107"/>
      <c r="V239" s="107"/>
      <c r="W239" s="107"/>
    </row>
    <row r="240" spans="1:23">
      <c r="A240" s="190" t="s">
        <v>401</v>
      </c>
      <c r="B240" s="79" t="s">
        <v>528</v>
      </c>
      <c r="C240" s="190" t="s">
        <v>349</v>
      </c>
      <c r="D240" s="221" t="s">
        <v>408</v>
      </c>
      <c r="E240" s="221" t="s">
        <v>408</v>
      </c>
      <c r="F240" s="195">
        <v>6099</v>
      </c>
      <c r="G240" s="218" t="s">
        <v>352</v>
      </c>
      <c r="U240" s="107"/>
      <c r="V240" s="107"/>
      <c r="W240" s="107"/>
    </row>
    <row r="241" spans="1:23">
      <c r="A241" s="190" t="s">
        <v>409</v>
      </c>
      <c r="B241" s="79" t="s">
        <v>528</v>
      </c>
      <c r="C241" s="190" t="s">
        <v>349</v>
      </c>
      <c r="D241" s="221" t="s">
        <v>412</v>
      </c>
      <c r="E241" s="221" t="s">
        <v>412</v>
      </c>
      <c r="F241" s="195">
        <v>7016</v>
      </c>
      <c r="G241" s="218" t="s">
        <v>352</v>
      </c>
      <c r="U241" s="107"/>
      <c r="V241" s="107"/>
      <c r="W241" s="107"/>
    </row>
    <row r="242" spans="1:23">
      <c r="A242" s="190" t="s">
        <v>409</v>
      </c>
      <c r="B242" s="79" t="s">
        <v>528</v>
      </c>
      <c r="C242" s="190" t="s">
        <v>349</v>
      </c>
      <c r="D242" s="221" t="s">
        <v>413</v>
      </c>
      <c r="E242" s="221" t="s">
        <v>413</v>
      </c>
      <c r="F242" s="195">
        <v>7024</v>
      </c>
      <c r="G242" s="218" t="s">
        <v>352</v>
      </c>
      <c r="U242" s="107"/>
      <c r="V242" s="107"/>
      <c r="W242" s="107"/>
    </row>
    <row r="243" spans="1:23">
      <c r="A243" s="190" t="s">
        <v>409</v>
      </c>
      <c r="B243" s="79" t="s">
        <v>528</v>
      </c>
      <c r="C243" s="190" t="s">
        <v>349</v>
      </c>
      <c r="D243" s="221" t="s">
        <v>417</v>
      </c>
      <c r="E243" s="221" t="s">
        <v>417</v>
      </c>
      <c r="F243" s="195">
        <v>7055</v>
      </c>
      <c r="G243" s="218" t="s">
        <v>352</v>
      </c>
      <c r="U243" s="107"/>
      <c r="V243" s="107"/>
      <c r="W243" s="107"/>
    </row>
    <row r="244" spans="1:23" ht="25.5">
      <c r="A244" s="190" t="s">
        <v>409</v>
      </c>
      <c r="B244" s="79" t="s">
        <v>528</v>
      </c>
      <c r="C244" s="190" t="s">
        <v>349</v>
      </c>
      <c r="D244" s="221" t="s">
        <v>586</v>
      </c>
      <c r="E244" s="221" t="s">
        <v>409</v>
      </c>
      <c r="F244" s="195">
        <v>7066</v>
      </c>
      <c r="G244" s="218" t="s">
        <v>352</v>
      </c>
      <c r="U244" s="107"/>
      <c r="V244" s="107"/>
      <c r="W244" s="107"/>
    </row>
    <row r="245" spans="1:23">
      <c r="A245" s="190" t="s">
        <v>409</v>
      </c>
      <c r="B245" s="79" t="s">
        <v>528</v>
      </c>
      <c r="C245" s="190" t="s">
        <v>349</v>
      </c>
      <c r="D245" s="221" t="s">
        <v>415</v>
      </c>
      <c r="E245" s="221" t="s">
        <v>415</v>
      </c>
      <c r="F245" s="195">
        <v>7089</v>
      </c>
      <c r="G245" s="218" t="s">
        <v>352</v>
      </c>
      <c r="U245" s="107"/>
      <c r="V245" s="107"/>
      <c r="W245" s="107"/>
    </row>
    <row r="246" spans="1:23">
      <c r="A246" s="190" t="s">
        <v>409</v>
      </c>
      <c r="B246" s="79" t="s">
        <v>528</v>
      </c>
      <c r="C246" s="190" t="s">
        <v>349</v>
      </c>
      <c r="D246" s="221" t="s">
        <v>416</v>
      </c>
      <c r="E246" s="221" t="s">
        <v>416</v>
      </c>
      <c r="F246" s="195">
        <v>7091</v>
      </c>
      <c r="G246" s="218" t="s">
        <v>352</v>
      </c>
      <c r="U246" s="107"/>
      <c r="V246" s="107"/>
      <c r="W246" s="107"/>
    </row>
    <row r="247" spans="1:23">
      <c r="A247" s="190" t="s">
        <v>409</v>
      </c>
      <c r="B247" s="79" t="s">
        <v>528</v>
      </c>
      <c r="C247" s="190" t="s">
        <v>349</v>
      </c>
      <c r="D247" s="221" t="s">
        <v>587</v>
      </c>
      <c r="E247" s="221" t="s">
        <v>588</v>
      </c>
      <c r="F247" s="195">
        <v>7110</v>
      </c>
      <c r="G247" s="218" t="s">
        <v>352</v>
      </c>
      <c r="U247" s="107"/>
      <c r="V247" s="107"/>
      <c r="W247" s="107"/>
    </row>
    <row r="248" spans="1:23" ht="25.5">
      <c r="A248" s="190" t="s">
        <v>418</v>
      </c>
      <c r="B248" s="79" t="s">
        <v>528</v>
      </c>
      <c r="C248" s="190" t="s">
        <v>420</v>
      </c>
      <c r="D248" s="221" t="s">
        <v>589</v>
      </c>
      <c r="E248" s="221" t="s">
        <v>420</v>
      </c>
      <c r="F248" s="195">
        <v>8025</v>
      </c>
      <c r="G248" s="218" t="s">
        <v>352</v>
      </c>
      <c r="U248" s="107"/>
      <c r="V248" s="107"/>
      <c r="W248" s="107"/>
    </row>
    <row r="249" spans="1:23">
      <c r="A249" s="190" t="s">
        <v>418</v>
      </c>
      <c r="B249" s="79" t="s">
        <v>528</v>
      </c>
      <c r="C249" s="190" t="s">
        <v>349</v>
      </c>
      <c r="D249" s="221" t="s">
        <v>423</v>
      </c>
      <c r="E249" s="221" t="s">
        <v>423</v>
      </c>
      <c r="F249" s="195">
        <v>8026</v>
      </c>
      <c r="G249" s="218" t="s">
        <v>352</v>
      </c>
      <c r="U249" s="107"/>
      <c r="V249" s="107"/>
      <c r="W249" s="107"/>
    </row>
    <row r="250" spans="1:23">
      <c r="A250" s="190" t="s">
        <v>418</v>
      </c>
      <c r="B250" s="79" t="s">
        <v>528</v>
      </c>
      <c r="C250" s="190" t="s">
        <v>349</v>
      </c>
      <c r="D250" s="221" t="s">
        <v>432</v>
      </c>
      <c r="E250" s="221" t="s">
        <v>432</v>
      </c>
      <c r="F250" s="195">
        <v>8036</v>
      </c>
      <c r="G250" s="218" t="s">
        <v>352</v>
      </c>
      <c r="U250" s="107"/>
      <c r="V250" s="107"/>
      <c r="W250" s="107"/>
    </row>
    <row r="251" spans="1:23">
      <c r="A251" s="190" t="s">
        <v>418</v>
      </c>
      <c r="B251" s="79" t="s">
        <v>528</v>
      </c>
      <c r="C251" s="190" t="s">
        <v>349</v>
      </c>
      <c r="D251" s="221" t="s">
        <v>424</v>
      </c>
      <c r="E251" s="221" t="s">
        <v>424</v>
      </c>
      <c r="F251" s="195">
        <v>8037</v>
      </c>
      <c r="G251" s="218" t="s">
        <v>352</v>
      </c>
      <c r="U251" s="107"/>
      <c r="V251" s="107"/>
      <c r="W251" s="107"/>
    </row>
    <row r="252" spans="1:23">
      <c r="A252" s="190" t="s">
        <v>418</v>
      </c>
      <c r="B252" s="79" t="s">
        <v>528</v>
      </c>
      <c r="C252" s="190" t="s">
        <v>349</v>
      </c>
      <c r="D252" s="221" t="s">
        <v>433</v>
      </c>
      <c r="E252" s="221" t="s">
        <v>433</v>
      </c>
      <c r="F252" s="195">
        <v>8042</v>
      </c>
      <c r="G252" s="218" t="s">
        <v>352</v>
      </c>
      <c r="U252" s="107"/>
      <c r="V252" s="107"/>
      <c r="W252" s="107"/>
    </row>
    <row r="253" spans="1:23">
      <c r="A253" s="190" t="s">
        <v>418</v>
      </c>
      <c r="B253" s="79" t="s">
        <v>528</v>
      </c>
      <c r="C253" s="190" t="s">
        <v>349</v>
      </c>
      <c r="D253" s="221" t="s">
        <v>427</v>
      </c>
      <c r="E253" s="221" t="s">
        <v>427</v>
      </c>
      <c r="F253" s="195">
        <v>8068</v>
      </c>
      <c r="G253" s="218" t="s">
        <v>352</v>
      </c>
      <c r="U253" s="107"/>
      <c r="V253" s="107"/>
      <c r="W253" s="107"/>
    </row>
    <row r="254" spans="1:23">
      <c r="A254" s="190" t="s">
        <v>418</v>
      </c>
      <c r="B254" s="79" t="s">
        <v>528</v>
      </c>
      <c r="C254" s="190" t="s">
        <v>349</v>
      </c>
      <c r="D254" s="221" t="s">
        <v>429</v>
      </c>
      <c r="E254" s="221" t="s">
        <v>429</v>
      </c>
      <c r="F254" s="195">
        <v>8072</v>
      </c>
      <c r="G254" s="218" t="s">
        <v>352</v>
      </c>
      <c r="U254" s="107"/>
      <c r="V254" s="107"/>
      <c r="W254" s="107"/>
    </row>
    <row r="255" spans="1:23">
      <c r="A255" s="190" t="s">
        <v>590</v>
      </c>
      <c r="B255" s="79" t="s">
        <v>528</v>
      </c>
      <c r="C255" s="190" t="s">
        <v>349</v>
      </c>
      <c r="D255" s="221" t="s">
        <v>441</v>
      </c>
      <c r="E255" s="221" t="s">
        <v>441</v>
      </c>
      <c r="F255" s="195">
        <v>9001</v>
      </c>
      <c r="G255" s="218" t="s">
        <v>352</v>
      </c>
      <c r="U255" s="107"/>
      <c r="V255" s="107"/>
      <c r="W255" s="107"/>
    </row>
    <row r="256" spans="1:23" ht="25.5">
      <c r="A256" s="190" t="s">
        <v>590</v>
      </c>
      <c r="B256" s="79" t="s">
        <v>528</v>
      </c>
      <c r="C256" s="190" t="s">
        <v>349</v>
      </c>
      <c r="D256" s="221" t="s">
        <v>591</v>
      </c>
      <c r="E256" s="221" t="s">
        <v>592</v>
      </c>
      <c r="F256" s="195">
        <v>9068</v>
      </c>
      <c r="G256" s="218" t="s">
        <v>352</v>
      </c>
      <c r="U256" s="107"/>
      <c r="V256" s="107"/>
      <c r="W256" s="107"/>
    </row>
    <row r="257" spans="1:23">
      <c r="A257" s="190" t="s">
        <v>590</v>
      </c>
      <c r="B257" s="79" t="s">
        <v>528</v>
      </c>
      <c r="C257" s="190" t="s">
        <v>349</v>
      </c>
      <c r="D257" s="221" t="s">
        <v>439</v>
      </c>
      <c r="E257" s="221" t="s">
        <v>439</v>
      </c>
      <c r="F257" s="195">
        <v>9081</v>
      </c>
      <c r="G257" s="218" t="s">
        <v>352</v>
      </c>
      <c r="U257" s="107"/>
      <c r="V257" s="107"/>
      <c r="W257" s="107"/>
    </row>
    <row r="258" spans="1:23">
      <c r="A258" s="190" t="s">
        <v>442</v>
      </c>
      <c r="B258" s="79" t="s">
        <v>528</v>
      </c>
      <c r="C258" s="190" t="s">
        <v>349</v>
      </c>
      <c r="D258" s="221" t="s">
        <v>448</v>
      </c>
      <c r="E258" s="221" t="s">
        <v>448</v>
      </c>
      <c r="F258" s="195">
        <v>10010</v>
      </c>
      <c r="G258" s="218" t="s">
        <v>352</v>
      </c>
      <c r="U258" s="107"/>
      <c r="V258" s="107"/>
      <c r="W258" s="107"/>
    </row>
    <row r="259" spans="1:23">
      <c r="A259" s="190" t="s">
        <v>442</v>
      </c>
      <c r="B259" s="79" t="s">
        <v>528</v>
      </c>
      <c r="C259" s="190" t="s">
        <v>349</v>
      </c>
      <c r="D259" s="221" t="s">
        <v>449</v>
      </c>
      <c r="E259" s="221" t="s">
        <v>449</v>
      </c>
      <c r="F259" s="195">
        <v>10039</v>
      </c>
      <c r="G259" s="218" t="s">
        <v>352</v>
      </c>
      <c r="U259" s="107"/>
      <c r="V259" s="107"/>
      <c r="W259" s="107"/>
    </row>
    <row r="260" spans="1:23">
      <c r="A260" s="190" t="s">
        <v>442</v>
      </c>
      <c r="B260" s="79" t="s">
        <v>528</v>
      </c>
      <c r="C260" s="190" t="s">
        <v>349</v>
      </c>
      <c r="D260" s="221" t="s">
        <v>445</v>
      </c>
      <c r="E260" s="221" t="s">
        <v>445</v>
      </c>
      <c r="F260" s="195">
        <v>10048</v>
      </c>
      <c r="G260" s="218" t="s">
        <v>352</v>
      </c>
      <c r="U260" s="107"/>
      <c r="V260" s="107"/>
      <c r="W260" s="107"/>
    </row>
    <row r="261" spans="1:23">
      <c r="A261" s="190" t="s">
        <v>442</v>
      </c>
      <c r="B261" s="79" t="s">
        <v>528</v>
      </c>
      <c r="C261" s="190" t="s">
        <v>349</v>
      </c>
      <c r="D261" s="221" t="s">
        <v>446</v>
      </c>
      <c r="E261" s="221" t="s">
        <v>446</v>
      </c>
      <c r="F261" s="195">
        <v>10051</v>
      </c>
      <c r="G261" s="218" t="s">
        <v>352</v>
      </c>
      <c r="U261" s="107"/>
      <c r="V261" s="107"/>
      <c r="W261" s="107"/>
    </row>
    <row r="262" spans="1:23">
      <c r="A262" s="190" t="s">
        <v>450</v>
      </c>
      <c r="B262" s="79" t="s">
        <v>528</v>
      </c>
      <c r="C262" s="190" t="s">
        <v>349</v>
      </c>
      <c r="D262" s="221" t="s">
        <v>451</v>
      </c>
      <c r="E262" s="221" t="s">
        <v>451</v>
      </c>
      <c r="F262" s="195">
        <v>11007</v>
      </c>
      <c r="G262" s="218" t="s">
        <v>352</v>
      </c>
      <c r="U262" s="107"/>
      <c r="V262" s="107"/>
      <c r="W262" s="107"/>
    </row>
    <row r="263" spans="1:23">
      <c r="A263" s="190" t="s">
        <v>452</v>
      </c>
      <c r="B263" s="79" t="s">
        <v>528</v>
      </c>
      <c r="C263" s="190" t="s">
        <v>349</v>
      </c>
      <c r="D263" s="221" t="s">
        <v>453</v>
      </c>
      <c r="E263" s="221" t="s">
        <v>453</v>
      </c>
      <c r="F263" s="195">
        <v>12011</v>
      </c>
      <c r="G263" s="218" t="s">
        <v>352</v>
      </c>
      <c r="U263" s="107"/>
      <c r="V263" s="107"/>
      <c r="W263" s="107"/>
    </row>
    <row r="264" spans="1:23" ht="51">
      <c r="A264" s="190" t="s">
        <v>454</v>
      </c>
      <c r="B264" s="79" t="s">
        <v>528</v>
      </c>
      <c r="C264" s="190" t="s">
        <v>349</v>
      </c>
      <c r="D264" s="221" t="s">
        <v>593</v>
      </c>
      <c r="E264" s="221" t="s">
        <v>594</v>
      </c>
      <c r="F264" s="195">
        <v>13004</v>
      </c>
      <c r="G264" s="218" t="s">
        <v>352</v>
      </c>
      <c r="U264" s="107"/>
      <c r="V264" s="107"/>
      <c r="W264" s="107"/>
    </row>
    <row r="265" spans="1:23">
      <c r="A265" s="190" t="s">
        <v>454</v>
      </c>
      <c r="B265" s="79" t="s">
        <v>528</v>
      </c>
      <c r="C265" s="190" t="s">
        <v>349</v>
      </c>
      <c r="D265" s="221" t="s">
        <v>595</v>
      </c>
      <c r="E265" s="221" t="s">
        <v>596</v>
      </c>
      <c r="F265" s="195">
        <v>13007</v>
      </c>
      <c r="G265" s="218" t="s">
        <v>352</v>
      </c>
    </row>
    <row r="266" spans="1:23" ht="25.5">
      <c r="A266" s="190" t="s">
        <v>454</v>
      </c>
      <c r="B266" s="79" t="s">
        <v>528</v>
      </c>
      <c r="C266" s="190" t="s">
        <v>349</v>
      </c>
      <c r="D266" s="221" t="s">
        <v>597</v>
      </c>
      <c r="E266" s="221" t="s">
        <v>493</v>
      </c>
      <c r="F266" s="195">
        <v>13016</v>
      </c>
      <c r="G266" s="218" t="s">
        <v>352</v>
      </c>
    </row>
    <row r="267" spans="1:23">
      <c r="A267" s="190" t="s">
        <v>454</v>
      </c>
      <c r="B267" s="79" t="s">
        <v>528</v>
      </c>
      <c r="C267" s="190" t="s">
        <v>349</v>
      </c>
      <c r="D267" s="221" t="s">
        <v>503</v>
      </c>
      <c r="E267" s="221" t="s">
        <v>503</v>
      </c>
      <c r="F267" s="195">
        <v>13022</v>
      </c>
      <c r="G267" s="218" t="s">
        <v>352</v>
      </c>
    </row>
    <row r="268" spans="1:23" ht="191.25">
      <c r="A268" s="190" t="s">
        <v>454</v>
      </c>
      <c r="B268" s="79" t="s">
        <v>528</v>
      </c>
      <c r="C268" s="190" t="s">
        <v>456</v>
      </c>
      <c r="D268" s="221" t="s">
        <v>598</v>
      </c>
      <c r="E268" s="221" t="s">
        <v>456</v>
      </c>
      <c r="F268" s="195">
        <v>13029</v>
      </c>
      <c r="G268" s="218" t="s">
        <v>352</v>
      </c>
    </row>
    <row r="269" spans="1:23">
      <c r="A269" s="190" t="s">
        <v>454</v>
      </c>
      <c r="B269" s="79" t="s">
        <v>528</v>
      </c>
      <c r="C269" s="190" t="s">
        <v>349</v>
      </c>
      <c r="D269" s="221" t="s">
        <v>504</v>
      </c>
      <c r="E269" s="221" t="s">
        <v>504</v>
      </c>
      <c r="F269" s="195">
        <v>13033</v>
      </c>
      <c r="G269" s="218" t="s">
        <v>352</v>
      </c>
    </row>
    <row r="270" spans="1:23" ht="25.5">
      <c r="A270" s="190" t="s">
        <v>454</v>
      </c>
      <c r="B270" s="79" t="s">
        <v>528</v>
      </c>
      <c r="C270" s="190" t="s">
        <v>349</v>
      </c>
      <c r="D270" s="221" t="s">
        <v>599</v>
      </c>
      <c r="E270" s="221" t="s">
        <v>494</v>
      </c>
      <c r="F270" s="195">
        <v>13038</v>
      </c>
      <c r="G270" s="218" t="s">
        <v>352</v>
      </c>
    </row>
    <row r="271" spans="1:23">
      <c r="A271" s="190" t="s">
        <v>454</v>
      </c>
      <c r="B271" s="79" t="s">
        <v>528</v>
      </c>
      <c r="C271" s="190" t="s">
        <v>349</v>
      </c>
      <c r="D271" s="221" t="s">
        <v>501</v>
      </c>
      <c r="E271" s="221" t="s">
        <v>501</v>
      </c>
      <c r="F271" s="195">
        <v>13047</v>
      </c>
      <c r="G271" s="218" t="s">
        <v>352</v>
      </c>
    </row>
    <row r="272" spans="1:23">
      <c r="A272" s="190" t="s">
        <v>454</v>
      </c>
      <c r="B272" s="79" t="s">
        <v>528</v>
      </c>
      <c r="C272" s="190" t="s">
        <v>349</v>
      </c>
      <c r="D272" s="221" t="s">
        <v>490</v>
      </c>
      <c r="E272" s="221" t="s">
        <v>490</v>
      </c>
      <c r="F272" s="195">
        <v>13051</v>
      </c>
      <c r="G272" s="218" t="s">
        <v>352</v>
      </c>
    </row>
    <row r="273" spans="1:7" ht="25.5">
      <c r="A273" s="190" t="s">
        <v>454</v>
      </c>
      <c r="B273" s="79" t="s">
        <v>528</v>
      </c>
      <c r="C273" s="190" t="s">
        <v>349</v>
      </c>
      <c r="D273" s="221" t="s">
        <v>491</v>
      </c>
      <c r="E273" s="221" t="s">
        <v>491</v>
      </c>
      <c r="F273" s="195">
        <v>13059</v>
      </c>
      <c r="G273" s="218" t="s">
        <v>352</v>
      </c>
    </row>
    <row r="274" spans="1:7">
      <c r="A274" s="190" t="s">
        <v>454</v>
      </c>
      <c r="B274" s="79" t="s">
        <v>528</v>
      </c>
      <c r="C274" s="190" t="s">
        <v>349</v>
      </c>
      <c r="D274" s="221" t="s">
        <v>495</v>
      </c>
      <c r="E274" s="221" t="s">
        <v>495</v>
      </c>
      <c r="F274" s="195">
        <v>13072</v>
      </c>
      <c r="G274" s="218" t="s">
        <v>352</v>
      </c>
    </row>
    <row r="275" spans="1:7">
      <c r="A275" s="190" t="s">
        <v>507</v>
      </c>
      <c r="B275" s="79" t="s">
        <v>528</v>
      </c>
      <c r="C275" s="190" t="s">
        <v>349</v>
      </c>
      <c r="D275" s="221" t="s">
        <v>508</v>
      </c>
      <c r="E275" s="221" t="s">
        <v>508</v>
      </c>
      <c r="F275" s="195">
        <v>14039</v>
      </c>
      <c r="G275" s="218" t="s">
        <v>352</v>
      </c>
    </row>
    <row r="276" spans="1:7">
      <c r="A276" s="190" t="s">
        <v>509</v>
      </c>
      <c r="B276" s="79" t="s">
        <v>528</v>
      </c>
      <c r="C276" s="190" t="s">
        <v>349</v>
      </c>
      <c r="D276" s="221" t="s">
        <v>510</v>
      </c>
      <c r="E276" s="221" t="s">
        <v>510</v>
      </c>
      <c r="F276" s="195">
        <v>15002</v>
      </c>
      <c r="G276" s="218" t="s">
        <v>352</v>
      </c>
    </row>
    <row r="277" spans="1:7" ht="25.5">
      <c r="A277" s="190" t="s">
        <v>511</v>
      </c>
      <c r="B277" s="79" t="s">
        <v>528</v>
      </c>
      <c r="C277" s="190" t="s">
        <v>349</v>
      </c>
      <c r="D277" s="221" t="s">
        <v>600</v>
      </c>
      <c r="E277" s="221" t="s">
        <v>600</v>
      </c>
      <c r="F277" s="195">
        <v>16006</v>
      </c>
      <c r="G277" s="218" t="s">
        <v>352</v>
      </c>
    </row>
    <row r="278" spans="1:7">
      <c r="A278" s="190" t="s">
        <v>511</v>
      </c>
      <c r="B278" s="79" t="s">
        <v>528</v>
      </c>
      <c r="C278" s="190" t="s">
        <v>349</v>
      </c>
      <c r="D278" s="221" t="s">
        <v>517</v>
      </c>
      <c r="E278" s="221" t="s">
        <v>517</v>
      </c>
      <c r="F278" s="195">
        <v>16035</v>
      </c>
      <c r="G278" s="218" t="s">
        <v>352</v>
      </c>
    </row>
  </sheetData>
  <sheetProtection password="DE6E" sheet="1" objects="1" scenarios="1"/>
  <mergeCells count="2">
    <mergeCell ref="K4:M8"/>
    <mergeCell ref="N180:Q181"/>
  </mergeCells>
  <dataValidations count="1">
    <dataValidation allowBlank="1" showInputMessage="1" showErrorMessage="1" sqref="G8:G12" xr:uid="{00000000-0002-0000-0300-000000000000}"/>
  </dataValidation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6">
    <tabColor theme="3"/>
  </sheetPr>
  <dimension ref="A1:K142"/>
  <sheetViews>
    <sheetView showGridLines="0" zoomScaleNormal="100" workbookViewId="0">
      <pane ySplit="2" topLeftCell="A3" activePane="bottomLeft" state="frozen"/>
      <selection pane="bottomLeft" activeCell="E4" sqref="E4:F4"/>
    </sheetView>
  </sheetViews>
  <sheetFormatPr defaultColWidth="11.42578125" defaultRowHeight="15"/>
  <cols>
    <col min="1" max="1" width="17" customWidth="1"/>
    <col min="2" max="2" width="22.7109375" customWidth="1"/>
    <col min="3" max="4" width="15.7109375" customWidth="1"/>
    <col min="5" max="5" width="15.42578125" customWidth="1"/>
    <col min="6" max="19" width="15.7109375" customWidth="1"/>
    <col min="20" max="103" width="22.42578125" bestFit="1" customWidth="1"/>
    <col min="104" max="104" width="12.5703125" bestFit="1" customWidth="1"/>
  </cols>
  <sheetData>
    <row r="1" spans="1:10" ht="60" customHeight="1">
      <c r="A1" s="312" t="s">
        <v>0</v>
      </c>
      <c r="B1" s="312"/>
      <c r="C1" s="32"/>
      <c r="D1" s="11"/>
      <c r="E1" s="11"/>
      <c r="F1" s="11"/>
      <c r="G1" s="11"/>
      <c r="H1" s="11"/>
      <c r="I1" s="11"/>
      <c r="J1" s="11"/>
    </row>
    <row r="2" spans="1:10" ht="60" customHeight="1">
      <c r="A2" s="312"/>
      <c r="B2" s="312"/>
      <c r="C2" s="32"/>
      <c r="D2" s="11"/>
      <c r="E2" s="11"/>
      <c r="F2" s="11"/>
      <c r="G2" s="11"/>
      <c r="H2" s="11"/>
      <c r="I2" s="11"/>
      <c r="J2" s="11"/>
    </row>
    <row r="3" spans="1:10" ht="15.75" thickBot="1">
      <c r="A3" s="1"/>
      <c r="B3" s="1"/>
      <c r="C3" s="1"/>
      <c r="D3" s="1"/>
      <c r="E3" s="1"/>
      <c r="F3" s="1"/>
      <c r="G3" s="1"/>
      <c r="H3" s="1"/>
      <c r="I3" s="1"/>
      <c r="J3" s="1"/>
    </row>
    <row r="4" spans="1:10" ht="15.75" thickBot="1">
      <c r="A4" s="1"/>
      <c r="B4" s="336" t="s">
        <v>611</v>
      </c>
      <c r="C4" s="336"/>
      <c r="D4" s="336"/>
      <c r="E4" s="335" t="s">
        <v>612</v>
      </c>
      <c r="F4" s="335"/>
      <c r="G4" s="1"/>
      <c r="H4" s="1"/>
      <c r="I4" s="1"/>
      <c r="J4" s="1"/>
    </row>
    <row r="5" spans="1:10">
      <c r="A5" s="1"/>
      <c r="B5" s="1"/>
      <c r="C5" s="1"/>
      <c r="D5" s="1"/>
      <c r="E5" s="1"/>
      <c r="F5" s="1"/>
      <c r="G5" s="1"/>
      <c r="H5" s="1"/>
      <c r="I5" s="1"/>
      <c r="J5" s="1"/>
    </row>
    <row r="6" spans="1:10">
      <c r="A6" s="1"/>
      <c r="B6" s="1"/>
      <c r="C6" s="1"/>
      <c r="D6" s="1"/>
      <c r="E6" s="1"/>
      <c r="F6" s="1"/>
      <c r="G6" s="1"/>
      <c r="H6" s="1"/>
      <c r="I6" s="1"/>
      <c r="J6" s="1"/>
    </row>
    <row r="7" spans="1:10">
      <c r="A7" s="269" t="s">
        <v>613</v>
      </c>
      <c r="B7" s="1"/>
      <c r="C7" s="1"/>
      <c r="D7" s="1"/>
      <c r="E7" s="1"/>
      <c r="F7" s="1"/>
      <c r="G7" s="1"/>
      <c r="H7" s="1"/>
      <c r="I7" s="1"/>
      <c r="J7" s="1"/>
    </row>
    <row r="8" spans="1:10" ht="7.5" customHeight="1">
      <c r="A8" s="1"/>
      <c r="B8" s="1"/>
      <c r="C8" s="1"/>
      <c r="D8" s="1"/>
      <c r="E8" s="1"/>
      <c r="F8" s="1"/>
      <c r="G8" s="1"/>
      <c r="H8" s="1"/>
      <c r="I8" s="1"/>
      <c r="J8" s="1"/>
    </row>
    <row r="9" spans="1:10">
      <c r="A9" s="332" t="s">
        <v>614</v>
      </c>
      <c r="B9" s="332"/>
      <c r="C9" s="332"/>
      <c r="D9" s="332"/>
      <c r="E9" s="332"/>
      <c r="F9" s="332"/>
      <c r="G9" s="332"/>
      <c r="H9" s="332"/>
      <c r="I9" s="332"/>
      <c r="J9" s="332"/>
    </row>
    <row r="10" spans="1:10">
      <c r="A10" s="271" t="s">
        <v>615</v>
      </c>
      <c r="B10" s="270"/>
      <c r="C10" s="270"/>
      <c r="D10" s="270"/>
      <c r="E10" s="270"/>
      <c r="F10" s="270"/>
      <c r="G10" s="270"/>
      <c r="H10" s="270"/>
      <c r="I10" s="270"/>
      <c r="J10" s="270"/>
    </row>
    <row r="11" spans="1:10" ht="15" customHeight="1">
      <c r="A11" s="269" t="s">
        <v>616</v>
      </c>
      <c r="B11" s="1"/>
      <c r="C11" s="1"/>
      <c r="D11" s="1"/>
      <c r="E11" s="1"/>
      <c r="F11" s="1"/>
      <c r="G11" s="1"/>
      <c r="H11" s="1"/>
      <c r="I11" s="1"/>
      <c r="J11" s="1"/>
    </row>
    <row r="12" spans="1:10">
      <c r="A12" s="267" t="s">
        <v>617</v>
      </c>
      <c r="B12" s="1"/>
      <c r="C12" s="1"/>
      <c r="D12" s="1"/>
      <c r="E12" s="1"/>
      <c r="F12" s="1"/>
      <c r="G12" s="1"/>
      <c r="H12" s="1"/>
      <c r="I12" s="1"/>
      <c r="J12" s="1"/>
    </row>
    <row r="13" spans="1:10">
      <c r="A13" s="256"/>
      <c r="B13" s="1"/>
      <c r="C13" s="1"/>
      <c r="D13" s="1"/>
      <c r="E13" s="1"/>
      <c r="F13" s="1"/>
      <c r="G13" s="1"/>
      <c r="H13" s="1"/>
      <c r="I13" s="1"/>
      <c r="J13" s="1"/>
    </row>
    <row r="15" spans="1:10">
      <c r="A15" s="104" t="s">
        <v>618</v>
      </c>
    </row>
    <row r="16" spans="1:10">
      <c r="A16" s="16" t="s">
        <v>9</v>
      </c>
      <c r="B16" s="331" t="s">
        <v>619</v>
      </c>
      <c r="C16" s="331"/>
      <c r="D16" s="331"/>
      <c r="E16" s="331"/>
      <c r="F16" s="331"/>
      <c r="G16" s="331"/>
      <c r="H16" s="35" t="s">
        <v>15</v>
      </c>
      <c r="I16" s="35" t="s">
        <v>16</v>
      </c>
      <c r="J16" s="35" t="s">
        <v>17</v>
      </c>
    </row>
    <row r="17" spans="1:11" ht="15" customHeight="1">
      <c r="A17" s="34" t="s">
        <v>21</v>
      </c>
      <c r="B17" s="330" t="str">
        <f>IFERROR(VLOOKUP(A17,INDICE!$D$15:$N$110,6,FALSE),"")</f>
        <v>Distancia a plazas públicas.</v>
      </c>
      <c r="C17" s="330"/>
      <c r="D17" s="330"/>
      <c r="E17" s="330"/>
      <c r="F17" s="330"/>
      <c r="G17" s="330"/>
      <c r="H17" s="220" t="str">
        <f>IFERROR(VLOOKUP($E$4,'LB2018'!$F$15:$CD$131,3,FALSE),"")</f>
        <v/>
      </c>
      <c r="I17" s="220" t="str">
        <f>IFERROR(VLOOKUP($E$4,'ACT2019'!$F$15:$CD$131,3,FALSE),"")</f>
        <v/>
      </c>
      <c r="J17" s="220" t="str">
        <f>IFERROR(VLOOKUP($E$4,'ACT2020'!$F$15:$CD$131,3,FALSE),"")</f>
        <v/>
      </c>
    </row>
    <row r="18" spans="1:11" ht="24" customHeight="1">
      <c r="A18" s="34" t="s">
        <v>27</v>
      </c>
      <c r="B18" s="288" t="str">
        <f>IFERROR(VLOOKUP(A18,INDICE!$D$15:$N$110,6,FALSE),"")</f>
        <v>Superficie de plazas públicas por habitante que cumple estándar de distancia (400 metros).</v>
      </c>
      <c r="C18" s="288"/>
      <c r="D18" s="288"/>
      <c r="E18" s="288"/>
      <c r="F18" s="288"/>
      <c r="G18" s="288"/>
      <c r="H18" s="211" t="str">
        <f>IFERROR(VLOOKUP($E$4,'LB2018'!$F$15:$CD$131,4,FALSE),"")</f>
        <v/>
      </c>
      <c r="I18" s="211" t="str">
        <f>IFERROR(VLOOKUP($E$4,'ACT2019'!$F$15:$CD$131,4,FALSE),"")</f>
        <v/>
      </c>
      <c r="J18" s="211" t="str">
        <f>IFERROR(VLOOKUP($E$4,'ACT2020'!$F$15:$CD$131,4,FALSE),"")</f>
        <v/>
      </c>
    </row>
    <row r="19" spans="1:11" ht="15" customHeight="1">
      <c r="A19" s="34" t="s">
        <v>30</v>
      </c>
      <c r="B19" s="330" t="str">
        <f>IFERROR(VLOOKUP(A19,INDICE!$D$15:$N$110,6,FALSE),"")</f>
        <v>Distancia a parques públicos.</v>
      </c>
      <c r="C19" s="330"/>
      <c r="D19" s="330"/>
      <c r="E19" s="330"/>
      <c r="F19" s="330"/>
      <c r="G19" s="330"/>
      <c r="H19" s="220" t="str">
        <f>IFERROR(VLOOKUP($E$4,'LB2018'!$F$15:$CD$131,5,FALSE),"")</f>
        <v/>
      </c>
      <c r="I19" s="220" t="str">
        <f>IFERROR(VLOOKUP($E$4,'ACT2019'!$F$15:$CD$131,5,FALSE),"")</f>
        <v/>
      </c>
      <c r="J19" s="220" t="str">
        <f>IFERROR(VLOOKUP($E$4,'ACT2020'!$F$15:$CD$131,5,FALSE),"")</f>
        <v/>
      </c>
    </row>
    <row r="20" spans="1:11" ht="24.75" customHeight="1">
      <c r="A20" s="34" t="s">
        <v>33</v>
      </c>
      <c r="B20" s="288" t="str">
        <f>IFERROR(VLOOKUP(A20,INDICE!$D$15:$N$110,6,FALSE),"")</f>
        <v>Superficie de parques públicos por habitante que cumple estándar de distancia (3.000 metros).</v>
      </c>
      <c r="C20" s="288"/>
      <c r="D20" s="288"/>
      <c r="E20" s="288"/>
      <c r="F20" s="288"/>
      <c r="G20" s="288"/>
      <c r="H20" s="211" t="str">
        <f>IFERROR(VLOOKUP($E$4,'LB2018'!$F$15:$CD$131,6,FALSE),"")</f>
        <v/>
      </c>
      <c r="I20" s="211" t="str">
        <f>IFERROR(VLOOKUP($E$4,'ACT2019'!$F$15:$CD$131,6,FALSE),"")</f>
        <v/>
      </c>
      <c r="J20" s="211" t="str">
        <f>IFERROR(VLOOKUP($E$4,'ACT2020'!$F$15:$CD$131,6,FALSE),"")</f>
        <v/>
      </c>
      <c r="K20" t="s">
        <v>285</v>
      </c>
    </row>
    <row r="21" spans="1:11" ht="15" customHeight="1">
      <c r="A21" s="34" t="s">
        <v>35</v>
      </c>
      <c r="B21" s="330" t="str">
        <f>IFERROR(VLOOKUP(A21,INDICE!$D$15:$N$110,6,FALSE),"")</f>
        <v>Porcentaje de población atendida por el sistema de plazas públicas.</v>
      </c>
      <c r="C21" s="330"/>
      <c r="D21" s="330"/>
      <c r="E21" s="330"/>
      <c r="F21" s="330"/>
      <c r="G21" s="330"/>
      <c r="H21" s="211" t="str">
        <f>IFERROR(VLOOKUP($E$4,'LB2018'!$F$15:$CD$131,7,FALSE),"")</f>
        <v/>
      </c>
      <c r="I21" s="211" t="str">
        <f>IFERROR(VLOOKUP($E$4,'ACT2019'!$F$15:$CD$131,7,FALSE),"")</f>
        <v/>
      </c>
      <c r="J21" s="211" t="str">
        <f>IFERROR(VLOOKUP($E$4,'ACT2020'!$F$15:$CD$131,7,FALSE),"")</f>
        <v/>
      </c>
    </row>
    <row r="22" spans="1:11" ht="15" customHeight="1">
      <c r="A22" s="34" t="s">
        <v>37</v>
      </c>
      <c r="B22" s="330" t="str">
        <f>IFERROR(VLOOKUP(A22,INDICE!$D$15:$N$110,6,FALSE),"")</f>
        <v>Porcentaje de población atendida por el sistema de parques públicos.</v>
      </c>
      <c r="C22" s="330"/>
      <c r="D22" s="330"/>
      <c r="E22" s="330"/>
      <c r="F22" s="330"/>
      <c r="G22" s="330"/>
      <c r="H22" s="211" t="str">
        <f>IFERROR(VLOOKUP($E$4,'LB2018'!$F$15:$CD$131,8,FALSE),"")</f>
        <v/>
      </c>
      <c r="I22" s="211" t="str">
        <f>IFERROR(VLOOKUP($E$4,'ACT2019'!$F$15:$CD$131,8,FALSE),"")</f>
        <v/>
      </c>
      <c r="J22" s="211" t="str">
        <f>IFERROR(VLOOKUP($E$4,'ACT2020'!$F$15:$CD$131,8,FALSE),"")</f>
        <v/>
      </c>
    </row>
    <row r="23" spans="1:11" ht="15" customHeight="1">
      <c r="A23" s="34" t="s">
        <v>39</v>
      </c>
      <c r="B23" s="330" t="str">
        <f>IFERROR(VLOOKUP(A23,INDICE!$D$15:$N$110,6,FALSE),"")</f>
        <v>Superficie de áreas verdes públicas por habitante.</v>
      </c>
      <c r="C23" s="330"/>
      <c r="D23" s="330"/>
      <c r="E23" s="330"/>
      <c r="F23" s="330"/>
      <c r="G23" s="330"/>
      <c r="H23" s="211" t="str">
        <f>IFERROR(VLOOKUP($E$4,'LB2018'!$F$15:$CD$131,9,FALSE),"")</f>
        <v/>
      </c>
      <c r="I23" s="211" t="str">
        <f>IFERROR(VLOOKUP($E$4,'ACT2019'!$F$15:$CD$131,9,FALSE),"")</f>
        <v/>
      </c>
      <c r="J23" s="211" t="str">
        <f>IFERROR(VLOOKUP($E$4,'ACT2020'!$F$15:$CD$131,9,FALSE),"")</f>
        <v/>
      </c>
    </row>
    <row r="24" spans="1:11" ht="15" customHeight="1">
      <c r="A24" s="34" t="s">
        <v>43</v>
      </c>
      <c r="B24" s="330" t="str">
        <f>IFERROR(VLOOKUP(A24,INDICE!$D$15:$N$110,6,FALSE),"")</f>
        <v>Distancia a centros de salud primaria.</v>
      </c>
      <c r="C24" s="330"/>
      <c r="D24" s="330"/>
      <c r="E24" s="330"/>
      <c r="F24" s="330"/>
      <c r="G24" s="330"/>
      <c r="H24" s="220" t="str">
        <f>IFERROR(VLOOKUP($E$4,'LB2018'!$F$15:$CD$131,10,FALSE),"")</f>
        <v/>
      </c>
      <c r="I24" s="220" t="str">
        <f>IFERROR(VLOOKUP($E$4,'ACT2019'!$F$15:$CD$131,10,FALSE),"")</f>
        <v/>
      </c>
      <c r="J24" s="220" t="str">
        <f>IFERROR(VLOOKUP($E$4,'ACT2020'!$F$15:$CD$131,10,FALSE),"")</f>
        <v/>
      </c>
    </row>
    <row r="25" spans="1:11" ht="26.25" customHeight="1">
      <c r="A25" s="34" t="s">
        <v>46</v>
      </c>
      <c r="B25" s="288" t="str">
        <f>IFERROR(VLOOKUP(A25,INDICE!$D$15:$N$110,6,FALSE),"")</f>
        <v>Cantidad de jornadas diarias completas de trabajo de médicos, en salud primaria, por cada 10.000 habitantes.</v>
      </c>
      <c r="C25" s="288"/>
      <c r="D25" s="288"/>
      <c r="E25" s="288"/>
      <c r="F25" s="288"/>
      <c r="G25" s="288"/>
      <c r="H25" s="211" t="str">
        <f>IFERROR(VLOOKUP($E$4,'LB2018'!$F$15:$CD$131,11,FALSE),"")</f>
        <v/>
      </c>
      <c r="I25" s="211" t="str">
        <f>IFERROR(VLOOKUP($E$4,'ACT2019'!$F$15:$CD$131,11,FALSE),"")</f>
        <v/>
      </c>
      <c r="J25" s="211" t="str">
        <f>IFERROR(VLOOKUP($E$4,'ACT2020'!$F$15:$CD$131,11,FALSE),"")</f>
        <v/>
      </c>
    </row>
    <row r="26" spans="1:11" ht="15" customHeight="1">
      <c r="A26" s="34" t="s">
        <v>49</v>
      </c>
      <c r="B26" s="330" t="str">
        <f>IFERROR(VLOOKUP(A26,INDICE!$D$15:$N$110,6,FALSE),"")</f>
        <v>Distancia a establecimientos de educación básica.</v>
      </c>
      <c r="C26" s="330"/>
      <c r="D26" s="330"/>
      <c r="E26" s="330"/>
      <c r="F26" s="330"/>
      <c r="G26" s="330"/>
      <c r="H26" s="212" t="str">
        <f>IFERROR(VLOOKUP($E$4,'LB2018'!$F$15:$CD$131,12,FALSE),"")</f>
        <v/>
      </c>
      <c r="I26" s="212" t="str">
        <f>IFERROR(VLOOKUP($E$4,'ACT2019'!$F$15:$CD$131,12,FALSE),"")</f>
        <v/>
      </c>
      <c r="J26" s="212" t="str">
        <f>IFERROR(VLOOKUP($E$4,'ACT2020'!$F$15:$CD$131,12,FALSE),"")</f>
        <v/>
      </c>
    </row>
    <row r="27" spans="1:11" ht="24.75" customHeight="1">
      <c r="A27" s="34" t="s">
        <v>52</v>
      </c>
      <c r="B27" s="288" t="str">
        <f>IFERROR(VLOOKUP(A27,INDICE!$D$15:$N$110,6,FALSE),"")</f>
        <v>Razón entre disponibilidad efectiva de matrículas y demanda potencial por educación básica.</v>
      </c>
      <c r="C27" s="288"/>
      <c r="D27" s="288"/>
      <c r="E27" s="288"/>
      <c r="F27" s="288"/>
      <c r="G27" s="288"/>
      <c r="H27" s="211" t="str">
        <f>IFERROR(VLOOKUP($E$4,'LB2018'!$F$15:$CD$131,13,FALSE),"")</f>
        <v/>
      </c>
      <c r="I27" s="211" t="str">
        <f>IFERROR(VLOOKUP($E$4,'ACT2019'!$F$15:$CD$131,13,FALSE),"")</f>
        <v/>
      </c>
      <c r="J27" s="211" t="str">
        <f>IFERROR(VLOOKUP($E$4,'ACT2020'!$F$15:$CD$131,13,FALSE),"")</f>
        <v/>
      </c>
    </row>
    <row r="28" spans="1:11" ht="15" customHeight="1">
      <c r="A28" s="34" t="s">
        <v>56</v>
      </c>
      <c r="B28" s="330" t="str">
        <f>IFERROR(VLOOKUP(A28,INDICE!$D$15:$N$110,6,FALSE),"")</f>
        <v>Distancia a establecimientos de educación inicial.</v>
      </c>
      <c r="C28" s="330"/>
      <c r="D28" s="330"/>
      <c r="E28" s="330"/>
      <c r="F28" s="330"/>
      <c r="G28" s="330"/>
      <c r="H28" s="220" t="str">
        <f>IFERROR(VLOOKUP($E$4,'LB2018'!$F$15:$CD$131,14,FALSE),"")</f>
        <v/>
      </c>
      <c r="I28" s="220" t="str">
        <f>IFERROR(VLOOKUP($E$4,'ACT2019'!$F$15:$CD$131,14,FALSE),"")</f>
        <v/>
      </c>
      <c r="J28" s="220" t="str">
        <f>IFERROR(VLOOKUP($E$4,'ACT2020'!$F$15:$CD$131,14,FALSE),"")</f>
        <v/>
      </c>
    </row>
    <row r="29" spans="1:11" ht="15" customHeight="1">
      <c r="A29" s="34" t="s">
        <v>60</v>
      </c>
      <c r="B29" s="330" t="str">
        <f>IFERROR(VLOOKUP(A29,INDICE!$D$15:$N$110,6,FALSE),"")</f>
        <v>Distancia a paraderos de transporte público mayor.</v>
      </c>
      <c r="C29" s="330"/>
      <c r="D29" s="330"/>
      <c r="E29" s="330"/>
      <c r="F29" s="330"/>
      <c r="G29" s="330"/>
      <c r="H29" s="220" t="str">
        <f>IFERROR(VLOOKUP($E$4,'LB2018'!$F$15:$CD$131,15,FALSE),"")</f>
        <v/>
      </c>
      <c r="I29" s="220" t="str">
        <f>IFERROR(VLOOKUP($E$4,'ACT2019'!$F$15:$CD$131,15,FALSE),"")</f>
        <v/>
      </c>
      <c r="J29" s="220" t="str">
        <f>IFERROR(VLOOKUP($E$4,'ACT2020'!$F$15:$CD$131,15,FALSE),"")</f>
        <v/>
      </c>
    </row>
    <row r="30" spans="1:11" ht="25.5" customHeight="1">
      <c r="A30" s="34" t="s">
        <v>63</v>
      </c>
      <c r="B30" s="285" t="str">
        <f>IFERROR(VLOOKUP(A30,INDICE!$D$15:$N$110,6,FALSE),"")</f>
        <v>Densidad de oferta planificada de transporte público mayor en periodo punta mañana, por persona.</v>
      </c>
      <c r="C30" s="286"/>
      <c r="D30" s="286"/>
      <c r="E30" s="286"/>
      <c r="F30" s="286"/>
      <c r="G30" s="287"/>
      <c r="H30" s="211" t="str">
        <f>IFERROR(VLOOKUP($E$4,'LB2018'!$F$15:$CD$131,16,FALSE),"")</f>
        <v/>
      </c>
      <c r="I30" s="211" t="str">
        <f>IFERROR(VLOOKUP($E$4,'ACT2019'!$F$15:$CD$131,16,FALSE),"")</f>
        <v/>
      </c>
      <c r="J30" s="211" t="str">
        <f>IFERROR(VLOOKUP($E$4,'ACT2020'!$F$15:$CD$131,16,FALSE),"")</f>
        <v/>
      </c>
    </row>
    <row r="31" spans="1:11" ht="24.75" customHeight="1">
      <c r="A31" s="34" t="s">
        <v>65</v>
      </c>
      <c r="B31" s="327" t="s">
        <v>332</v>
      </c>
      <c r="C31" s="328"/>
      <c r="D31" s="328"/>
      <c r="E31" s="328"/>
      <c r="F31" s="328"/>
      <c r="G31" s="329"/>
      <c r="H31" s="211" t="str">
        <f>IFERROR(VLOOKUP($E$4,'LB2018'!$F$15:$CD$131,17,FALSE),"")</f>
        <v/>
      </c>
      <c r="I31" s="211" t="str">
        <f>IFERROR(VLOOKUP($E$4,'ACT2019'!$F$15:$CD$131,17,FALSE),"")</f>
        <v/>
      </c>
      <c r="J31" s="211" t="str">
        <f>IFERROR(VLOOKUP($E$4,'ACT2020'!$F$15:$CD$131,17,FALSE),"")</f>
        <v/>
      </c>
    </row>
    <row r="32" spans="1:11" ht="24" customHeight="1">
      <c r="A32" s="34" t="s">
        <v>67</v>
      </c>
      <c r="B32" s="288" t="str">
        <f>IFERROR(VLOOKUP(A32,INDICE!$D$15:$N$110,6,FALSE),"")</f>
        <v>Densidad de oferta planificada de transporte público menor en periodo punta mañana, por persona.</v>
      </c>
      <c r="C32" s="288"/>
      <c r="D32" s="288"/>
      <c r="E32" s="288"/>
      <c r="F32" s="288"/>
      <c r="G32" s="288"/>
      <c r="H32" s="211" t="str">
        <f>IFERROR(VLOOKUP($E$4,'LB2018'!$F$15:$CD$131,18,FALSE),"")</f>
        <v/>
      </c>
      <c r="I32" s="211" t="str">
        <f>IFERROR(VLOOKUP($E$4,'ACT2019'!$F$15:$CD$131,18,FALSE),"")</f>
        <v/>
      </c>
      <c r="J32" s="211" t="str">
        <f>IFERROR(VLOOKUP($E$4,'ACT2020'!$F$15:$CD$131,18,FALSE),"")</f>
        <v/>
      </c>
    </row>
    <row r="33" spans="1:10" ht="15" customHeight="1">
      <c r="A33" s="34" t="s">
        <v>74</v>
      </c>
      <c r="B33" s="330" t="str">
        <f>IFERROR(VLOOKUP(A33,INDICE!$D$15:$N$110,6,FALSE),"")</f>
        <v>Porcentaje de cobertura de la red de ciclovía sobre la red vial.</v>
      </c>
      <c r="C33" s="330"/>
      <c r="D33" s="330"/>
      <c r="E33" s="330"/>
      <c r="F33" s="330"/>
      <c r="G33" s="330"/>
      <c r="H33" s="211" t="str">
        <f>IFERROR(VLOOKUP($E$4,'LB2018'!$F$15:$CD$131,19,FALSE),"")</f>
        <v/>
      </c>
      <c r="I33" s="211" t="str">
        <f>IFERROR(VLOOKUP($E$4,'ACT2019'!$F$15:$CD$131,19,FALSE),"")</f>
        <v/>
      </c>
      <c r="J33" s="211" t="str">
        <f>IFERROR(VLOOKUP($E$4,'ACT2020'!$F$15:$CD$131,19,FALSE),"")</f>
        <v/>
      </c>
    </row>
    <row r="34" spans="1:10" ht="15" customHeight="1">
      <c r="A34" s="34" t="s">
        <v>77</v>
      </c>
      <c r="B34" s="330" t="str">
        <f>IFERROR(VLOOKUP(A34,INDICE!$D$15:$N$110,6,FALSE),"")</f>
        <v>Porcentaje de población atendida por la red de ciclovías.</v>
      </c>
      <c r="C34" s="330"/>
      <c r="D34" s="330"/>
      <c r="E34" s="330"/>
      <c r="F34" s="330"/>
      <c r="G34" s="330"/>
      <c r="H34" s="211" t="str">
        <f>IFERROR(VLOOKUP($E$4,'LB2018'!$F$15:$CD$131,20,FALSE),"")</f>
        <v/>
      </c>
      <c r="I34" s="211" t="str">
        <f>IFERROR(VLOOKUP($E$4,'ACT2019'!$F$15:$CD$131,20,FALSE),"")</f>
        <v/>
      </c>
      <c r="J34" s="211" t="str">
        <f>IFERROR(VLOOKUP($E$4,'ACT2020'!$F$15:$CD$131,20,FALSE),"")</f>
        <v/>
      </c>
    </row>
    <row r="35" spans="1:10" ht="15" customHeight="1">
      <c r="A35" s="34" t="s">
        <v>80</v>
      </c>
      <c r="B35" s="330" t="str">
        <f>IFERROR(VLOOKUP(A35,INDICE!$D$15:$N$110,6,FALSE),"")</f>
        <v>Promedio de intersecciones relevantes cada 1,44 km².</v>
      </c>
      <c r="C35" s="330"/>
      <c r="D35" s="330"/>
      <c r="E35" s="330"/>
      <c r="F35" s="330"/>
      <c r="G35" s="330"/>
      <c r="H35" s="211" t="str">
        <f>IFERROR(VLOOKUP($E$4,'LB2018'!$F$15:$CD$131,21,FALSE),"")</f>
        <v/>
      </c>
      <c r="I35" s="211" t="str">
        <f>IFERROR(VLOOKUP($E$4,'ACT2019'!$F$15:$CD$131,21,FALSE),"")</f>
        <v/>
      </c>
      <c r="J35" s="211" t="str">
        <f>IFERROR(VLOOKUP($E$4,'ACT2020'!$F$15:$CD$131,21,FALSE),"")</f>
        <v/>
      </c>
    </row>
    <row r="36" spans="1:10" ht="24.75" customHeight="1">
      <c r="A36" s="34" t="s">
        <v>83</v>
      </c>
      <c r="B36" s="288" t="str">
        <f>IFERROR(VLOOKUP(A36,INDICE!$D$15:$N$110,6,FALSE),"")</f>
        <v>Relación entre el tiempo de viaje en hora punta respecto del tiempo de viaje fuera de hora punta.</v>
      </c>
      <c r="C36" s="288"/>
      <c r="D36" s="288"/>
      <c r="E36" s="288"/>
      <c r="F36" s="288"/>
      <c r="G36" s="288"/>
      <c r="H36" s="211" t="str">
        <f>IFERROR(VLOOKUP($E$4,'LB2018'!$F$15:$CD$131,22,FALSE),"")</f>
        <v/>
      </c>
      <c r="I36" s="211" t="str">
        <f>IFERROR(VLOOKUP($E$4,'ACT2019'!$F$15:$CD$131,22,FALSE),"")</f>
        <v/>
      </c>
      <c r="J36" s="211" t="str">
        <f>IFERROR(VLOOKUP($E$4,'ACT2020'!$F$15:$CD$131,22,FALSE),"")</f>
        <v/>
      </c>
    </row>
    <row r="37" spans="1:10" ht="24" customHeight="1">
      <c r="A37" s="34" t="s">
        <v>86</v>
      </c>
      <c r="B37" s="288" t="str">
        <f>IFERROR(VLOOKUP(A37,INDICE!$D$15:$N$110,6,FALSE),"")</f>
        <v>Partición modal del transporte público (número de viajes en transporte público respecto al número total de viajes).</v>
      </c>
      <c r="C37" s="288"/>
      <c r="D37" s="288"/>
      <c r="E37" s="288"/>
      <c r="F37" s="288"/>
      <c r="G37" s="288"/>
      <c r="H37" s="215" t="str">
        <f>IFERROR(VLOOKUP($E$4,'LB2018'!$F$15:$CD$131,23,FALSE),"")</f>
        <v/>
      </c>
      <c r="I37" s="215" t="str">
        <f>IFERROR(VLOOKUP($E$4,'ACT2019'!$F$15:$CD$131,23,FALSE),"")</f>
        <v/>
      </c>
      <c r="J37" s="215" t="str">
        <f>IFERROR(VLOOKUP($E$4,'ACT2020'!$F$15:$CD$131,23,FALSE),"")</f>
        <v/>
      </c>
    </row>
    <row r="38" spans="1:10" ht="24.75" customHeight="1">
      <c r="A38" s="34" t="s">
        <v>88</v>
      </c>
      <c r="B38" s="288" t="str">
        <f>IFERROR(VLOOKUP(A38,INDICE!$D$15:$N$110,6,FALSE),"")</f>
        <v>Partición modal del transporte sustentable (suma de viajes en transporte público, caminata y bicicleta respecto al número total de viajes).</v>
      </c>
      <c r="C38" s="288"/>
      <c r="D38" s="288"/>
      <c r="E38" s="288"/>
      <c r="F38" s="288"/>
      <c r="G38" s="288"/>
      <c r="H38" s="215" t="str">
        <f>IFERROR(VLOOKUP($E$4,'LB2018'!$F$15:$CD$131,24,FALSE),"")</f>
        <v/>
      </c>
      <c r="I38" s="215" t="str">
        <f>IFERROR(VLOOKUP($E$4,'ACT2019'!$F$15:$CD$131,24,FALSE),"")</f>
        <v/>
      </c>
      <c r="J38" s="215" t="str">
        <f>IFERROR(VLOOKUP($E$4,'ACT2020'!$F$15:$CD$131,24,FALSE),"")</f>
        <v/>
      </c>
    </row>
    <row r="39" spans="1:10" ht="15" customHeight="1">
      <c r="A39" s="34" t="s">
        <v>91</v>
      </c>
      <c r="B39" s="330" t="str">
        <f>IFERROR(VLOOKUP(A39,INDICE!$D$15:$N$110,6,FALSE),"")</f>
        <v>Tiempo de viaje en hora punta mañana.</v>
      </c>
      <c r="C39" s="330"/>
      <c r="D39" s="330"/>
      <c r="E39" s="330"/>
      <c r="F39" s="330"/>
      <c r="G39" s="330"/>
      <c r="H39" s="212" t="str">
        <f>IFERROR(VLOOKUP($E$4,'LB2018'!$F$15:$CD$131,25,FALSE),"")</f>
        <v/>
      </c>
      <c r="I39" s="212" t="str">
        <f>IFERROR(VLOOKUP($E$4,'ACT2019'!$F$15:$CD$131,25,FALSE),"")</f>
        <v/>
      </c>
      <c r="J39" s="212" t="str">
        <f>IFERROR(VLOOKUP($E$4,'ACT2020'!$F$15:$CD$131,25,FALSE),"")</f>
        <v/>
      </c>
    </row>
    <row r="40" spans="1:10" ht="15" customHeight="1">
      <c r="A40" s="34" t="s">
        <v>94</v>
      </c>
      <c r="B40" s="330" t="str">
        <f>IFERROR(VLOOKUP(A40,INDICE!$D$15:$N$110,6,FALSE),"")</f>
        <v>Tiempo de viaje en transporte público en hora punta mañana.</v>
      </c>
      <c r="C40" s="330"/>
      <c r="D40" s="330"/>
      <c r="E40" s="330"/>
      <c r="F40" s="330"/>
      <c r="G40" s="330"/>
      <c r="H40" s="212" t="str">
        <f>IFERROR(VLOOKUP($E$4,'LB2018'!$F$15:$CD$131,26,FALSE),"")</f>
        <v/>
      </c>
      <c r="I40" s="212" t="str">
        <f>IFERROR(VLOOKUP($E$4,'ACT2019'!$F$15:$CD$131,26,FALSE),"")</f>
        <v/>
      </c>
      <c r="J40" s="212" t="str">
        <f>IFERROR(VLOOKUP($E$4,'ACT2020'!$F$15:$CD$131,26,FALSE),"")</f>
        <v/>
      </c>
    </row>
    <row r="41" spans="1:10" ht="15" customHeight="1">
      <c r="A41" s="34" t="s">
        <v>96</v>
      </c>
      <c r="B41" s="330" t="str">
        <f>IFERROR(VLOOKUP(A41,INDICE!$D$15:$N$110,6,FALSE),"")</f>
        <v xml:space="preserve">Proporción de viajes con una duración mayor o igual a 45 minutos. </v>
      </c>
      <c r="C41" s="330"/>
      <c r="D41" s="330"/>
      <c r="E41" s="330"/>
      <c r="F41" s="330"/>
      <c r="G41" s="330"/>
      <c r="H41" s="211" t="str">
        <f>IFERROR(VLOOKUP($E$4,'LB2018'!$F$15:$CD$131,27,FALSE),"")</f>
        <v/>
      </c>
      <c r="I41" s="211" t="str">
        <f>IFERROR(VLOOKUP($E$4,'ACT2019'!$F$15:$CD$131,27,FALSE),"")</f>
        <v/>
      </c>
      <c r="J41" s="211" t="str">
        <f>IFERROR(VLOOKUP($E$4,'ACT2020'!$F$15:$CD$131,27,FALSE),"")</f>
        <v/>
      </c>
    </row>
    <row r="42" spans="1:10" ht="15" customHeight="1">
      <c r="A42" s="34" t="s">
        <v>98</v>
      </c>
      <c r="B42" s="288" t="str">
        <f>IFERROR(VLOOKUP(A42,INDICE!$D$15:$N$110,6,FALSE),"")</f>
        <v>Proporción de viajes de estudio y trabajo con una duración mayor o igual a 45 minutos.</v>
      </c>
      <c r="C42" s="288"/>
      <c r="D42" s="288"/>
      <c r="E42" s="288"/>
      <c r="F42" s="288"/>
      <c r="G42" s="288"/>
      <c r="H42" s="211" t="str">
        <f>IFERROR(VLOOKUP($E$4,'LB2018'!$F$15:$CD$131,28,FALSE),"")</f>
        <v/>
      </c>
      <c r="I42" s="211" t="str">
        <f>IFERROR(VLOOKUP($E$4,'ACT2019'!$F$15:$CD$131,28,FALSE),"")</f>
        <v/>
      </c>
      <c r="J42" s="211" t="str">
        <f>IFERROR(VLOOKUP($E$4,'ACT2020'!$F$15:$CD$131,28,FALSE),"")</f>
        <v/>
      </c>
    </row>
    <row r="43" spans="1:10" ht="24.75" customHeight="1">
      <c r="A43" s="34" t="s">
        <v>100</v>
      </c>
      <c r="B43" s="288" t="str">
        <f>IFERROR(VLOOKUP(A43,INDICE!$D$15:$N$110,6,FALSE),"")</f>
        <v>Proporción de viajes totales en transporte público con una duración mayor o igual a 45 minutos.</v>
      </c>
      <c r="C43" s="288"/>
      <c r="D43" s="288"/>
      <c r="E43" s="288"/>
      <c r="F43" s="288"/>
      <c r="G43" s="288"/>
      <c r="H43" s="211" t="str">
        <f>IFERROR(VLOOKUP($E$4,'LB2018'!$F$15:$CD$131,29,FALSE),"")</f>
        <v/>
      </c>
      <c r="I43" s="211" t="str">
        <f>IFERROR(VLOOKUP($E$4,'ACT2019'!$F$15:$CD$131,29,FALSE),"")</f>
        <v/>
      </c>
      <c r="J43" s="211" t="str">
        <f>IFERROR(VLOOKUP($E$4,'ACT2020'!$F$15:$CD$131,29,FALSE),"")</f>
        <v/>
      </c>
    </row>
    <row r="44" spans="1:10" ht="25.5" customHeight="1">
      <c r="A44" s="34" t="s">
        <v>102</v>
      </c>
      <c r="B44" s="288" t="str">
        <f>IFERROR(VLOOKUP(A44,INDICE!$D$15:$N$110,6,FALSE),"")</f>
        <v>Proporción de viajes totales en transporte privado con una duración mayor o igual a 45 minutos.</v>
      </c>
      <c r="C44" s="288"/>
      <c r="D44" s="288"/>
      <c r="E44" s="288"/>
      <c r="F44" s="288"/>
      <c r="G44" s="288"/>
      <c r="H44" s="211" t="str">
        <f>IFERROR(VLOOKUP($E$4,'LB2018'!$F$15:$CD$131,30,FALSE),"")</f>
        <v/>
      </c>
      <c r="I44" s="211" t="str">
        <f>IFERROR(VLOOKUP($E$4,'ACT2019'!$F$15:$CD$131,30,FALSE),"")</f>
        <v/>
      </c>
      <c r="J44" s="211" t="str">
        <f>IFERROR(VLOOKUP($E$4,'ACT2020'!$F$15:$CD$131,30,FALSE),"")</f>
        <v/>
      </c>
    </row>
    <row r="45" spans="1:10" ht="15" customHeight="1">
      <c r="A45" s="34" t="s">
        <v>105</v>
      </c>
      <c r="B45" s="288" t="str">
        <f>IFERROR(VLOOKUP(A45,INDICE!$D$15:$N$110,6,FALSE),"")</f>
        <v>Número de víctimas mortales en siniestros de tránsito por cada 100.000 habitantes.</v>
      </c>
      <c r="C45" s="288"/>
      <c r="D45" s="288"/>
      <c r="E45" s="288"/>
      <c r="F45" s="288"/>
      <c r="G45" s="288"/>
      <c r="H45" s="212" t="str">
        <f>IFERROR(VLOOKUP($E$4,'LB2018'!$F$15:$CD$131,31,FALSE),"")</f>
        <v/>
      </c>
      <c r="I45" s="212" t="str">
        <f>IFERROR(VLOOKUP($E$4,'ACT2019'!$F$15:$CD$131,31,FALSE),"")</f>
        <v/>
      </c>
      <c r="J45" s="212" t="str">
        <f>IFERROR(VLOOKUP($E$4,'ACT2020'!$F$15:$CD$131,31,FALSE),"")</f>
        <v/>
      </c>
    </row>
    <row r="46" spans="1:10" ht="15" customHeight="1">
      <c r="A46" s="34" t="s">
        <v>107</v>
      </c>
      <c r="B46" s="288" t="str">
        <f>IFERROR(VLOOKUP(A46,INDICE!$D$15:$N$110,6,FALSE),"")</f>
        <v>Número de víctimas lesionadas en siniestros de tránsito por cada 100.000 habitantes.</v>
      </c>
      <c r="C46" s="288"/>
      <c r="D46" s="288"/>
      <c r="E46" s="288"/>
      <c r="F46" s="288"/>
      <c r="G46" s="288"/>
      <c r="H46" s="212" t="str">
        <f>IFERROR(VLOOKUP($E$4,'LB2018'!$F$15:$CD$131,32,FALSE),"")</f>
        <v/>
      </c>
      <c r="I46" s="212" t="str">
        <f>IFERROR(VLOOKUP($E$4,'ACT2019'!$F$15:$CD$131,32,FALSE),"")</f>
        <v/>
      </c>
      <c r="J46" s="212" t="str">
        <f>IFERROR(VLOOKUP($E$4,'ACT2020'!$F$15:$CD$131,32,FALSE),"")</f>
        <v/>
      </c>
    </row>
    <row r="47" spans="1:10" ht="25.5" customHeight="1">
      <c r="A47" s="34" t="s">
        <v>120</v>
      </c>
      <c r="B47" s="288" t="str">
        <f>IFERROR(VLOOKUP(A47,INDICE!$D$15:$N$110,6,FALSE),"")</f>
        <v>Porcentaje de personas potencialmente expuestas a niveles de ruido diurno inaceptables (Ld &gt; 65 dBA OCDE).</v>
      </c>
      <c r="C47" s="288"/>
      <c r="D47" s="288"/>
      <c r="E47" s="288"/>
      <c r="F47" s="288"/>
      <c r="G47" s="288"/>
      <c r="H47" s="211" t="str">
        <f>IFERROR(VLOOKUP($E$4,'LB2018'!$F$15:$CD$131,33,FALSE),"")</f>
        <v/>
      </c>
      <c r="I47" s="211" t="str">
        <f>IFERROR(VLOOKUP($E$4,'ACT2019'!$F$15:$CD$131,33,FALSE),"")</f>
        <v/>
      </c>
      <c r="J47" s="211" t="str">
        <f>IFERROR(VLOOKUP($E$4,'ACT2020'!$F$15:$CD$131,33,FALSE),"")</f>
        <v/>
      </c>
    </row>
    <row r="48" spans="1:10" ht="22.5" customHeight="1">
      <c r="A48" s="34" t="s">
        <v>123</v>
      </c>
      <c r="B48" s="288" t="str">
        <f>IFERROR(VLOOKUP(A48,INDICE!$D$15:$N$110,6,FALSE),"")</f>
        <v>Porcentaje de personas potencialmente expuestas a niveles de ruido nocturno inaceptables (Ln &gt; 55 dBA OCDE).</v>
      </c>
      <c r="C48" s="288"/>
      <c r="D48" s="288"/>
      <c r="E48" s="288"/>
      <c r="F48" s="288"/>
      <c r="G48" s="288"/>
      <c r="H48" s="211" t="str">
        <f>IFERROR(VLOOKUP($E$4,'LB2018'!$F$15:$CD$131,34,FALSE),"")</f>
        <v/>
      </c>
      <c r="I48" s="211" t="str">
        <f>IFERROR(VLOOKUP($E$4,'ACT2019'!$F$15:$CD$131,34,FALSE),"")</f>
        <v/>
      </c>
      <c r="J48" s="211" t="str">
        <f>IFERROR(VLOOKUP($E$4,'ACT2020'!$F$15:$CD$131,34,FALSE),"")</f>
        <v/>
      </c>
    </row>
    <row r="49" spans="1:10" ht="15" customHeight="1">
      <c r="A49" s="34" t="s">
        <v>132</v>
      </c>
      <c r="B49" s="288" t="str">
        <f>IFERROR(VLOOKUP(A49,INDICE!$D$15:$N$110,6,FALSE),"")</f>
        <v>Cantidad de Residuos eliminados con disposición final per cápita.</v>
      </c>
      <c r="C49" s="288"/>
      <c r="D49" s="288"/>
      <c r="E49" s="288"/>
      <c r="F49" s="288"/>
      <c r="G49" s="288"/>
      <c r="H49" s="211" t="str">
        <f>IFERROR(VLOOKUP($E$4,'LB2018'!$F$15:$CD$131,35,FALSE),"")</f>
        <v/>
      </c>
      <c r="I49" s="211" t="str">
        <f>IFERROR(VLOOKUP($E$4,'ACT2019'!$F$15:$CD$131,35,FALSE),"")</f>
        <v/>
      </c>
      <c r="J49" s="211" t="str">
        <f>IFERROR(VLOOKUP($E$4,'ACT2020'!$F$15:$CD$131,35,FALSE),"")</f>
        <v/>
      </c>
    </row>
    <row r="50" spans="1:10" ht="15" customHeight="1">
      <c r="A50" s="34" t="s">
        <v>135</v>
      </c>
      <c r="B50" s="330" t="str">
        <f>IFERROR(VLOOKUP(A50,INDICE!$D$15:$N$110,6,FALSE),"")</f>
        <v>Porcentaje de residuos municipales valorizados.</v>
      </c>
      <c r="C50" s="330"/>
      <c r="D50" s="330"/>
      <c r="E50" s="330"/>
      <c r="F50" s="330"/>
      <c r="G50" s="330"/>
      <c r="H50" s="211" t="str">
        <f>IFERROR(VLOOKUP($E$4,'LB2018'!$F$15:$CD$131,36,FALSE),"")</f>
        <v/>
      </c>
      <c r="I50" s="211" t="str">
        <f>IFERROR(VLOOKUP($E$4,'ACT2019'!$F$15:$CD$131,36,FALSE),"")</f>
        <v/>
      </c>
      <c r="J50" s="211" t="str">
        <f>IFERROR(VLOOKUP($E$4,'ACT2020'!$F$15:$CD$131,36,FALSE),"")</f>
        <v/>
      </c>
    </row>
    <row r="51" spans="1:10" ht="15" customHeight="1">
      <c r="A51" s="34" t="s">
        <v>137</v>
      </c>
      <c r="B51" s="330" t="str">
        <f>IFERROR(VLOOKUP(A51,INDICE!$D$15:$N$110,6,FALSE),"")</f>
        <v>Número de microbasurales por cada 10.000 habitantes.</v>
      </c>
      <c r="C51" s="330"/>
      <c r="D51" s="330"/>
      <c r="E51" s="330"/>
      <c r="F51" s="330"/>
      <c r="G51" s="330"/>
      <c r="H51" s="211" t="str">
        <f>IFERROR(VLOOKUP($E$4,'LB2018'!$F$15:$CD$131,37,FALSE),"")</f>
        <v/>
      </c>
      <c r="I51" s="211" t="str">
        <f>IFERROR(VLOOKUP($E$4,'ACT2019'!$F$15:$CD$131,37,FALSE),"")</f>
        <v/>
      </c>
      <c r="J51" s="211" t="str">
        <f>IFERROR(VLOOKUP($E$4,'ACT2020'!$F$15:$CD$131,37,FALSE),"")</f>
        <v/>
      </c>
    </row>
    <row r="52" spans="1:10" ht="15" customHeight="1">
      <c r="A52" s="34" t="s">
        <v>140</v>
      </c>
      <c r="B52" s="330" t="str">
        <f>IFERROR(VLOOKUP(A52,INDICE!$D$15:$N$110,6,FALSE),"")</f>
        <v>Consumo de energía eléctrica per cápita residencial.</v>
      </c>
      <c r="C52" s="330"/>
      <c r="D52" s="330"/>
      <c r="E52" s="330"/>
      <c r="F52" s="330"/>
      <c r="G52" s="330"/>
      <c r="H52" s="228" t="str">
        <f>IFERROR(VLOOKUP($E$4,'LB2018'!$F$15:$CD$131,38,FALSE),"")</f>
        <v/>
      </c>
      <c r="I52" s="228" t="str">
        <f>IFERROR(VLOOKUP($E$4,'ACT2019'!$F$15:$CD$131,38,FALSE),"")</f>
        <v/>
      </c>
      <c r="J52" s="228" t="str">
        <f>IFERROR(VLOOKUP($E$4,'ACT2020'!$F$15:$CD$131,38,FALSE),"")</f>
        <v/>
      </c>
    </row>
    <row r="53" spans="1:10" ht="15" customHeight="1">
      <c r="A53" s="34" t="s">
        <v>142</v>
      </c>
      <c r="B53" s="330" t="str">
        <f>IFERROR(VLOOKUP(A53,INDICE!$D$15:$N$110,6,FALSE),"")</f>
        <v>Consumo de energía eléctrica per cápita no residencial.</v>
      </c>
      <c r="C53" s="330"/>
      <c r="D53" s="330"/>
      <c r="E53" s="330"/>
      <c r="F53" s="330"/>
      <c r="G53" s="330"/>
      <c r="H53" s="228" t="str">
        <f>IFERROR(VLOOKUP($E$4,'LB2018'!$F$15:$CD$131,39,FALSE),"")</f>
        <v/>
      </c>
      <c r="I53" s="228" t="str">
        <f>IFERROR(VLOOKUP($E$4,'ACT2019'!$F$15:$CD$131,39,FALSE),"")</f>
        <v/>
      </c>
      <c r="J53" s="228" t="str">
        <f>IFERROR(VLOOKUP($E$4,'ACT2020'!$F$15:$CD$131,39,FALSE),"")</f>
        <v/>
      </c>
    </row>
    <row r="54" spans="1:10" ht="27.75" customHeight="1">
      <c r="A54" s="34" t="s">
        <v>144</v>
      </c>
      <c r="B54" s="288" t="str">
        <f>IFERROR(VLOOKUP(A54,INDICE!$D$15:$N$110,6,FALSE),"")</f>
        <v>Porcentaje de aporte de energía eléctrica proveniente de paneles solares residenciales.</v>
      </c>
      <c r="C54" s="288"/>
      <c r="D54" s="288"/>
      <c r="E54" s="288"/>
      <c r="F54" s="288"/>
      <c r="G54" s="288"/>
      <c r="H54" s="211" t="str">
        <f>IFERROR(VLOOKUP($E$4,'LB2018'!$F$15:$CD$131,40,FALSE),"")</f>
        <v/>
      </c>
      <c r="I54" s="211" t="str">
        <f>IFERROR(VLOOKUP($E$4,'ACT2019'!$F$15:$CD$131,40,FALSE),"")</f>
        <v/>
      </c>
      <c r="J54" s="211" t="str">
        <f>IFERROR(VLOOKUP($E$4,'ACT2020'!$F$15:$CD$131,40,FALSE),"")</f>
        <v/>
      </c>
    </row>
    <row r="55" spans="1:10" ht="15" customHeight="1">
      <c r="A55" s="34" t="s">
        <v>153</v>
      </c>
      <c r="B55" s="330" t="str">
        <f>IFERROR(VLOOKUP(A55,INDICE!$D$15:$N$110,6,FALSE),"")</f>
        <v>Porcentaje de la superficie cubierta por vegetación total.</v>
      </c>
      <c r="C55" s="330"/>
      <c r="D55" s="330"/>
      <c r="E55" s="330"/>
      <c r="F55" s="330"/>
      <c r="G55" s="330"/>
      <c r="H55" s="211" t="str">
        <f>IFERROR(VLOOKUP($E$4,'LB2018'!$F$15:$CD$131,41,FALSE),"")</f>
        <v/>
      </c>
      <c r="I55" s="211" t="str">
        <f>IFERROR(VLOOKUP($E$4,'ACT2019'!$F$15:$CD$131,41,FALSE),"")</f>
        <v/>
      </c>
      <c r="J55" s="211" t="str">
        <f>IFERROR(VLOOKUP($E$4,'ACT2020'!$F$15:$CD$131,41,FALSE),"")</f>
        <v/>
      </c>
    </row>
    <row r="56" spans="1:10" ht="15" customHeight="1">
      <c r="A56" s="34" t="s">
        <v>155</v>
      </c>
      <c r="B56" s="330" t="str">
        <f>IFERROR(VLOOKUP(A56,INDICE!$D$15:$N$110,6,FALSE),"")</f>
        <v>Porcentaje de la superficie cubierta por vegetación densa.</v>
      </c>
      <c r="C56" s="330"/>
      <c r="D56" s="330"/>
      <c r="E56" s="330"/>
      <c r="F56" s="330"/>
      <c r="G56" s="330"/>
      <c r="H56" s="211" t="str">
        <f>IFERROR(VLOOKUP($E$4,'LB2018'!$F$15:$CD$131,42,FALSE),"")</f>
        <v/>
      </c>
      <c r="I56" s="211" t="str">
        <f>IFERROR(VLOOKUP($E$4,'ACT2019'!$F$15:$CD$131,42,FALSE),"")</f>
        <v/>
      </c>
      <c r="J56" s="211" t="str">
        <f>IFERROR(VLOOKUP($E$4,'ACT2020'!$F$15:$CD$131,42,FALSE),"")</f>
        <v/>
      </c>
    </row>
    <row r="57" spans="1:10" ht="26.25" customHeight="1">
      <c r="A57" s="34" t="s">
        <v>159</v>
      </c>
      <c r="B57" s="288" t="str">
        <f>IFERROR(VLOOKUP(A57,INDICE!$D$15:$N$110,6,FALSE),"")</f>
        <v>Tasa de conexiones residenciales fijas de internet por cada 1.000 viviendas particulares.</v>
      </c>
      <c r="C57" s="288"/>
      <c r="D57" s="288"/>
      <c r="E57" s="288"/>
      <c r="F57" s="288"/>
      <c r="G57" s="288"/>
      <c r="H57" s="211" t="str">
        <f>IFERROR(VLOOKUP($E$4,'LB2018'!$F$15:$CD$131,43,FALSE),"")</f>
        <v/>
      </c>
      <c r="I57" s="211" t="str">
        <f>IFERROR(VLOOKUP($E$4,'ACT2019'!$F$15:$CD$131,43,FALSE),"")</f>
        <v/>
      </c>
      <c r="J57" s="211" t="str">
        <f>IFERROR(VLOOKUP($E$4,'ACT2020'!$F$15:$CD$131,43,FALSE),"")</f>
        <v/>
      </c>
    </row>
    <row r="58" spans="1:10" ht="15" customHeight="1">
      <c r="A58" s="34" t="s">
        <v>161</v>
      </c>
      <c r="B58" s="330" t="str">
        <f>IFERROR(VLOOKUP(A58,INDICE!$D$15:$N$110,6,FALSE),"")</f>
        <v>Tasa de conexiones residenciales fijas de internet por cada 100 habitantes.</v>
      </c>
      <c r="C58" s="330"/>
      <c r="D58" s="330"/>
      <c r="E58" s="330"/>
      <c r="F58" s="330"/>
      <c r="G58" s="330"/>
      <c r="H58" s="211" t="str">
        <f>IFERROR(VLOOKUP($E$4,'LB2018'!$F$15:$CD$131,44,FALSE),"")</f>
        <v/>
      </c>
      <c r="I58" s="211" t="str">
        <f>IFERROR(VLOOKUP($E$4,'ACT2019'!$F$15:$CD$131,44,FALSE),"")</f>
        <v/>
      </c>
      <c r="J58" s="211" t="str">
        <f>IFERROR(VLOOKUP($E$4,'ACT2020'!$F$15:$CD$131,44,FALSE),"")</f>
        <v/>
      </c>
    </row>
    <row r="59" spans="1:10" ht="15" customHeight="1">
      <c r="A59" s="34" t="s">
        <v>164</v>
      </c>
      <c r="B59" s="330" t="str">
        <f>IFERROR(VLOOKUP(A59,INDICE!$D$15:$N$110,6,FALSE),"")</f>
        <v>Indisponibilidad de suministro eléctrico - indicador SAIDI anual.</v>
      </c>
      <c r="C59" s="330"/>
      <c r="D59" s="330"/>
      <c r="E59" s="330"/>
      <c r="F59" s="330"/>
      <c r="G59" s="330"/>
      <c r="H59" s="211" t="str">
        <f>IFERROR(VLOOKUP($E$4,'LB2018'!$F$15:$CD$131,45,FALSE),"")</f>
        <v/>
      </c>
      <c r="I59" s="211" t="str">
        <f>IFERROR(VLOOKUP($E$4,'ACT2019'!$F$15:$CD$131,45,FALSE),"")</f>
        <v/>
      </c>
      <c r="J59" s="211" t="str">
        <f>IFERROR(VLOOKUP($E$4,'ACT2020'!$F$15:$CD$131,45,FALSE),"")</f>
        <v/>
      </c>
    </row>
    <row r="60" spans="1:10" ht="15" customHeight="1">
      <c r="A60" s="34" t="s">
        <v>167</v>
      </c>
      <c r="B60" s="330" t="str">
        <f>IFERROR(VLOOKUP(A60,INDICE!$D$15:$N$110,6,FALSE),"")</f>
        <v>Porcentaje de manzanas con veredas con buena calidad de pavimento.</v>
      </c>
      <c r="C60" s="330"/>
      <c r="D60" s="330"/>
      <c r="E60" s="330"/>
      <c r="F60" s="330"/>
      <c r="G60" s="330"/>
      <c r="H60" s="211" t="str">
        <f>IFERROR(VLOOKUP($E$4,'LB2018'!$F$15:$CD$131,46,FALSE),"")</f>
        <v/>
      </c>
      <c r="I60" s="211" t="str">
        <f>IFERROR(VLOOKUP($E$4,'ACT2019'!$F$15:$CD$131,46,FALSE),"")</f>
        <v/>
      </c>
      <c r="J60" s="211" t="str">
        <f>IFERROR(VLOOKUP($E$4,'ACT2020'!$F$15:$CD$131,46,FALSE),"")</f>
        <v/>
      </c>
    </row>
    <row r="61" spans="1:10" ht="15" customHeight="1">
      <c r="A61" s="34" t="s">
        <v>170</v>
      </c>
      <c r="B61" s="330" t="str">
        <f>IFERROR(VLOOKUP(A61,INDICE!$D$15:$N$110,6,FALSE),"")</f>
        <v>Cantidad de luminarias cada 50 metros lineales de red vial.</v>
      </c>
      <c r="C61" s="330"/>
      <c r="D61" s="330"/>
      <c r="E61" s="330"/>
      <c r="F61" s="330"/>
      <c r="G61" s="330"/>
      <c r="H61" s="211" t="str">
        <f>IFERROR(VLOOKUP($E$4,'LB2018'!$F$15:$CD$131,47,FALSE),"")</f>
        <v/>
      </c>
      <c r="I61" s="211" t="str">
        <f>IFERROR(VLOOKUP($E$4,'ACT2019'!$F$15:$CD$131,47,FALSE),"")</f>
        <v/>
      </c>
      <c r="J61" s="211" t="str">
        <f>IFERROR(VLOOKUP($E$4,'ACT2020'!$F$15:$CD$131,47,FALSE),"")</f>
        <v/>
      </c>
    </row>
    <row r="62" spans="1:10" ht="26.25" customHeight="1">
      <c r="A62" s="34" t="s">
        <v>173</v>
      </c>
      <c r="B62" s="288" t="str">
        <f>IFERROR(VLOOKUP(A62,INDICE!$D$15:$N$110,6,FALSE),"")</f>
        <v>Porcentaje de viviendas particulares que requieren mejoras de materialidad y/o servicios básicos.</v>
      </c>
      <c r="C62" s="288"/>
      <c r="D62" s="288"/>
      <c r="E62" s="288"/>
      <c r="F62" s="288"/>
      <c r="G62" s="288"/>
      <c r="H62" s="211" t="str">
        <f>IFERROR(VLOOKUP($E$4,'LB2018'!$F$15:$CD$131,48,FALSE),"")</f>
        <v/>
      </c>
      <c r="I62" s="211" t="str">
        <f>IFERROR(VLOOKUP($E$4,'ACT2019'!$F$15:$CD$131,48,FALSE),"")</f>
        <v/>
      </c>
      <c r="J62" s="211" t="str">
        <f>IFERROR(VLOOKUP($E$4,'ACT2020'!$F$15:$CD$131,48,FALSE),"")</f>
        <v/>
      </c>
    </row>
    <row r="63" spans="1:10" ht="15" customHeight="1">
      <c r="A63" s="34" t="s">
        <v>177</v>
      </c>
      <c r="B63" s="288" t="str">
        <f>IFERROR(VLOOKUP(A63,INDICE!$D$15:$N$110,6,FALSE),"")</f>
        <v>Requerimiento de viviendas nuevas urbanas.</v>
      </c>
      <c r="C63" s="288"/>
      <c r="D63" s="288"/>
      <c r="E63" s="288"/>
      <c r="F63" s="288"/>
      <c r="G63" s="288"/>
      <c r="H63" s="220" t="str">
        <f>IFERROR(VLOOKUP($E$4,'LB2018'!$F$15:$CD$131,49,FALSE),"")</f>
        <v/>
      </c>
      <c r="I63" s="220" t="str">
        <f>IFERROR(VLOOKUP($E$4,'ACT2019'!$F$15:$CD$131,49,FALSE),"")</f>
        <v/>
      </c>
      <c r="J63" s="220" t="str">
        <f>IFERROR(VLOOKUP($E$4,'ACT2020'!$F$15:$CD$131,49,FALSE),"")</f>
        <v/>
      </c>
    </row>
    <row r="64" spans="1:10" ht="15" customHeight="1">
      <c r="A64" s="34" t="s">
        <v>179</v>
      </c>
      <c r="B64" s="288" t="str">
        <f>IFERROR(VLOOKUP(A64,INDICE!$D$15:$N$110,6,FALSE),"")</f>
        <v>Porcentaje de viviendas en situación de hacinamiento.</v>
      </c>
      <c r="C64" s="288"/>
      <c r="D64" s="288"/>
      <c r="E64" s="288"/>
      <c r="F64" s="288"/>
      <c r="G64" s="288"/>
      <c r="H64" s="211" t="str">
        <f>IFERROR(VLOOKUP($E$4,'LB2018'!$F$15:$CD$131,50,FALSE),"")</f>
        <v/>
      </c>
      <c r="I64" s="211" t="str">
        <f>IFERROR(VLOOKUP($E$4,'ACT2019'!$F$15:$CD$131,50,FALSE),"")</f>
        <v/>
      </c>
      <c r="J64" s="211" t="str">
        <f>IFERROR(VLOOKUP($E$4,'ACT2020'!$F$15:$CD$131,50,FALSE),"")</f>
        <v/>
      </c>
    </row>
    <row r="65" spans="1:10" ht="15" customHeight="1">
      <c r="A65" s="34" t="s">
        <v>181</v>
      </c>
      <c r="B65" s="288" t="str">
        <f>IFERROR(VLOOKUP(A65,INDICE!$D$15:$N$110,6,FALSE),"")</f>
        <v>Porcentaje de viviendas con situación de allegamiento externo.</v>
      </c>
      <c r="C65" s="288"/>
      <c r="D65" s="288"/>
      <c r="E65" s="288"/>
      <c r="F65" s="288"/>
      <c r="G65" s="288"/>
      <c r="H65" s="211" t="str">
        <f>IFERROR(VLOOKUP($E$4,'LB2018'!$F$15:$CD$131,51,FALSE),"")</f>
        <v/>
      </c>
      <c r="I65" s="211" t="str">
        <f>IFERROR(VLOOKUP($E$4,'ACT2019'!$F$15:$CD$131,51,FALSE),"")</f>
        <v/>
      </c>
      <c r="J65" s="211" t="str">
        <f>IFERROR(VLOOKUP($E$4,'ACT2020'!$F$15:$CD$131,51,FALSE),"")</f>
        <v/>
      </c>
    </row>
    <row r="66" spans="1:10" ht="15" customHeight="1">
      <c r="A66" s="34" t="s">
        <v>183</v>
      </c>
      <c r="B66" s="330" t="str">
        <f>IFERROR(VLOOKUP(A66,INDICE!$D$15:$N$110,6,FALSE),"")</f>
        <v>Porcentaje de la superficie de campamentos respecto del área urbana.</v>
      </c>
      <c r="C66" s="330"/>
      <c r="D66" s="330"/>
      <c r="E66" s="330"/>
      <c r="F66" s="330"/>
      <c r="G66" s="330"/>
      <c r="H66" s="211" t="str">
        <f>IFERROR(VLOOKUP($E$4,'LB2018'!$F$15:$CD$131,52,FALSE),"")</f>
        <v/>
      </c>
      <c r="I66" s="211" t="str">
        <f>IFERROR(VLOOKUP($E$4,'ACT2019'!$F$15:$CD$131,52,FALSE),"")</f>
        <v/>
      </c>
      <c r="J66" s="211" t="str">
        <f>IFERROR(VLOOKUP($E$4,'ACT2020'!$F$15:$CD$131,52,FALSE),"")</f>
        <v/>
      </c>
    </row>
    <row r="67" spans="1:10" ht="15" customHeight="1">
      <c r="A67" s="34" t="s">
        <v>185</v>
      </c>
      <c r="B67" s="330" t="str">
        <f>IFERROR(VLOOKUP(A67,INDICE!$D$15:$N$110,6,FALSE),"")</f>
        <v>Densidad de hogares en campamentos.</v>
      </c>
      <c r="C67" s="330"/>
      <c r="D67" s="330"/>
      <c r="E67" s="330"/>
      <c r="F67" s="330"/>
      <c r="G67" s="330"/>
      <c r="H67" s="211" t="str">
        <f>IFERROR(VLOOKUP($E$4,'LB2018'!$F$15:$CD$131,53,FALSE),"")</f>
        <v/>
      </c>
      <c r="I67" s="211" t="str">
        <f>IFERROR(VLOOKUP($E$4,'ACT2019'!$F$15:$CD$131,53,FALSE),"")</f>
        <v/>
      </c>
      <c r="J67" s="211" t="str">
        <f>IFERROR(VLOOKUP($E$4,'ACT2020'!$F$15:$CD$131,53,FALSE),"")</f>
        <v/>
      </c>
    </row>
    <row r="68" spans="1:10" ht="15" customHeight="1">
      <c r="A68" s="34" t="s">
        <v>188</v>
      </c>
      <c r="B68" s="330" t="str">
        <f>IFERROR(VLOOKUP(A68,INDICE!$D$15:$N$110,6,FALSE),"")</f>
        <v>Porcentaje de la población en situación de pobreza por ingresos.</v>
      </c>
      <c r="C68" s="330"/>
      <c r="D68" s="330"/>
      <c r="E68" s="330"/>
      <c r="F68" s="330"/>
      <c r="G68" s="330"/>
      <c r="H68" s="211" t="str">
        <f>IFERROR(VLOOKUP($E$4,'LB2018'!$F$15:$CD$131,54,FALSE),"")</f>
        <v/>
      </c>
      <c r="I68" s="211" t="str">
        <f>IFERROR(VLOOKUP($E$4,'ACT2019'!$F$15:$CD$131,54,FALSE),"")</f>
        <v/>
      </c>
      <c r="J68" s="211" t="str">
        <f>IFERROR(VLOOKUP($E$4,'ACT2020'!$F$15:$CD$131,54,FALSE),"")</f>
        <v/>
      </c>
    </row>
    <row r="69" spans="1:10" ht="15" customHeight="1">
      <c r="A69" s="34" t="s">
        <v>190</v>
      </c>
      <c r="B69" s="330" t="str">
        <f>IFERROR(VLOOKUP(A69,INDICE!$D$15:$N$110,6,FALSE),"")</f>
        <v>Porcentaje de la población en situación de pobreza multidimensional.</v>
      </c>
      <c r="C69" s="330"/>
      <c r="D69" s="330"/>
      <c r="E69" s="330"/>
      <c r="F69" s="330"/>
      <c r="G69" s="330"/>
      <c r="H69" s="211" t="str">
        <f>IFERROR(VLOOKUP($E$4,'LB2018'!$F$15:$CD$131,55,FALSE),"")</f>
        <v/>
      </c>
      <c r="I69" s="211" t="str">
        <f>IFERROR(VLOOKUP($E$4,'ACT2019'!$F$15:$CD$131,55,FALSE),"")</f>
        <v/>
      </c>
      <c r="J69" s="211" t="str">
        <f>IFERROR(VLOOKUP($E$4,'ACT2020'!$F$15:$CD$131,55,FALSE),"")</f>
        <v/>
      </c>
    </row>
    <row r="70" spans="1:10" ht="15" customHeight="1">
      <c r="A70" s="34" t="s">
        <v>193</v>
      </c>
      <c r="B70" s="330" t="str">
        <f>IFERROR(VLOOKUP(A70,INDICE!$D$15:$N$110,6,FALSE),"")</f>
        <v>Población estimada de migrantes internacionales por comuna.</v>
      </c>
      <c r="C70" s="330"/>
      <c r="D70" s="330"/>
      <c r="E70" s="330"/>
      <c r="F70" s="330"/>
      <c r="G70" s="330"/>
      <c r="H70" s="220" t="str">
        <f>IFERROR(VLOOKUP($E$4,'LB2018'!$F$15:$CD$131,56,FALSE),"")</f>
        <v/>
      </c>
      <c r="I70" s="220" t="str">
        <f>IFERROR(VLOOKUP($E$4,'ACT2019'!$F$15:$CD$131,56,FALSE),"")</f>
        <v/>
      </c>
      <c r="J70" s="220" t="str">
        <f>IFERROR(VLOOKUP($E$4,'ACT2020'!$F$15:$CD$131,56,FALSE),"")</f>
        <v/>
      </c>
    </row>
    <row r="71" spans="1:10" ht="27" customHeight="1">
      <c r="A71" s="34" t="s">
        <v>196</v>
      </c>
      <c r="B71" s="288" t="str">
        <f>IFERROR(VLOOKUP(A71,INDICE!$D$15:$N$110,6,FALSE),"")</f>
        <v>Porcentaje de unidades vecinales de la comuna que tienen entre 20% y 60% de hogares vulnerables.</v>
      </c>
      <c r="C71" s="288"/>
      <c r="D71" s="288"/>
      <c r="E71" s="288"/>
      <c r="F71" s="288"/>
      <c r="G71" s="288"/>
      <c r="H71" s="211" t="str">
        <f>IFERROR(VLOOKUP($E$4,'LB2018'!$F$15:$CD$131,57,FALSE),"")</f>
        <v/>
      </c>
      <c r="I71" s="211" t="str">
        <f>IFERROR(VLOOKUP($E$4,'ACT2019'!$F$15:$CD$131,57,FALSE),"")</f>
        <v/>
      </c>
      <c r="J71" s="211" t="str">
        <f>IFERROR(VLOOKUP($E$4,'ACT2020'!$F$15:$CD$131,57,FALSE),"")</f>
        <v/>
      </c>
    </row>
    <row r="72" spans="1:10" ht="15" customHeight="1">
      <c r="A72" s="34" t="s">
        <v>199</v>
      </c>
      <c r="B72" s="330" t="str">
        <f>IFERROR(VLOOKUP(A72,INDICE!$D$15:$N$110,6,FALSE),"")</f>
        <v>Índice de segregación de la población vulnerable.</v>
      </c>
      <c r="C72" s="330"/>
      <c r="D72" s="330"/>
      <c r="E72" s="330"/>
      <c r="F72" s="330"/>
      <c r="G72" s="330"/>
      <c r="H72" s="211" t="str">
        <f>IFERROR(VLOOKUP($E$4,'LB2018'!$F$15:$CD$131,58,FALSE),"")</f>
        <v/>
      </c>
      <c r="I72" s="211" t="str">
        <f>IFERROR(VLOOKUP($E$4,'ACT2019'!$F$15:$CD$131,58,FALSE),"")</f>
        <v/>
      </c>
      <c r="J72" s="211" t="str">
        <f>IFERROR(VLOOKUP($E$4,'ACT2020'!$F$15:$CD$131,58,FALSE),"")</f>
        <v/>
      </c>
    </row>
    <row r="73" spans="1:10" ht="15" customHeight="1">
      <c r="A73" s="34" t="s">
        <v>202</v>
      </c>
      <c r="B73" s="330" t="str">
        <f>IFERROR(VLOOKUP(A73,INDICE!$D$15:$N$110,6,FALSE),"")</f>
        <v>Tasa de víctimas de delitos violentos por casos policiales cada 10.000 habitantes</v>
      </c>
      <c r="C73" s="330"/>
      <c r="D73" s="330"/>
      <c r="E73" s="330"/>
      <c r="F73" s="330"/>
      <c r="G73" s="330"/>
      <c r="H73" s="212" t="str">
        <f>IFERROR(VLOOKUP($E$4,'LB2018'!$F$15:$CD$131,59,FALSE),"")</f>
        <v/>
      </c>
      <c r="I73" s="212" t="str">
        <f>IFERROR(VLOOKUP($E$4,'ACT2019'!$F$15:$CD$131,59,FALSE),"")</f>
        <v/>
      </c>
      <c r="J73" s="212" t="str">
        <f>IFERROR(VLOOKUP($E$4,'ACT2020'!$F$15:$CD$131,59,FALSE),"")</f>
        <v/>
      </c>
    </row>
    <row r="74" spans="1:10" ht="24.75" customHeight="1">
      <c r="A74" s="34" t="s">
        <v>204</v>
      </c>
      <c r="B74" s="288" t="str">
        <f>IFERROR(VLOOKUP(A74,INDICE!$D$15:$N$110,6,FALSE),"")</f>
        <v>Tasa de víctimas de delitos contra la propiedad por casos policiales cada 10.000 habitantes</v>
      </c>
      <c r="C74" s="288"/>
      <c r="D74" s="288"/>
      <c r="E74" s="288"/>
      <c r="F74" s="288"/>
      <c r="G74" s="288"/>
      <c r="H74" s="212" t="str">
        <f>IFERROR(VLOOKUP($E$4,'LB2018'!$F$15:$CD$131,60,FALSE),"")</f>
        <v/>
      </c>
      <c r="I74" s="212" t="str">
        <f>IFERROR(VLOOKUP($E$4,'ACT2019'!$F$15:$CD$131,60,FALSE),"")</f>
        <v/>
      </c>
      <c r="J74" s="212" t="str">
        <f>IFERROR(VLOOKUP($E$4,'ACT2020'!$F$15:$CD$131,60,FALSE),"")</f>
        <v/>
      </c>
    </row>
    <row r="75" spans="1:10" ht="27" customHeight="1">
      <c r="A75" s="34" t="s">
        <v>206</v>
      </c>
      <c r="B75" s="288" t="str">
        <f>IFERROR(VLOOKUP(A75,INDICE!$D$15:$N$110,6,FALSE),"")</f>
        <v>Tasa de víctimas de delitos violencia intrafamiliar por casos policiales cada 10.000 habitantes</v>
      </c>
      <c r="C75" s="288"/>
      <c r="D75" s="288"/>
      <c r="E75" s="288"/>
      <c r="F75" s="288"/>
      <c r="G75" s="288"/>
      <c r="H75" s="212" t="str">
        <f>IFERROR(VLOOKUP($E$4,'LB2018'!$F$15:$CD$131,61,FALSE),"")</f>
        <v/>
      </c>
      <c r="I75" s="212" t="str">
        <f>IFERROR(VLOOKUP($E$4,'ACT2019'!$F$15:$CD$131,61,FALSE),"")</f>
        <v/>
      </c>
      <c r="J75" s="212" t="str">
        <f>IFERROR(VLOOKUP($E$4,'ACT2020'!$F$15:$CD$131,61,FALSE),"")</f>
        <v/>
      </c>
    </row>
    <row r="76" spans="1:10" ht="15" customHeight="1">
      <c r="A76" s="34" t="s">
        <v>208</v>
      </c>
      <c r="B76" s="288" t="str">
        <f>IFERROR(VLOOKUP(A76,INDICE!$D$15:$N$110,6,FALSE),"")</f>
        <v>Distancia a una unidad o destacamento destinado al servicio operativo de Carabineros.</v>
      </c>
      <c r="C76" s="288"/>
      <c r="D76" s="288"/>
      <c r="E76" s="288"/>
      <c r="F76" s="288"/>
      <c r="G76" s="288"/>
      <c r="H76" s="220" t="str">
        <f>IFERROR(VLOOKUP($E$4,'LB2018'!$F$15:$CD$131,62,FALSE),"")</f>
        <v/>
      </c>
      <c r="I76" s="220" t="str">
        <f>IFERROR(VLOOKUP($E$4,'ACT2019'!$F$15:$CD$131,62,FALSE),"")</f>
        <v/>
      </c>
      <c r="J76" s="220" t="str">
        <f>IFERROR(VLOOKUP($E$4,'ACT2020'!$F$15:$CD$131,62,FALSE),"")</f>
        <v/>
      </c>
    </row>
    <row r="77" spans="1:10" ht="30" customHeight="1">
      <c r="A77" s="34" t="s">
        <v>217</v>
      </c>
      <c r="B77" s="288" t="str">
        <f>IFERROR(VLOOKUP(A77,INDICE!$D$15:$N$110,6,FALSE),"")</f>
        <v>Diferencia entre el valor de suelo más alto y el más bajo entre las áreas homogéneas urbanas definidas por el Servicio de Impuestos Internos.</v>
      </c>
      <c r="C77" s="288"/>
      <c r="D77" s="288"/>
      <c r="E77" s="288"/>
      <c r="F77" s="288"/>
      <c r="G77" s="288"/>
      <c r="H77" s="211" t="str">
        <f>IFERROR(VLOOKUP($E$4,'LB2018'!$F$15:$CD$131,63,FALSE),"")</f>
        <v/>
      </c>
      <c r="I77" s="211" t="str">
        <f>IFERROR(VLOOKUP($E$4,'ACT2019'!$F$15:$CD$131,63,FALSE),"")</f>
        <v/>
      </c>
      <c r="J77" s="211" t="str">
        <f>IFERROR(VLOOKUP($E$4,'ACT2020'!$F$15:$CD$131,63,FALSE),"")</f>
        <v/>
      </c>
    </row>
    <row r="78" spans="1:10" ht="15" customHeight="1">
      <c r="A78" s="34" t="s">
        <v>220</v>
      </c>
      <c r="B78" s="288" t="str">
        <f>IFERROR(VLOOKUP(A78,INDICE!$D$15:$N$110,6,FALSE),"")</f>
        <v>Porcentaje de población expuesta a inundación por tsunami.</v>
      </c>
      <c r="C78" s="288"/>
      <c r="D78" s="288"/>
      <c r="E78" s="288"/>
      <c r="F78" s="288"/>
      <c r="G78" s="288"/>
      <c r="H78" s="211" t="str">
        <f>IFERROR(VLOOKUP($E$4,'LB2018'!$F$15:$CD$131,64,FALSE),"")</f>
        <v/>
      </c>
      <c r="I78" s="211" t="str">
        <f>IFERROR(VLOOKUP($E$4,'ACT2019'!$F$15:$CD$131,64,FALSE),"")</f>
        <v/>
      </c>
      <c r="J78" s="211" t="str">
        <f>IFERROR(VLOOKUP($E$4,'ACT2020'!$F$15:$CD$131,64,FALSE),"")</f>
        <v/>
      </c>
    </row>
    <row r="79" spans="1:10" ht="15" customHeight="1">
      <c r="A79" s="34" t="s">
        <v>223</v>
      </c>
      <c r="B79" s="288" t="str">
        <f>IFERROR(VLOOKUP(A79,INDICE!$D$15:$N$110,6,FALSE),"")</f>
        <v>Porcentaje de equipamiento crítico expuesto a inundación por tsunami.</v>
      </c>
      <c r="C79" s="288"/>
      <c r="D79" s="288"/>
      <c r="E79" s="288"/>
      <c r="F79" s="288"/>
      <c r="G79" s="288"/>
      <c r="H79" s="211" t="str">
        <f>IFERROR(VLOOKUP($E$4,'LB2018'!$F$15:$CD$131,65,FALSE),"")</f>
        <v/>
      </c>
      <c r="I79" s="211" t="str">
        <f>IFERROR(VLOOKUP($E$4,'ACT2019'!$F$15:$CD$131,65,FALSE),"")</f>
        <v/>
      </c>
      <c r="J79" s="211" t="str">
        <f>IFERROR(VLOOKUP($E$4,'ACT2020'!$F$15:$CD$131,65,FALSE),"")</f>
        <v/>
      </c>
    </row>
    <row r="80" spans="1:10" ht="24.75" customHeight="1">
      <c r="A80" s="34" t="s">
        <v>226</v>
      </c>
      <c r="B80" s="288" t="str">
        <f>IFERROR(VLOOKUP(A80,INDICE!$D$15:$N$110,6,FALSE),"")</f>
        <v>Porcentaje de la inversión nacional a escala comunal en la que participa el municipio como institución contratante.</v>
      </c>
      <c r="C80" s="288"/>
      <c r="D80" s="288"/>
      <c r="E80" s="288"/>
      <c r="F80" s="288"/>
      <c r="G80" s="288"/>
      <c r="H80" s="211" t="str">
        <f>IFERROR(VLOOKUP($E$4,'LB2018'!$F$15:$CD$131,66,FALSE),"")</f>
        <v/>
      </c>
      <c r="I80" s="211" t="str">
        <f>IFERROR(VLOOKUP($E$4,'ACT2019'!$F$15:$CD$131,66,FALSE),"")</f>
        <v/>
      </c>
      <c r="J80" s="211" t="str">
        <f>IFERROR(VLOOKUP($E$4,'ACT2020'!$F$15:$CD$131,66,FALSE),"")</f>
        <v/>
      </c>
    </row>
    <row r="81" spans="1:10" ht="15" customHeight="1">
      <c r="A81" s="34" t="s">
        <v>229</v>
      </c>
      <c r="B81" s="288" t="str">
        <f>IFERROR(VLOOKUP(A81,INDICE!$D$15:$N$110,6,FALSE),"")</f>
        <v>Plan Regulador Comunal actualizado en los últimos 10 años.</v>
      </c>
      <c r="C81" s="288"/>
      <c r="D81" s="288"/>
      <c r="E81" s="288"/>
      <c r="F81" s="288"/>
      <c r="G81" s="288"/>
      <c r="H81" s="211" t="str">
        <f>IFERROR(VLOOKUP($E$4,'LB2018'!$F$15:$CD$131,67,FALSE),"")</f>
        <v/>
      </c>
      <c r="I81" s="211" t="str">
        <f>IFERROR(VLOOKUP($E$4,'ACT2019'!$F$15:$CD$131,67,FALSE),"")</f>
        <v/>
      </c>
      <c r="J81" s="212" t="str">
        <f>IFERROR(VLOOKUP($E$4,'ACT2020'!$F$15:$CD$131,67,FALSE),"")</f>
        <v/>
      </c>
    </row>
    <row r="82" spans="1:10" ht="27" customHeight="1">
      <c r="A82" s="34" t="s">
        <v>234</v>
      </c>
      <c r="B82" s="288" t="str">
        <f>IFERROR(VLOOKUP(A82,INDICE!$D$15:$N$110,6,FALSE),"")</f>
        <v>Participación del Fondo Común Municipal (FCM) en el ingreso municipal total (descontadas las transferencias).</v>
      </c>
      <c r="C82" s="288"/>
      <c r="D82" s="288"/>
      <c r="E82" s="288"/>
      <c r="F82" s="288"/>
      <c r="G82" s="288"/>
      <c r="H82" s="211" t="str">
        <f>IFERROR(VLOOKUP($E$4,'LB2018'!$F$15:$CD$131,68,FALSE),"")</f>
        <v/>
      </c>
      <c r="I82" s="211" t="str">
        <f>IFERROR(VLOOKUP($E$4,'ACT2019'!$F$15:$CD$131,68,FALSE),"")</f>
        <v/>
      </c>
      <c r="J82" s="211" t="str">
        <f>IFERROR(VLOOKUP($E$4,'ACT2020'!$F$15:$CD$131,68,FALSE),"")</f>
        <v/>
      </c>
    </row>
    <row r="83" spans="1:10" ht="37.5" customHeight="1">
      <c r="A83" s="34" t="s">
        <v>251</v>
      </c>
      <c r="B83" s="288" t="str">
        <f>IFERROR(VLOOKUP(A83,INDICE!$D$15:$N$110,6,FALSE),"")</f>
        <v>Porcentaje de inversión pública destinada a proyectos que tienen procesos de intervención de restauración de inmuebles patrimoniales sobre el total de inversión destinada a proyectos con recomendación favorable.</v>
      </c>
      <c r="C83" s="288"/>
      <c r="D83" s="288"/>
      <c r="E83" s="288"/>
      <c r="F83" s="288"/>
      <c r="G83" s="288"/>
      <c r="H83" s="211" t="str">
        <f>IFERROR(VLOOKUP($E$4,'LB2018'!$F$15:$CD$131,69,FALSE),"")</f>
        <v/>
      </c>
      <c r="I83" s="211" t="str">
        <f>IFERROR(VLOOKUP($E$4,'ACT2019'!$F$15:$CD$131,69,FALSE),"")</f>
        <v/>
      </c>
      <c r="J83" s="211" t="str">
        <f>IFERROR(VLOOKUP($E$4,'ACT2020'!$F$15:$CD$131,69,FALSE),"")</f>
        <v/>
      </c>
    </row>
    <row r="84" spans="1:10" ht="27" customHeight="1">
      <c r="A84" s="34" t="s">
        <v>254</v>
      </c>
      <c r="B84" s="279" t="str">
        <f>IFERROR(VLOOKUP(A84,INDICE!$D$15:$N$110,6,FALSE),"")</f>
        <v>Zonas de Conservación Histórica (ZCH) con norma urbana específica (Plano Seccional/ Plano de Detalle) en Instrumentos de Planificación Territorial (IPT's).</v>
      </c>
      <c r="C84" s="279"/>
      <c r="D84" s="279"/>
      <c r="E84" s="279"/>
      <c r="F84" s="279"/>
      <c r="G84" s="279"/>
      <c r="H84" s="211" t="str">
        <f>IFERROR(VLOOKUP($E$4,'LB2018'!$F$15:$CD$131,70,FALSE),"")</f>
        <v/>
      </c>
      <c r="I84" s="211" t="str">
        <f>IFERROR(VLOOKUP($E$4,'ACT2019'!$F$15:$CD$131,70,FALSE),"")</f>
        <v/>
      </c>
      <c r="J84" s="212" t="str">
        <f>IFERROR(VLOOKUP($E$4,'ACT2020'!$F$15:$CD$131,70,FALSE),"")</f>
        <v/>
      </c>
    </row>
    <row r="85" spans="1:10" ht="27" customHeight="1">
      <c r="A85" s="34" t="s">
        <v>256</v>
      </c>
      <c r="B85" s="330" t="str">
        <f>IFERROR(VLOOKUP(A85,INDICE!$D$15:$N$110,6,FALSE),"")</f>
        <v>Zonas de Conservación Histórica (ZCH) con norma arquitectónica específica (Plano Seccional / Plano de Detalle) en Instrumentos de Planificación Territorial (IPT's).</v>
      </c>
      <c r="C85" s="330"/>
      <c r="D85" s="330"/>
      <c r="E85" s="330"/>
      <c r="F85" s="330"/>
      <c r="G85" s="330"/>
      <c r="H85" s="211" t="str">
        <f>IFERROR(VLOOKUP($E$4,'LB2018'!$F$15:$CD$131,71,FALSE),"")</f>
        <v/>
      </c>
      <c r="I85" s="211" t="str">
        <f>IFERROR(VLOOKUP($E$4,'ACT2019'!$F$15:$CD$131,71,FALSE),"")</f>
        <v/>
      </c>
      <c r="J85" s="212" t="str">
        <f>IFERROR(VLOOKUP($E$4,'ACT2020'!$F$15:$CD$131,71,FALSE),"")</f>
        <v/>
      </c>
    </row>
    <row r="86" spans="1:10" ht="15" customHeight="1">
      <c r="A86" s="34" t="s">
        <v>258</v>
      </c>
      <c r="B86" s="288" t="str">
        <f>IFERROR(VLOOKUP(A86,INDICE!$D$15:$N$110,6,FALSE),"")</f>
        <v>Plan Regulador Comunal (PRC) reconoce inmuebles y/o zonas de conservación histórica.</v>
      </c>
      <c r="C86" s="288"/>
      <c r="D86" s="288"/>
      <c r="E86" s="288"/>
      <c r="F86" s="288"/>
      <c r="G86" s="288"/>
      <c r="H86" s="211" t="str">
        <f>IFERROR(VLOOKUP($E$4,'LB2018'!$F$15:$CD$131,72,FALSE),"")</f>
        <v/>
      </c>
      <c r="I86" s="211" t="str">
        <f>IFERROR(VLOOKUP($E$4,'ACT2019'!$F$15:$CD$131,72,FALSE),"")</f>
        <v/>
      </c>
      <c r="J86" s="212" t="str">
        <f>IFERROR(VLOOKUP($E$4,'ACT2020'!$F$15:$CD$131,72,FALSE),"")</f>
        <v/>
      </c>
    </row>
    <row r="87" spans="1:10" ht="15" customHeight="1">
      <c r="A87" s="34" t="s">
        <v>262</v>
      </c>
      <c r="B87" s="288" t="str">
        <f>IFERROR(VLOOKUP(A87,INDICE!$D$15:$N$110,6,FALSE),"")</f>
        <v>Porcentaje de zonas típicas con lineamientos de intervención aprobados.</v>
      </c>
      <c r="C87" s="288"/>
      <c r="D87" s="288"/>
      <c r="E87" s="288"/>
      <c r="F87" s="288"/>
      <c r="G87" s="288"/>
      <c r="H87" s="211" t="str">
        <f>IFERROR(VLOOKUP($E$4,'LB2018'!$F$15:$CD$131,73,FALSE),"")</f>
        <v/>
      </c>
      <c r="I87" s="211" t="str">
        <f>IFERROR(VLOOKUP($E$4,'ACT2019'!$F$15:$CD$131,73,FALSE),"")</f>
        <v/>
      </c>
      <c r="J87" s="211" t="str">
        <f>IFERROR(VLOOKUP($E$4,'ACT2020'!$F$15:$CD$131,73,FALSE),"")</f>
        <v/>
      </c>
    </row>
    <row r="88" spans="1:10" ht="15" customHeight="1">
      <c r="A88" s="34" t="s">
        <v>264</v>
      </c>
      <c r="B88" s="330" t="str">
        <f>IFERROR(VLOOKUP(A88,INDICE!$D$15:$N$110,6,FALSE),"")</f>
        <v>Porcentaje de zonas típicas con lineamientos de intervención en desarrollo.</v>
      </c>
      <c r="C88" s="330"/>
      <c r="D88" s="330"/>
      <c r="E88" s="330"/>
      <c r="F88" s="330"/>
      <c r="G88" s="330"/>
      <c r="H88" s="211" t="str">
        <f>IFERROR(VLOOKUP($E$4,'LB2018'!$F$15:$CD$131,74,FALSE),"")</f>
        <v/>
      </c>
      <c r="I88" s="211" t="str">
        <f>IFERROR(VLOOKUP($E$4,'ACT2019'!$F$15:$CD$131,74,FALSE),"")</f>
        <v/>
      </c>
      <c r="J88" s="211" t="str">
        <f>IFERROR(VLOOKUP($E$4,'ACT2020'!$F$15:$CD$131,74,FALSE),"")</f>
        <v/>
      </c>
    </row>
    <row r="89" spans="1:10" ht="15" customHeight="1">
      <c r="A89" s="34" t="s">
        <v>277</v>
      </c>
      <c r="B89" s="288" t="str">
        <f>IFERROR(VLOOKUP(A89,INDICE!$D$15:$N$110,6,FALSE),"")</f>
        <v>El Municipio cuenta con mecanismos de presupuestos participativos.</v>
      </c>
      <c r="C89" s="288"/>
      <c r="D89" s="288"/>
      <c r="E89" s="288"/>
      <c r="F89" s="288"/>
      <c r="G89" s="288"/>
      <c r="H89" s="211" t="str">
        <f>IFERROR(VLOOKUP($E$4,'LB2018'!$F$15:$CD$131,75,FALSE),"")</f>
        <v/>
      </c>
      <c r="I89" s="211" t="str">
        <f>IFERROR(VLOOKUP($E$4,'ACT2019'!$F$15:$CD$131,75,FALSE),"")</f>
        <v/>
      </c>
      <c r="J89" s="212" t="str">
        <f>IFERROR(VLOOKUP($E$4,'ACT2020'!$F$15:$CD$131,75,FALSE),"")</f>
        <v/>
      </c>
    </row>
    <row r="90" spans="1:10" ht="24" customHeight="1">
      <c r="A90" s="34" t="s">
        <v>279</v>
      </c>
      <c r="B90" s="288" t="str">
        <f>IFERROR(VLOOKUP(A90,INDICE!$D$15:$N$110,6,FALSE),"")</f>
        <v>Monto total per cápita, en pesos, de fondos entregados por el municipio a la comunidad vía proyectos concursables para el mejoramiento urbano.</v>
      </c>
      <c r="C90" s="288"/>
      <c r="D90" s="288"/>
      <c r="E90" s="288"/>
      <c r="F90" s="288"/>
      <c r="G90" s="288"/>
      <c r="H90" s="220" t="str">
        <f>IFERROR(VLOOKUP($E$4,'LB2018'!$F$15:$CD$131,76,FALSE),"")</f>
        <v/>
      </c>
      <c r="I90" s="220" t="str">
        <f>IFERROR(VLOOKUP($E$4,'ACT2019'!$F$15:$CD$131,76,FALSE),"")</f>
        <v/>
      </c>
      <c r="J90" s="220" t="str">
        <f>IFERROR(VLOOKUP($E$4,'ACT2020'!$F$15:$CD$131,76,FALSE),"")</f>
        <v/>
      </c>
    </row>
    <row r="91" spans="1:10" ht="15" customHeight="1">
      <c r="A91" s="33" t="s">
        <v>282</v>
      </c>
      <c r="B91" s="330" t="str">
        <f>IFERROR(VLOOKUP(A91,INDICE!$D$15:$N$110,6,FALSE),"")</f>
        <v>Porcentaje de participación en las elecciones municipales por comuna.</v>
      </c>
      <c r="C91" s="330"/>
      <c r="D91" s="330"/>
      <c r="E91" s="330"/>
      <c r="F91" s="330"/>
      <c r="G91" s="330"/>
      <c r="H91" s="211" t="str">
        <f>IFERROR(VLOOKUP($E$4,'LB2018'!$F$15:$CD$131,77,FALSE),"")</f>
        <v/>
      </c>
      <c r="I91" s="211" t="str">
        <f>IFERROR(VLOOKUP($E$4,'ACT2019'!$F$15:$CD$131,77,FALSE),"")</f>
        <v/>
      </c>
      <c r="J91" s="211" t="str">
        <f>IFERROR(VLOOKUP($E$4,'ACT2020'!$F$15:$CD$131,77,FALSE),"")</f>
        <v/>
      </c>
    </row>
    <row r="92" spans="1:10">
      <c r="A92" s="260"/>
      <c r="B92" s="19"/>
      <c r="C92" s="19"/>
      <c r="D92" s="19"/>
      <c r="E92" s="19"/>
      <c r="F92" s="261"/>
      <c r="G92" s="261"/>
      <c r="H92" s="261"/>
      <c r="I92" s="261"/>
      <c r="J92" s="261"/>
    </row>
    <row r="93" spans="1:10">
      <c r="A93" s="260"/>
      <c r="B93" s="19"/>
      <c r="C93" s="19"/>
      <c r="D93" s="19"/>
      <c r="E93" s="19"/>
      <c r="F93" s="261"/>
      <c r="G93" s="261"/>
      <c r="H93" s="261"/>
      <c r="I93" s="261"/>
      <c r="J93" s="261"/>
    </row>
    <row r="95" spans="1:10" ht="15.75" thickBot="1">
      <c r="A95" s="1"/>
      <c r="B95" s="1"/>
      <c r="C95" s="1"/>
      <c r="D95" s="1"/>
      <c r="E95" s="1"/>
      <c r="F95" s="1"/>
      <c r="G95" s="1"/>
      <c r="H95" s="1"/>
      <c r="I95" s="1"/>
      <c r="J95" s="1"/>
    </row>
    <row r="96" spans="1:10" ht="15.75" thickBot="1">
      <c r="A96" s="1"/>
      <c r="B96" s="333" t="s">
        <v>620</v>
      </c>
      <c r="C96" s="333"/>
      <c r="D96" s="333"/>
      <c r="E96" s="334" t="s">
        <v>621</v>
      </c>
      <c r="F96" s="334"/>
      <c r="G96" s="1"/>
      <c r="H96" s="1"/>
      <c r="I96" s="1"/>
      <c r="J96" s="1"/>
    </row>
    <row r="97" spans="1:10">
      <c r="A97" s="1"/>
      <c r="B97" s="1"/>
      <c r="C97" s="1"/>
      <c r="D97" s="1"/>
      <c r="E97" s="1"/>
      <c r="F97" s="1"/>
      <c r="G97" s="1"/>
      <c r="H97" s="1"/>
      <c r="I97" s="1"/>
      <c r="J97" s="1"/>
    </row>
    <row r="98" spans="1:10">
      <c r="A98" s="1"/>
      <c r="B98" s="1"/>
      <c r="C98" s="1"/>
      <c r="D98" s="1"/>
      <c r="E98" s="1"/>
      <c r="F98" s="1"/>
      <c r="G98" s="1"/>
      <c r="H98" s="1"/>
      <c r="I98" s="1"/>
      <c r="J98" s="1"/>
    </row>
    <row r="99" spans="1:10">
      <c r="A99" s="1"/>
      <c r="B99" s="23" t="s">
        <v>286</v>
      </c>
      <c r="C99" s="1"/>
      <c r="D99" s="1"/>
      <c r="E99" s="1"/>
      <c r="F99" s="1"/>
      <c r="G99" s="1"/>
      <c r="H99" s="1"/>
      <c r="I99" s="1"/>
      <c r="J99" s="1"/>
    </row>
    <row r="100" spans="1:10">
      <c r="A100" s="1"/>
      <c r="B100" s="1"/>
      <c r="C100" s="1"/>
      <c r="D100" s="1"/>
      <c r="E100" s="1"/>
      <c r="F100" s="1"/>
      <c r="G100" s="1"/>
      <c r="H100" s="1"/>
      <c r="I100" s="1"/>
      <c r="J100" s="1"/>
    </row>
    <row r="102" spans="1:10">
      <c r="A102" s="104" t="s">
        <v>622</v>
      </c>
    </row>
    <row r="103" spans="1:10">
      <c r="A103" s="16" t="s">
        <v>9</v>
      </c>
      <c r="B103" s="331" t="s">
        <v>619</v>
      </c>
      <c r="C103" s="331"/>
      <c r="D103" s="331"/>
      <c r="E103" s="331"/>
      <c r="F103" s="331"/>
      <c r="G103" s="331"/>
      <c r="H103" s="35" t="s">
        <v>15</v>
      </c>
      <c r="I103" s="35" t="s">
        <v>16</v>
      </c>
      <c r="J103" s="35" t="s">
        <v>17</v>
      </c>
    </row>
    <row r="104" spans="1:10" ht="28.5" customHeight="1">
      <c r="A104" s="34" t="s">
        <v>69</v>
      </c>
      <c r="B104" s="288" t="str">
        <f>IFERROR(VLOOKUP(A104,INDICE!$D$15:$N$110,6,FALSE),"")</f>
        <v>Porcentaje de la población dentro del área de influencia de la red de transporte público mayor.</v>
      </c>
      <c r="C104" s="288"/>
      <c r="D104" s="288"/>
      <c r="E104" s="288"/>
      <c r="F104" s="288"/>
      <c r="G104" s="288"/>
      <c r="H104" s="211" t="str">
        <f>IFERROR(VLOOKUP($E$96,'LB2018'!$D$138:$T$172,5,FALSE),"")</f>
        <v/>
      </c>
      <c r="I104" s="211" t="str">
        <f>IFERROR(VLOOKUP($E$96,'ACT2019'!$D$138:$T$172,5,FALSE),"")</f>
        <v/>
      </c>
      <c r="J104" s="211" t="str">
        <f>IFERROR(VLOOKUP($E$96,'ACT2020'!$D$138:$T$172,5,FALSE),"")</f>
        <v/>
      </c>
    </row>
    <row r="105" spans="1:10" ht="15" customHeight="1">
      <c r="A105" s="34" t="s">
        <v>111</v>
      </c>
      <c r="B105" s="288" t="str">
        <f>IFERROR(VLOOKUP(A105,INDICE!$D$15:$N$110,6,FALSE),"")</f>
        <v>Cumplimiento norma diaria de Material Particulado 2,5.</v>
      </c>
      <c r="C105" s="288"/>
      <c r="D105" s="288"/>
      <c r="E105" s="288"/>
      <c r="F105" s="288"/>
      <c r="G105" s="288"/>
      <c r="H105" s="212" t="str">
        <f>IFERROR(VLOOKUP($E$96,'LB2018'!$D$138:$T$172,6,FALSE),"")</f>
        <v/>
      </c>
      <c r="I105" s="212" t="str">
        <f>IFERROR(VLOOKUP($E$96,'ACT2019'!$D$138:$T$172,6,FALSE),"")</f>
        <v/>
      </c>
      <c r="J105" s="212" t="str">
        <f>IFERROR(VLOOKUP($E$96,'ACT2020'!$D$138:$T$172,6,FALSE),"")</f>
        <v/>
      </c>
    </row>
    <row r="106" spans="1:10" ht="15" customHeight="1">
      <c r="A106" s="34" t="s">
        <v>114</v>
      </c>
      <c r="B106" s="288" t="str">
        <f>IFERROR(VLOOKUP(A106,INDICE!$D$15:$N$110,6,FALSE),"")</f>
        <v>Existencia de estación de monitoreo de Material Particulado 2,5 con registros validados.</v>
      </c>
      <c r="C106" s="288"/>
      <c r="D106" s="288"/>
      <c r="E106" s="288"/>
      <c r="F106" s="288"/>
      <c r="G106" s="288"/>
      <c r="H106" s="212" t="str">
        <f>IFERROR(VLOOKUP($E$96,'LB2018'!$D$138:$T$172,7,FALSE),"")</f>
        <v/>
      </c>
      <c r="I106" s="212" t="str">
        <f>IFERROR(VLOOKUP($E$96,'ACT2019'!$D$138:$T$172,7,FALSE),"")</f>
        <v/>
      </c>
      <c r="J106" s="212" t="str">
        <f>IFERROR(VLOOKUP($E$96,'ACT2020'!$D$138:$T$172,7,FALSE),"")</f>
        <v/>
      </c>
    </row>
    <row r="107" spans="1:10" ht="15" customHeight="1">
      <c r="A107" s="34" t="s">
        <v>117</v>
      </c>
      <c r="B107" s="288" t="str">
        <f>IFERROR(VLOOKUP(A107,INDICE!$D$15:$N$110,6,FALSE),"")</f>
        <v>Número de episodios críticos de contaminación por Material Particulado fino (MP 2,5).</v>
      </c>
      <c r="C107" s="288"/>
      <c r="D107" s="288"/>
      <c r="E107" s="288"/>
      <c r="F107" s="288"/>
      <c r="G107" s="288"/>
      <c r="H107" s="212" t="str">
        <f>IFERROR(VLOOKUP($E$96,'LB2018'!$D$138:$T$172,8,FALSE),"")</f>
        <v/>
      </c>
      <c r="I107" s="212" t="str">
        <f>IFERROR(VLOOKUP($E$96,'ACT2019'!$D$138:$T$172,8,FALSE),"")</f>
        <v/>
      </c>
      <c r="J107" s="212" t="str">
        <f>IFERROR(VLOOKUP($E$96,'ACT2020'!$D$138:$T$172,8,FALSE),"")</f>
        <v/>
      </c>
    </row>
    <row r="108" spans="1:10" ht="15" customHeight="1">
      <c r="A108" s="34" t="s">
        <v>127</v>
      </c>
      <c r="B108" s="288" t="str">
        <f>IFERROR(VLOOKUP(A108,INDICE!$D$15:$N$110,6,FALSE),"")</f>
        <v>Consumo de agua potable residencial per cápita al día.</v>
      </c>
      <c r="C108" s="288"/>
      <c r="D108" s="288"/>
      <c r="E108" s="288"/>
      <c r="F108" s="288"/>
      <c r="G108" s="288"/>
      <c r="H108" s="211" t="str">
        <f>IFERROR(VLOOKUP($E$96,'LB2018'!$D$138:$T$172,9,FALSE),"")</f>
        <v/>
      </c>
      <c r="I108" s="211" t="str">
        <f>IFERROR(VLOOKUP($E$96,'ACT2019'!$D$138:$T$172,9,FALSE),"")</f>
        <v/>
      </c>
      <c r="J108" s="211" t="str">
        <f>IFERROR(VLOOKUP($E$96,'ACT2020'!$D$138:$T$172,9,FALSE),"")</f>
        <v/>
      </c>
    </row>
    <row r="109" spans="1:10" ht="15" customHeight="1">
      <c r="A109" s="34" t="s">
        <v>129</v>
      </c>
      <c r="B109" s="288" t="str">
        <f>IFERROR(VLOOKUP(A109,INDICE!$D$15:$N$110,6,FALSE),"")</f>
        <v>Porcentaje de agua no facturada.</v>
      </c>
      <c r="C109" s="288"/>
      <c r="D109" s="288"/>
      <c r="E109" s="288"/>
      <c r="F109" s="288"/>
      <c r="G109" s="288"/>
      <c r="H109" s="211" t="str">
        <f>IFERROR(VLOOKUP($E$96,'LB2018'!$D$138:$T$172,10,FALSE),"")</f>
        <v/>
      </c>
      <c r="I109" s="211" t="str">
        <f>IFERROR(VLOOKUP($E$96,'ACT2019'!$D$138:$T$172,10,FALSE),"")</f>
        <v/>
      </c>
      <c r="J109" s="211" t="str">
        <f>IFERROR(VLOOKUP($E$96,'ACT2020'!$D$138:$T$172,10,FALSE),"")</f>
        <v/>
      </c>
    </row>
    <row r="110" spans="1:10" ht="15" customHeight="1">
      <c r="A110" s="34" t="s">
        <v>147</v>
      </c>
      <c r="B110" s="288" t="str">
        <f>IFERROR(VLOOKUP(A110,INDICE!$D$15:$N$110,6,FALSE),"")</f>
        <v>Superficie del Continuo de Construcciones Urbanas (CCU).</v>
      </c>
      <c r="C110" s="288"/>
      <c r="D110" s="288"/>
      <c r="E110" s="288"/>
      <c r="F110" s="288"/>
      <c r="G110" s="288"/>
      <c r="H110" s="228" t="str">
        <f>IFERROR(VLOOKUP($E$96,'LB2018'!$D$138:$T$172,11,FALSE),"")</f>
        <v/>
      </c>
      <c r="I110" s="228" t="str">
        <f>IFERROR(VLOOKUP($E$96,'ACT2019'!$D$138:$T$172,11,FALSE),"")</f>
        <v/>
      </c>
      <c r="J110" s="228" t="str">
        <f>IFERROR(VLOOKUP($E$96,'ACT2020'!$D$138:$T$172,11,FALSE),"")</f>
        <v/>
      </c>
    </row>
    <row r="111" spans="1:10" ht="15" customHeight="1">
      <c r="A111" s="34" t="s">
        <v>149</v>
      </c>
      <c r="B111" s="288" t="str">
        <f>IFERROR(VLOOKUP(A111,INDICE!$D$15:$N$110,6,FALSE),"")</f>
        <v>Superficie de suelos de alto valor agrícola, según clases de suelo, próximas al CCU.</v>
      </c>
      <c r="C111" s="288"/>
      <c r="D111" s="288"/>
      <c r="E111" s="288"/>
      <c r="F111" s="288"/>
      <c r="G111" s="288"/>
      <c r="H111" s="228" t="str">
        <f>IFERROR(VLOOKUP($E$96,'LB2018'!$D$138:$T$172,12,FALSE),"")</f>
        <v/>
      </c>
      <c r="I111" s="228" t="str">
        <f>IFERROR(VLOOKUP($E$96,'ACT2019'!$D$138:$T$172,12,FALSE),"")</f>
        <v/>
      </c>
      <c r="J111" s="228" t="str">
        <f>IFERROR(VLOOKUP($E$96,'ACT2020'!$D$138:$T$172,12,FALSE),"")</f>
        <v/>
      </c>
    </row>
    <row r="112" spans="1:10" ht="15" customHeight="1">
      <c r="A112" s="34" t="s">
        <v>151</v>
      </c>
      <c r="B112" s="288" t="str">
        <f>IFERROR(VLOOKUP(A112,INDICE!$D$15:$N$110,6,FALSE),"")</f>
        <v>Superficie de sitios prioritarios para la conservación próximos al CCU.</v>
      </c>
      <c r="C112" s="288"/>
      <c r="D112" s="288"/>
      <c r="E112" s="288"/>
      <c r="F112" s="288"/>
      <c r="G112" s="288"/>
      <c r="H112" s="228" t="str">
        <f>IFERROR(VLOOKUP($E$96,'LB2018'!$D$138:$T$172,13,FALSE),"")</f>
        <v/>
      </c>
      <c r="I112" s="228" t="str">
        <f>IFERROR(VLOOKUP($E$96,'ACT2019'!$D$138:$T$172,13,FALSE),"")</f>
        <v/>
      </c>
      <c r="J112" s="228" t="str">
        <f>IFERROR(VLOOKUP($E$96,'ACT2020'!$D$138:$T$172,13,FALSE),"")</f>
        <v/>
      </c>
    </row>
    <row r="113" spans="1:10" ht="15" customHeight="1">
      <c r="A113" s="34" t="s">
        <v>212</v>
      </c>
      <c r="B113" s="288" t="str">
        <f>IFERROR(VLOOKUP(A113,INDICE!$D$15:$N$110,6,FALSE),"")</f>
        <v>Porcentaje de continuidad de la infraestructura vial en las áreas de crecimiento urbano.</v>
      </c>
      <c r="C113" s="288"/>
      <c r="D113" s="288"/>
      <c r="E113" s="288"/>
      <c r="F113" s="288"/>
      <c r="G113" s="288"/>
      <c r="H113" s="211" t="str">
        <f>IFERROR(VLOOKUP($E$96,'LB2018'!$D$138:$T$172,14,FALSE),"")</f>
        <v/>
      </c>
      <c r="I113" s="211" t="str">
        <f>IFERROR(VLOOKUP($E$96,'ACT2019'!$D$138:$T$172,14,FALSE),"")</f>
        <v/>
      </c>
      <c r="J113" s="211" t="str">
        <f>IFERROR(VLOOKUP($E$96,'ACT2020'!$D$138:$T$172,14,FALSE),"")</f>
        <v/>
      </c>
    </row>
    <row r="114" spans="1:10" ht="15" customHeight="1">
      <c r="A114" s="34" t="s">
        <v>268</v>
      </c>
      <c r="B114" s="288" t="str">
        <f>IFERROR(VLOOKUP(A114,INDICE!$D$15:$N$110,6,FALSE),"")</f>
        <v>Número de organizaciones de la sociedad civil por cada 1.000 habitantes.</v>
      </c>
      <c r="C114" s="288"/>
      <c r="D114" s="288"/>
      <c r="E114" s="288"/>
      <c r="F114" s="288"/>
      <c r="G114" s="288"/>
      <c r="H114" s="211" t="str">
        <f>IFERROR(VLOOKUP($E$96,'LB2018'!$D$138:$T$172,15,FALSE),"")</f>
        <v/>
      </c>
      <c r="I114" s="211" t="str">
        <f>IFERROR(VLOOKUP($E$96,'ACT2019'!$D$138:$T$172,15,FALSE),"")</f>
        <v/>
      </c>
      <c r="J114" s="211" t="str">
        <f>IFERROR(VLOOKUP($E$96,'ACT2020'!$D$138:$T$172,15,FALSE),"")</f>
        <v/>
      </c>
    </row>
    <row r="115" spans="1:10" ht="15" customHeight="1">
      <c r="A115" s="34" t="s">
        <v>270</v>
      </c>
      <c r="B115" s="330" t="str">
        <f>IFERROR(VLOOKUP(A115,INDICE!$D$15:$N$110,6,FALSE),"")</f>
        <v>Número de organizaciones comunitarias por cada 1.000 habitantes.</v>
      </c>
      <c r="C115" s="330"/>
      <c r="D115" s="330"/>
      <c r="E115" s="330"/>
      <c r="F115" s="330"/>
      <c r="G115" s="330"/>
      <c r="H115" s="211" t="str">
        <f>IFERROR(VLOOKUP($E$96,'LB2018'!$D$138:$T$172,16,FALSE),"")</f>
        <v/>
      </c>
      <c r="I115" s="211" t="str">
        <f>IFERROR(VLOOKUP($E$96,'ACT2019'!$D$138:$T$172,16,FALSE),"")</f>
        <v/>
      </c>
      <c r="J115" s="211" t="str">
        <f>IFERROR(VLOOKUP($E$96,'ACT2020'!$D$138:$T$172,16,FALSE),"")</f>
        <v/>
      </c>
    </row>
    <row r="116" spans="1:10" ht="27" customHeight="1">
      <c r="A116" s="34" t="s">
        <v>273</v>
      </c>
      <c r="B116" s="288" t="str">
        <f>IFERROR(VLOOKUP(A116,INDICE!$D$15:$N$110,6,FALSE),"")</f>
        <v>Porcentaje de proyectos urbanos de alto impacto con Participación Ciudadana Anticipada (PACA).</v>
      </c>
      <c r="C116" s="288"/>
      <c r="D116" s="288"/>
      <c r="E116" s="288"/>
      <c r="F116" s="288"/>
      <c r="G116" s="288"/>
      <c r="H116" s="211" t="str">
        <f>IFERROR(VLOOKUP($E$96,'LB2018'!$D$138:$T$172,17,FALSE),"")</f>
        <v/>
      </c>
      <c r="I116" s="211" t="str">
        <f>IFERROR(VLOOKUP($E$96,'ACT2019'!$D$138:$T$172,17,FALSE),"")</f>
        <v/>
      </c>
      <c r="J116" s="211" t="str">
        <f>IFERROR(VLOOKUP($E$96,'ACT2020'!$D$138:$T$172,17,FALSE),"")</f>
        <v/>
      </c>
    </row>
    <row r="118" spans="1:10" ht="15.75" thickBot="1">
      <c r="A118" s="1"/>
      <c r="B118" s="1"/>
      <c r="C118" s="1"/>
      <c r="D118" s="1"/>
      <c r="E118" s="1"/>
      <c r="F118" s="1"/>
      <c r="G118" s="1"/>
      <c r="H118" s="1"/>
      <c r="I118" s="1"/>
      <c r="J118" s="1"/>
    </row>
    <row r="119" spans="1:10" ht="15.75" thickBot="1">
      <c r="A119" s="1"/>
      <c r="B119" s="333" t="s">
        <v>623</v>
      </c>
      <c r="C119" s="333"/>
      <c r="D119" s="333"/>
      <c r="E119" s="337" t="s">
        <v>621</v>
      </c>
      <c r="F119" s="338"/>
      <c r="G119" s="339"/>
      <c r="H119" s="1"/>
      <c r="I119" s="1"/>
      <c r="J119" s="1"/>
    </row>
    <row r="120" spans="1:10">
      <c r="A120" s="1"/>
      <c r="B120" s="1"/>
      <c r="C120" s="1"/>
      <c r="D120" s="1"/>
      <c r="E120" s="1"/>
      <c r="F120" s="1"/>
      <c r="G120" s="1"/>
      <c r="H120" s="1"/>
      <c r="I120" s="1"/>
      <c r="J120" s="1"/>
    </row>
    <row r="121" spans="1:10">
      <c r="A121" s="1"/>
      <c r="B121" s="1"/>
      <c r="C121" s="1"/>
      <c r="D121" s="1"/>
      <c r="E121" s="1"/>
      <c r="F121" s="1"/>
      <c r="G121" s="1"/>
      <c r="H121" s="1"/>
      <c r="I121" s="1"/>
      <c r="J121" s="1"/>
    </row>
    <row r="122" spans="1:10">
      <c r="A122" s="1"/>
      <c r="B122" s="23" t="s">
        <v>286</v>
      </c>
      <c r="C122" s="1"/>
      <c r="D122" s="1"/>
      <c r="E122" s="1"/>
      <c r="F122" s="1"/>
      <c r="G122" s="1"/>
      <c r="H122" s="1"/>
      <c r="I122" s="1"/>
      <c r="J122" s="1"/>
    </row>
    <row r="123" spans="1:10">
      <c r="A123" s="1"/>
      <c r="B123" s="1"/>
      <c r="C123" s="1"/>
      <c r="D123" s="1"/>
      <c r="E123" s="1"/>
      <c r="F123" s="1"/>
      <c r="G123" s="1"/>
      <c r="H123" s="1"/>
      <c r="I123" s="1"/>
      <c r="J123" s="1"/>
    </row>
    <row r="125" spans="1:10">
      <c r="A125" s="104" t="s">
        <v>624</v>
      </c>
    </row>
    <row r="126" spans="1:10">
      <c r="A126" s="16" t="s">
        <v>9</v>
      </c>
      <c r="B126" s="331" t="s">
        <v>619</v>
      </c>
      <c r="C126" s="331"/>
      <c r="D126" s="331"/>
      <c r="E126" s="331"/>
      <c r="F126" s="331"/>
      <c r="G126" s="331"/>
      <c r="H126" s="35" t="s">
        <v>15</v>
      </c>
      <c r="I126" s="35" t="s">
        <v>16</v>
      </c>
      <c r="J126" s="35" t="s">
        <v>17</v>
      </c>
    </row>
    <row r="127" spans="1:10">
      <c r="A127" s="34" t="s">
        <v>238</v>
      </c>
      <c r="B127" s="340" t="str">
        <f>IFERROR(VLOOKUP(A127,INDICE!$D$15:$N$110,6,FALSE),"")</f>
        <v>Porcentaje de ocupados que trabajan en el sector primario.</v>
      </c>
      <c r="C127" s="340"/>
      <c r="D127" s="340"/>
      <c r="E127" s="340"/>
      <c r="F127" s="340"/>
      <c r="G127" s="340"/>
      <c r="H127" s="211" t="str">
        <f>IFERROR(VLOOKUP($E$119,'LB2018'!$D$179:$L$211,5,FALSE),"")</f>
        <v/>
      </c>
      <c r="I127" s="211" t="str">
        <f>IFERROR(VLOOKUP($E$119,'ACT2019'!$D$179:$L$211,5,FALSE),"")</f>
        <v/>
      </c>
      <c r="J127" s="211" t="str">
        <f>IFERROR(VLOOKUP($E$119,'ACT2020'!$D$179:$L$211,5,FALSE),"")</f>
        <v/>
      </c>
    </row>
    <row r="128" spans="1:10">
      <c r="A128" s="34" t="s">
        <v>240</v>
      </c>
      <c r="B128" s="340" t="str">
        <f>IFERROR(VLOOKUP(A128,INDICE!$D$15:$N$110,6,FALSE),"")</f>
        <v>Porcentaje de ocupados que trabajan en el sector secundario.</v>
      </c>
      <c r="C128" s="340"/>
      <c r="D128" s="340"/>
      <c r="E128" s="340"/>
      <c r="F128" s="340"/>
      <c r="G128" s="340"/>
      <c r="H128" s="211" t="str">
        <f>IFERROR(VLOOKUP($E$119,'LB2018'!$D$179:$L$211,6,FALSE),"")</f>
        <v/>
      </c>
      <c r="I128" s="211" t="str">
        <f>IFERROR(VLOOKUP($E$119,'ACT2019'!$D$179:$L$211,6,FALSE),"")</f>
        <v/>
      </c>
      <c r="J128" s="211" t="str">
        <f>IFERROR(VLOOKUP($E$119,'ACT2020'!$D$179:$L$211,6,FALSE),"")</f>
        <v/>
      </c>
    </row>
    <row r="129" spans="1:10">
      <c r="A129" s="34" t="s">
        <v>242</v>
      </c>
      <c r="B129" s="340" t="str">
        <f>IFERROR(VLOOKUP(A129,INDICE!$D$15:$N$110,6,FALSE),"")</f>
        <v>Porcentaje de ocupados que trabajan en el sector terciario.</v>
      </c>
      <c r="C129" s="340"/>
      <c r="D129" s="340"/>
      <c r="E129" s="340"/>
      <c r="F129" s="340"/>
      <c r="G129" s="340"/>
      <c r="H129" s="211" t="str">
        <f>IFERROR(VLOOKUP($E$119,'LB2018'!$D$179:$L$211,7,FALSE),"")</f>
        <v/>
      </c>
      <c r="I129" s="211" t="str">
        <f>IFERROR(VLOOKUP($E$119,'ACT2019'!$D$179:$L$211,7,FALSE),"")</f>
        <v/>
      </c>
      <c r="J129" s="211" t="str">
        <f>IFERROR(VLOOKUP($E$119,'ACT2020'!$D$179:$L$211,7,FALSE),"")</f>
        <v/>
      </c>
    </row>
    <row r="130" spans="1:10">
      <c r="A130" s="34" t="s">
        <v>244</v>
      </c>
      <c r="B130" s="340" t="str">
        <f>IFERROR(VLOOKUP(A130,INDICE!$D$15:$N$110,6,FALSE),"")</f>
        <v>Tasa de desocupación.</v>
      </c>
      <c r="C130" s="340"/>
      <c r="D130" s="340"/>
      <c r="E130" s="340"/>
      <c r="F130" s="340"/>
      <c r="G130" s="340"/>
      <c r="H130" s="211" t="str">
        <f>IFERROR(VLOOKUP($E$119,'LB2018'!$D$179:$L$211,8,FALSE),"")</f>
        <v/>
      </c>
      <c r="I130" s="211" t="str">
        <f>IFERROR(VLOOKUP($E$119,'ACT2019'!$D$179:$L$211,8,FALSE),"")</f>
        <v/>
      </c>
      <c r="J130" s="211" t="str">
        <f>IFERROR(VLOOKUP($E$119,'ACT2020'!$D$179:$L$211,8,FALSE),"")</f>
        <v/>
      </c>
    </row>
    <row r="131" spans="1:10">
      <c r="A131" s="34" t="s">
        <v>247</v>
      </c>
      <c r="B131" s="340" t="str">
        <f>IFERROR(VLOOKUP(A131,INDICE!$D$15:$N$110,6,FALSE),"")</f>
        <v>Porcentaje de ocupados por cuenta propia, respecto del total de personas ocupadas.</v>
      </c>
      <c r="C131" s="340"/>
      <c r="D131" s="340"/>
      <c r="E131" s="340"/>
      <c r="F131" s="340"/>
      <c r="G131" s="340"/>
      <c r="H131" s="211" t="str">
        <f>IFERROR(VLOOKUP($E$119,'LB2018'!$D$179:$L$211,9,FALSE),"")</f>
        <v/>
      </c>
      <c r="I131" s="211" t="str">
        <f>IFERROR(VLOOKUP($E$119,'ACT2019'!$D$179:$L$211,9,FALSE),"")</f>
        <v/>
      </c>
      <c r="J131" s="211" t="str">
        <f>IFERROR(VLOOKUP($E$119,'ACT2020'!$D$179:$L$211,9,FALSE),"")</f>
        <v/>
      </c>
    </row>
    <row r="133" spans="1:10" ht="15.75" thickBot="1">
      <c r="A133" s="1"/>
      <c r="B133" s="1"/>
      <c r="C133" s="1"/>
      <c r="D133" s="1"/>
      <c r="E133" s="1"/>
      <c r="F133" s="1"/>
      <c r="G133" s="1"/>
      <c r="H133" s="1"/>
      <c r="I133" s="1"/>
      <c r="J133" s="1"/>
    </row>
    <row r="134" spans="1:10" ht="15.75" thickBot="1">
      <c r="A134" s="1"/>
      <c r="B134" s="333" t="s">
        <v>625</v>
      </c>
      <c r="C134" s="333"/>
      <c r="D134" s="333"/>
      <c r="E134" s="334" t="s">
        <v>621</v>
      </c>
      <c r="F134" s="334"/>
      <c r="G134" s="1"/>
      <c r="H134" s="1"/>
      <c r="I134" s="1"/>
      <c r="J134" s="1"/>
    </row>
    <row r="135" spans="1:10">
      <c r="A135" s="1"/>
      <c r="B135" s="1"/>
      <c r="C135" s="1"/>
      <c r="D135" s="1"/>
      <c r="E135" s="1"/>
      <c r="F135" s="1"/>
      <c r="G135" s="1"/>
      <c r="H135" s="1"/>
      <c r="I135" s="1"/>
      <c r="J135" s="1"/>
    </row>
    <row r="136" spans="1:10">
      <c r="A136" s="1"/>
      <c r="B136" s="1"/>
      <c r="C136" s="1"/>
      <c r="D136" s="1"/>
      <c r="E136" s="1"/>
      <c r="F136" s="1"/>
      <c r="G136" s="1"/>
      <c r="H136" s="1"/>
      <c r="I136" s="1"/>
      <c r="J136" s="1"/>
    </row>
    <row r="137" spans="1:10">
      <c r="A137" s="1"/>
      <c r="B137" s="23" t="s">
        <v>286</v>
      </c>
      <c r="C137" s="1"/>
      <c r="D137" s="1"/>
      <c r="E137" s="1"/>
      <c r="F137" s="1"/>
      <c r="G137" s="1"/>
      <c r="H137" s="1"/>
      <c r="I137" s="1"/>
      <c r="J137" s="1"/>
    </row>
    <row r="138" spans="1:10">
      <c r="A138" s="1"/>
      <c r="B138" s="1"/>
      <c r="C138" s="1"/>
      <c r="D138" s="1"/>
      <c r="E138" s="1"/>
      <c r="F138" s="1"/>
      <c r="G138" s="1"/>
      <c r="H138" s="1"/>
      <c r="I138" s="1"/>
      <c r="J138" s="1"/>
    </row>
    <row r="140" spans="1:10">
      <c r="A140" s="104" t="s">
        <v>626</v>
      </c>
    </row>
    <row r="141" spans="1:10">
      <c r="A141" s="16" t="s">
        <v>9</v>
      </c>
      <c r="B141" s="331" t="s">
        <v>619</v>
      </c>
      <c r="C141" s="331"/>
      <c r="D141" s="331"/>
      <c r="E141" s="331"/>
      <c r="F141" s="331"/>
      <c r="G141" s="331"/>
      <c r="H141" s="35" t="s">
        <v>15</v>
      </c>
      <c r="I141" s="35" t="s">
        <v>16</v>
      </c>
      <c r="J141" s="35" t="s">
        <v>17</v>
      </c>
    </row>
    <row r="142" spans="1:10">
      <c r="A142" s="34" t="s">
        <v>215</v>
      </c>
      <c r="B142" s="340" t="str">
        <f>IFERROR(VLOOKUP(A142,INDICE!$D$15:$N$110,6,FALSE),"")</f>
        <v>Tasa de crecimiento anual de la extensión física urbana.</v>
      </c>
      <c r="C142" s="340"/>
      <c r="D142" s="340"/>
      <c r="E142" s="340"/>
      <c r="F142" s="340"/>
      <c r="G142" s="340"/>
      <c r="H142" s="211" t="str">
        <f>IFERROR(VLOOKUP($E$134,'LB2018'!$E$218:$G$278,3,FALSE),"")</f>
        <v/>
      </c>
      <c r="I142" s="210" t="str">
        <f>IFERROR(VLOOKUP($E$134,'ACT2019'!$E$218:$G$278,3,FALSE),"")</f>
        <v/>
      </c>
      <c r="J142" s="210" t="str">
        <f>IFERROR(VLOOKUP($E$134,'ACT2020'!$E$218:$G$278,3,FALSE),"")</f>
        <v/>
      </c>
    </row>
  </sheetData>
  <mergeCells count="108">
    <mergeCell ref="B110:G110"/>
    <mergeCell ref="B111:G111"/>
    <mergeCell ref="B112:G112"/>
    <mergeCell ref="B113:G113"/>
    <mergeCell ref="B114:G114"/>
    <mergeCell ref="B115:G115"/>
    <mergeCell ref="B116:G116"/>
    <mergeCell ref="B141:G141"/>
    <mergeCell ref="B142:G142"/>
    <mergeCell ref="B126:G126"/>
    <mergeCell ref="B127:G127"/>
    <mergeCell ref="B128:G128"/>
    <mergeCell ref="B129:G129"/>
    <mergeCell ref="B130:G130"/>
    <mergeCell ref="B131:G131"/>
    <mergeCell ref="B91:G91"/>
    <mergeCell ref="B103:G103"/>
    <mergeCell ref="B104:G104"/>
    <mergeCell ref="B105:G105"/>
    <mergeCell ref="B106:G106"/>
    <mergeCell ref="B107:G107"/>
    <mergeCell ref="B108:G108"/>
    <mergeCell ref="B109:G109"/>
    <mergeCell ref="B82:G82"/>
    <mergeCell ref="B83:G83"/>
    <mergeCell ref="B84:G84"/>
    <mergeCell ref="B85:G85"/>
    <mergeCell ref="B86:G86"/>
    <mergeCell ref="B87:G87"/>
    <mergeCell ref="B88:G88"/>
    <mergeCell ref="B89:G89"/>
    <mergeCell ref="B90:G90"/>
    <mergeCell ref="B75:G75"/>
    <mergeCell ref="B76:G76"/>
    <mergeCell ref="B77:G77"/>
    <mergeCell ref="B78:G78"/>
    <mergeCell ref="B79:G79"/>
    <mergeCell ref="B80:G80"/>
    <mergeCell ref="B81:G81"/>
    <mergeCell ref="B65:G65"/>
    <mergeCell ref="B66:G66"/>
    <mergeCell ref="B67:G67"/>
    <mergeCell ref="B68:G68"/>
    <mergeCell ref="B69:G69"/>
    <mergeCell ref="B70:G70"/>
    <mergeCell ref="B71:G71"/>
    <mergeCell ref="B72:G72"/>
    <mergeCell ref="B73:G73"/>
    <mergeCell ref="B53:G53"/>
    <mergeCell ref="B54:G54"/>
    <mergeCell ref="B55:G55"/>
    <mergeCell ref="B56:G56"/>
    <mergeCell ref="B57:G57"/>
    <mergeCell ref="B58:G58"/>
    <mergeCell ref="B59:G59"/>
    <mergeCell ref="B60:G60"/>
    <mergeCell ref="B74:G74"/>
    <mergeCell ref="B44:G44"/>
    <mergeCell ref="B45:G45"/>
    <mergeCell ref="B46:G46"/>
    <mergeCell ref="B47:G47"/>
    <mergeCell ref="B48:G48"/>
    <mergeCell ref="B49:G49"/>
    <mergeCell ref="B50:G50"/>
    <mergeCell ref="B51:G51"/>
    <mergeCell ref="B52:G52"/>
    <mergeCell ref="B35:G35"/>
    <mergeCell ref="B36:G36"/>
    <mergeCell ref="B37:G37"/>
    <mergeCell ref="B38:G38"/>
    <mergeCell ref="B39:G39"/>
    <mergeCell ref="B40:G40"/>
    <mergeCell ref="B41:G41"/>
    <mergeCell ref="B42:G42"/>
    <mergeCell ref="B43:G43"/>
    <mergeCell ref="A1:B2"/>
    <mergeCell ref="B96:D96"/>
    <mergeCell ref="E96:F96"/>
    <mergeCell ref="E4:F4"/>
    <mergeCell ref="B4:D4"/>
    <mergeCell ref="B134:D134"/>
    <mergeCell ref="E134:F134"/>
    <mergeCell ref="B119:D119"/>
    <mergeCell ref="B61:G61"/>
    <mergeCell ref="B62:G62"/>
    <mergeCell ref="B63:G63"/>
    <mergeCell ref="B64:G64"/>
    <mergeCell ref="E119:G119"/>
    <mergeCell ref="B21:G21"/>
    <mergeCell ref="B22:G22"/>
    <mergeCell ref="B23:G23"/>
    <mergeCell ref="B24:G24"/>
    <mergeCell ref="B25:G25"/>
    <mergeCell ref="B26:G26"/>
    <mergeCell ref="B27:G27"/>
    <mergeCell ref="B28:G28"/>
    <mergeCell ref="B29:G29"/>
    <mergeCell ref="B30:G30"/>
    <mergeCell ref="B34:G34"/>
    <mergeCell ref="B31:G31"/>
    <mergeCell ref="B32:G32"/>
    <mergeCell ref="B33:G33"/>
    <mergeCell ref="B16:G16"/>
    <mergeCell ref="B17:G17"/>
    <mergeCell ref="B18:G18"/>
    <mergeCell ref="B19:G19"/>
    <mergeCell ref="B20:G20"/>
    <mergeCell ref="A9:J9"/>
  </mergeCells>
  <dataValidations count="1">
    <dataValidation allowBlank="1" showInputMessage="1" showErrorMessage="1" sqref="G4 G96 G134" xr:uid="{00000000-0002-0000-0400-000000000000}"/>
  </dataValidations>
  <pageMargins left="0.70866141732283472" right="0.70866141732283472" top="0.74803149606299213" bottom="0.74803149606299213" header="0.31496062992125984" footer="0.31496062992125984"/>
  <pageSetup scale="70" orientation="landscape" r:id="rId1"/>
  <drawing r:id="rId2"/>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400-000001000000}">
          <x14:formula1>
            <xm:f>lista!$B$2:$B$119</xm:f>
          </x14:formula1>
          <xm:sqref>E4:F4</xm:sqref>
        </x14:dataValidation>
        <x14:dataValidation type="list" allowBlank="1" showInputMessage="1" showErrorMessage="1" xr:uid="{00000000-0002-0000-0400-000002000000}">
          <x14:formula1>
            <xm:f>lista!$D$2:$D$37</xm:f>
          </x14:formula1>
          <xm:sqref>E96:F96</xm:sqref>
        </x14:dataValidation>
        <x14:dataValidation type="list" allowBlank="1" showInputMessage="1" showErrorMessage="1" xr:uid="{00000000-0002-0000-0400-000003000000}">
          <x14:formula1>
            <xm:f>lista!$F$2:$F$35</xm:f>
          </x14:formula1>
          <xm:sqref>E119</xm:sqref>
        </x14:dataValidation>
        <x14:dataValidation type="list" allowBlank="1" showInputMessage="1" showErrorMessage="1" xr:uid="{00000000-0002-0000-0400-000004000000}">
          <x14:formula1>
            <xm:f>lista!$H$2:$H$63</xm:f>
          </x14:formula1>
          <xm:sqref>E134:F134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9"/>
  <dimension ref="B1:N119"/>
  <sheetViews>
    <sheetView workbookViewId="0">
      <selection activeCell="I21" sqref="I21"/>
    </sheetView>
  </sheetViews>
  <sheetFormatPr defaultColWidth="11.42578125" defaultRowHeight="15"/>
  <cols>
    <col min="2" max="2" width="22.5703125" customWidth="1"/>
    <col min="4" max="4" width="38.5703125" bestFit="1" customWidth="1"/>
    <col min="6" max="6" width="22.28515625" bestFit="1" customWidth="1"/>
    <col min="8" max="8" width="42.5703125" customWidth="1"/>
  </cols>
  <sheetData>
    <row r="1" spans="2:13">
      <c r="B1" s="250" t="s">
        <v>627</v>
      </c>
      <c r="C1" s="250"/>
      <c r="D1" s="250" t="s">
        <v>628</v>
      </c>
      <c r="E1" s="250"/>
      <c r="F1" s="250" t="s">
        <v>629</v>
      </c>
      <c r="G1" s="250"/>
      <c r="H1" s="250" t="s">
        <v>630</v>
      </c>
    </row>
    <row r="2" spans="2:13">
      <c r="B2" s="250" t="s">
        <v>612</v>
      </c>
      <c r="C2" s="250"/>
      <c r="D2" s="250" t="s">
        <v>621</v>
      </c>
      <c r="E2" s="250"/>
      <c r="F2" s="250" t="s">
        <v>621</v>
      </c>
      <c r="G2" s="250"/>
      <c r="H2" s="250" t="s">
        <v>621</v>
      </c>
    </row>
    <row r="3" spans="2:13">
      <c r="B3" s="209" t="s">
        <v>356</v>
      </c>
      <c r="C3" s="250"/>
      <c r="D3" s="251" t="s">
        <v>441</v>
      </c>
      <c r="E3" s="250"/>
      <c r="F3" s="208" t="s">
        <v>356</v>
      </c>
      <c r="G3" s="250"/>
      <c r="H3" s="224" t="s">
        <v>573</v>
      </c>
    </row>
    <row r="4" spans="2:13">
      <c r="B4" s="206" t="s">
        <v>441</v>
      </c>
      <c r="C4" s="250"/>
      <c r="D4" s="252" t="s">
        <v>360</v>
      </c>
      <c r="E4" s="250"/>
      <c r="F4" s="208" t="s">
        <v>533</v>
      </c>
      <c r="G4" s="250"/>
      <c r="H4" s="221" t="s">
        <v>360</v>
      </c>
    </row>
    <row r="5" spans="2:13">
      <c r="B5" s="208" t="s">
        <v>360</v>
      </c>
      <c r="C5" s="250"/>
      <c r="D5" s="252" t="s">
        <v>510</v>
      </c>
      <c r="E5" s="250"/>
      <c r="F5" s="208" t="s">
        <v>534</v>
      </c>
      <c r="G5" s="250"/>
      <c r="H5" s="221" t="s">
        <v>362</v>
      </c>
    </row>
    <row r="6" spans="2:13">
      <c r="B6" s="208" t="s">
        <v>510</v>
      </c>
      <c r="C6" s="250"/>
      <c r="D6" s="252" t="s">
        <v>362</v>
      </c>
      <c r="E6" s="250"/>
      <c r="F6" s="206" t="s">
        <v>536</v>
      </c>
      <c r="G6" s="250"/>
      <c r="H6" s="221" t="s">
        <v>364</v>
      </c>
    </row>
    <row r="7" spans="2:13">
      <c r="B7" s="208" t="s">
        <v>498</v>
      </c>
      <c r="C7" s="250"/>
      <c r="D7" s="253" t="s">
        <v>448</v>
      </c>
      <c r="E7" s="250"/>
      <c r="F7" s="206" t="s">
        <v>538</v>
      </c>
      <c r="G7" s="250"/>
      <c r="H7" s="221" t="s">
        <v>366</v>
      </c>
    </row>
    <row r="8" spans="2:13">
      <c r="B8" s="208" t="s">
        <v>362</v>
      </c>
      <c r="C8" s="250"/>
      <c r="D8" s="252" t="s">
        <v>513</v>
      </c>
      <c r="E8" s="250"/>
      <c r="F8" s="208" t="s">
        <v>540</v>
      </c>
      <c r="G8" s="250"/>
      <c r="H8" s="221" t="s">
        <v>368</v>
      </c>
    </row>
    <row r="9" spans="2:13">
      <c r="B9" s="254" t="s">
        <v>387</v>
      </c>
      <c r="C9" s="250"/>
      <c r="D9" s="253" t="s">
        <v>412</v>
      </c>
      <c r="E9" s="250"/>
      <c r="F9" s="208" t="s">
        <v>541</v>
      </c>
      <c r="G9" s="250"/>
      <c r="H9" s="221" t="s">
        <v>575</v>
      </c>
    </row>
    <row r="10" spans="2:13">
      <c r="B10" s="208" t="s">
        <v>499</v>
      </c>
      <c r="C10" s="250"/>
      <c r="D10" s="252" t="s">
        <v>365</v>
      </c>
      <c r="E10" s="250"/>
      <c r="F10" s="208" t="s">
        <v>542</v>
      </c>
      <c r="G10" s="250"/>
      <c r="H10" s="221" t="s">
        <v>374</v>
      </c>
    </row>
    <row r="11" spans="2:13">
      <c r="B11" s="255" t="s">
        <v>392</v>
      </c>
      <c r="C11" s="250"/>
      <c r="D11" s="253" t="s">
        <v>451</v>
      </c>
      <c r="E11" s="250"/>
      <c r="F11" s="208" t="s">
        <v>543</v>
      </c>
      <c r="G11" s="250"/>
      <c r="H11" s="221" t="s">
        <v>377</v>
      </c>
      <c r="J11" s="85"/>
      <c r="K11" s="85"/>
      <c r="L11" s="85"/>
      <c r="M11" s="85"/>
    </row>
    <row r="12" spans="2:13">
      <c r="B12" s="208" t="s">
        <v>377</v>
      </c>
      <c r="C12" s="250"/>
      <c r="D12" s="252" t="s">
        <v>414</v>
      </c>
      <c r="E12" s="250"/>
      <c r="F12" s="208" t="s">
        <v>544</v>
      </c>
      <c r="G12" s="250"/>
      <c r="H12" s="221" t="s">
        <v>376</v>
      </c>
      <c r="J12" s="324"/>
      <c r="K12" s="324"/>
      <c r="L12" s="324"/>
      <c r="M12" s="341"/>
    </row>
    <row r="13" spans="2:13" ht="25.5">
      <c r="B13" s="206" t="s">
        <v>448</v>
      </c>
      <c r="C13" s="250"/>
      <c r="D13" s="252" t="s">
        <v>420</v>
      </c>
      <c r="E13" s="250"/>
      <c r="F13" s="208" t="s">
        <v>631</v>
      </c>
      <c r="G13" s="250"/>
      <c r="H13" s="221" t="s">
        <v>398</v>
      </c>
      <c r="J13" s="324"/>
      <c r="K13" s="324"/>
      <c r="L13" s="324"/>
      <c r="M13" s="341"/>
    </row>
    <row r="14" spans="2:13">
      <c r="B14" s="208" t="s">
        <v>457</v>
      </c>
      <c r="C14" s="250"/>
      <c r="D14" s="252" t="s">
        <v>456</v>
      </c>
      <c r="E14" s="250"/>
      <c r="F14" s="208" t="s">
        <v>546</v>
      </c>
      <c r="G14" s="250"/>
      <c r="H14" s="221" t="s">
        <v>578</v>
      </c>
      <c r="J14" s="85"/>
      <c r="K14" s="85"/>
      <c r="L14" s="85"/>
      <c r="M14" s="85"/>
    </row>
    <row r="15" spans="2:13">
      <c r="B15" s="208" t="s">
        <v>458</v>
      </c>
      <c r="C15" s="250"/>
      <c r="D15" s="252" t="s">
        <v>376</v>
      </c>
      <c r="E15" s="250"/>
      <c r="F15" s="206" t="s">
        <v>547</v>
      </c>
      <c r="G15" s="250"/>
      <c r="H15" s="221" t="s">
        <v>399</v>
      </c>
      <c r="J15" s="85"/>
      <c r="K15" s="85"/>
      <c r="L15" s="85"/>
      <c r="M15" s="85"/>
    </row>
    <row r="16" spans="2:13">
      <c r="B16" s="208" t="s">
        <v>422</v>
      </c>
      <c r="C16" s="250"/>
      <c r="D16" s="252" t="s">
        <v>350</v>
      </c>
      <c r="E16" s="250"/>
      <c r="F16" s="208" t="s">
        <v>548</v>
      </c>
      <c r="G16" s="250"/>
      <c r="H16" s="221" t="s">
        <v>379</v>
      </c>
      <c r="J16" s="85"/>
      <c r="K16" s="85"/>
      <c r="L16" s="85"/>
      <c r="M16" s="85"/>
    </row>
    <row r="17" spans="2:14">
      <c r="B17" s="208" t="s">
        <v>514</v>
      </c>
      <c r="C17" s="250"/>
      <c r="D17" s="252" t="s">
        <v>371</v>
      </c>
      <c r="E17" s="250"/>
      <c r="F17" s="208" t="s">
        <v>549</v>
      </c>
      <c r="G17" s="250"/>
      <c r="H17" s="221" t="s">
        <v>581</v>
      </c>
      <c r="J17" s="85"/>
      <c r="K17" s="85"/>
      <c r="L17" s="85"/>
      <c r="M17" s="85"/>
    </row>
    <row r="18" spans="2:14">
      <c r="B18" s="208" t="s">
        <v>515</v>
      </c>
      <c r="C18" s="250"/>
      <c r="D18" s="253" t="s">
        <v>417</v>
      </c>
      <c r="E18" s="250"/>
      <c r="F18" s="208" t="s">
        <v>550</v>
      </c>
      <c r="G18" s="250"/>
      <c r="H18" s="221" t="s">
        <v>380</v>
      </c>
    </row>
    <row r="19" spans="2:14">
      <c r="B19" s="208" t="s">
        <v>493</v>
      </c>
      <c r="C19" s="250"/>
      <c r="D19" s="253" t="s">
        <v>383</v>
      </c>
      <c r="E19" s="250"/>
      <c r="F19" s="208" t="s">
        <v>551</v>
      </c>
      <c r="G19" s="250"/>
      <c r="H19" s="221" t="s">
        <v>583</v>
      </c>
      <c r="N19" t="s">
        <v>285</v>
      </c>
    </row>
    <row r="20" spans="2:14" ht="38.25">
      <c r="B20" s="208" t="s">
        <v>419</v>
      </c>
      <c r="C20" s="250"/>
      <c r="D20" s="252" t="s">
        <v>431</v>
      </c>
      <c r="E20" s="250"/>
      <c r="F20" s="208" t="s">
        <v>632</v>
      </c>
      <c r="G20" s="250"/>
      <c r="H20" s="221" t="s">
        <v>384</v>
      </c>
    </row>
    <row r="21" spans="2:14" ht="25.5">
      <c r="B21" s="208" t="s">
        <v>459</v>
      </c>
      <c r="C21" s="250"/>
      <c r="D21" s="252" t="s">
        <v>501</v>
      </c>
      <c r="E21" s="250"/>
      <c r="F21" s="206" t="s">
        <v>633</v>
      </c>
      <c r="G21" s="250"/>
      <c r="H21" s="221" t="s">
        <v>395</v>
      </c>
    </row>
    <row r="22" spans="2:14">
      <c r="B22" s="208" t="s">
        <v>378</v>
      </c>
      <c r="C22" s="250"/>
      <c r="D22" s="252" t="s">
        <v>449</v>
      </c>
      <c r="E22" s="250"/>
      <c r="F22" s="208" t="s">
        <v>554</v>
      </c>
      <c r="G22" s="250"/>
      <c r="H22" s="221" t="s">
        <v>393</v>
      </c>
    </row>
    <row r="23" spans="2:14">
      <c r="B23" s="206" t="s">
        <v>412</v>
      </c>
      <c r="C23" s="250"/>
      <c r="D23" s="252" t="s">
        <v>374</v>
      </c>
      <c r="E23" s="250"/>
      <c r="F23" s="208" t="s">
        <v>555</v>
      </c>
      <c r="G23" s="250"/>
      <c r="H23" s="221" t="s">
        <v>585</v>
      </c>
    </row>
    <row r="24" spans="2:14">
      <c r="B24" s="208" t="s">
        <v>364</v>
      </c>
      <c r="C24" s="250"/>
      <c r="D24" s="252" t="s">
        <v>444</v>
      </c>
      <c r="E24" s="250"/>
      <c r="F24" s="208" t="s">
        <v>556</v>
      </c>
      <c r="G24" s="250"/>
      <c r="H24" s="221" t="s">
        <v>406</v>
      </c>
    </row>
    <row r="25" spans="2:14">
      <c r="B25" s="208" t="s">
        <v>369</v>
      </c>
      <c r="C25" s="250"/>
      <c r="D25" s="252" t="s">
        <v>453</v>
      </c>
      <c r="E25" s="250"/>
      <c r="F25" s="208" t="s">
        <v>557</v>
      </c>
      <c r="G25" s="250"/>
      <c r="H25" s="221" t="s">
        <v>408</v>
      </c>
    </row>
    <row r="26" spans="2:14">
      <c r="B26" s="208" t="s">
        <v>421</v>
      </c>
      <c r="C26" s="250"/>
      <c r="D26" s="253" t="s">
        <v>386</v>
      </c>
      <c r="E26" s="250"/>
      <c r="F26" s="206" t="s">
        <v>558</v>
      </c>
      <c r="G26" s="250"/>
      <c r="H26" s="221" t="s">
        <v>412</v>
      </c>
    </row>
    <row r="27" spans="2:14">
      <c r="B27" s="206" t="s">
        <v>451</v>
      </c>
      <c r="C27" s="250"/>
      <c r="D27" s="252" t="s">
        <v>403</v>
      </c>
      <c r="E27" s="250"/>
      <c r="F27" s="208" t="s">
        <v>559</v>
      </c>
      <c r="G27" s="250"/>
      <c r="H27" s="221" t="s">
        <v>413</v>
      </c>
    </row>
    <row r="28" spans="2:14">
      <c r="B28" s="255" t="s">
        <v>413</v>
      </c>
      <c r="C28" s="250"/>
      <c r="D28" s="253" t="s">
        <v>406</v>
      </c>
      <c r="E28" s="250"/>
      <c r="F28" s="208" t="s">
        <v>560</v>
      </c>
      <c r="G28" s="250"/>
      <c r="H28" s="221" t="s">
        <v>417</v>
      </c>
    </row>
    <row r="29" spans="2:14">
      <c r="B29" s="208" t="s">
        <v>460</v>
      </c>
      <c r="C29" s="250"/>
      <c r="D29" s="252" t="s">
        <v>391</v>
      </c>
      <c r="E29" s="250"/>
      <c r="F29" s="208" t="s">
        <v>561</v>
      </c>
      <c r="G29" s="250"/>
      <c r="H29" s="221" t="s">
        <v>409</v>
      </c>
    </row>
    <row r="30" spans="2:14">
      <c r="B30" s="208" t="s">
        <v>503</v>
      </c>
      <c r="C30" s="250"/>
      <c r="D30" s="253" t="s">
        <v>517</v>
      </c>
      <c r="E30" s="250"/>
      <c r="F30" s="208" t="s">
        <v>562</v>
      </c>
      <c r="G30" s="250"/>
      <c r="H30" s="221" t="s">
        <v>415</v>
      </c>
    </row>
    <row r="31" spans="2:14">
      <c r="B31" s="208" t="s">
        <v>461</v>
      </c>
      <c r="C31" s="250"/>
      <c r="D31" s="253" t="s">
        <v>395</v>
      </c>
      <c r="E31" s="250"/>
      <c r="F31" s="207" t="s">
        <v>563</v>
      </c>
      <c r="G31" s="250"/>
      <c r="H31" s="221" t="s">
        <v>416</v>
      </c>
    </row>
    <row r="32" spans="2:14" ht="51">
      <c r="B32" s="254" t="s">
        <v>388</v>
      </c>
      <c r="C32" s="250"/>
      <c r="D32" s="253" t="s">
        <v>408</v>
      </c>
      <c r="E32" s="250"/>
      <c r="F32" s="208" t="s">
        <v>634</v>
      </c>
      <c r="G32" s="250"/>
      <c r="H32" s="221" t="s">
        <v>588</v>
      </c>
    </row>
    <row r="33" spans="2:8">
      <c r="B33" s="208" t="s">
        <v>430</v>
      </c>
      <c r="C33" s="250"/>
      <c r="D33" s="252" t="s">
        <v>411</v>
      </c>
      <c r="E33" s="250"/>
      <c r="F33" s="208" t="s">
        <v>565</v>
      </c>
      <c r="G33" s="250"/>
      <c r="H33" s="221" t="s">
        <v>420</v>
      </c>
    </row>
    <row r="34" spans="2:8">
      <c r="B34" s="208" t="s">
        <v>423</v>
      </c>
      <c r="C34" s="250"/>
      <c r="D34" s="252" t="s">
        <v>436</v>
      </c>
      <c r="E34" s="250"/>
      <c r="F34" s="209" t="s">
        <v>566</v>
      </c>
      <c r="G34" s="250"/>
      <c r="H34" s="221" t="s">
        <v>423</v>
      </c>
    </row>
    <row r="35" spans="2:8" ht="25.5">
      <c r="B35" s="208" t="s">
        <v>462</v>
      </c>
      <c r="C35" s="250"/>
      <c r="D35" s="252" t="s">
        <v>508</v>
      </c>
      <c r="E35" s="250"/>
      <c r="F35" s="208" t="s">
        <v>635</v>
      </c>
      <c r="G35" s="250"/>
      <c r="H35" s="221" t="s">
        <v>432</v>
      </c>
    </row>
    <row r="36" spans="2:8">
      <c r="B36" s="208" t="s">
        <v>463</v>
      </c>
      <c r="C36" s="250"/>
      <c r="D36" s="253" t="s">
        <v>368</v>
      </c>
      <c r="E36" s="250"/>
      <c r="F36" s="250"/>
      <c r="G36" s="250"/>
      <c r="H36" s="221" t="s">
        <v>424</v>
      </c>
    </row>
    <row r="37" spans="2:8">
      <c r="B37" s="208" t="s">
        <v>348</v>
      </c>
      <c r="C37" s="250"/>
      <c r="D37" s="253" t="s">
        <v>439</v>
      </c>
      <c r="E37" s="250"/>
      <c r="F37" s="250"/>
      <c r="G37" s="250"/>
      <c r="H37" s="221" t="s">
        <v>433</v>
      </c>
    </row>
    <row r="38" spans="2:8">
      <c r="B38" s="208" t="s">
        <v>504</v>
      </c>
      <c r="C38" s="250"/>
      <c r="D38" s="250"/>
      <c r="E38" s="250"/>
      <c r="F38" s="250"/>
      <c r="G38" s="250"/>
      <c r="H38" s="221" t="s">
        <v>427</v>
      </c>
    </row>
    <row r="39" spans="2:8">
      <c r="B39" s="208" t="s">
        <v>464</v>
      </c>
      <c r="C39" s="250"/>
      <c r="D39" s="250"/>
      <c r="E39" s="250"/>
      <c r="F39" s="250"/>
      <c r="G39" s="250"/>
      <c r="H39" s="221" t="s">
        <v>429</v>
      </c>
    </row>
    <row r="40" spans="2:8">
      <c r="B40" s="254" t="s">
        <v>389</v>
      </c>
      <c r="C40" s="250"/>
      <c r="D40" s="250"/>
      <c r="E40" s="250"/>
      <c r="F40" s="250"/>
      <c r="G40" s="250"/>
      <c r="H40" s="221" t="s">
        <v>441</v>
      </c>
    </row>
    <row r="41" spans="2:8">
      <c r="B41" s="208" t="s">
        <v>465</v>
      </c>
      <c r="C41" s="250"/>
      <c r="D41" s="250"/>
      <c r="E41" s="250"/>
      <c r="F41" s="250"/>
      <c r="G41" s="250"/>
      <c r="H41" s="221" t="s">
        <v>592</v>
      </c>
    </row>
    <row r="42" spans="2:8">
      <c r="B42" s="208" t="s">
        <v>466</v>
      </c>
      <c r="C42" s="250"/>
      <c r="D42" s="250"/>
      <c r="E42" s="250"/>
      <c r="F42" s="250"/>
      <c r="G42" s="250"/>
      <c r="H42" s="221" t="s">
        <v>439</v>
      </c>
    </row>
    <row r="43" spans="2:8">
      <c r="B43" s="208" t="s">
        <v>467</v>
      </c>
      <c r="C43" s="250"/>
      <c r="D43" s="250"/>
      <c r="E43" s="250"/>
      <c r="F43" s="250"/>
      <c r="G43" s="250"/>
      <c r="H43" s="221" t="s">
        <v>448</v>
      </c>
    </row>
    <row r="44" spans="2:8">
      <c r="B44" s="208" t="s">
        <v>468</v>
      </c>
      <c r="C44" s="250"/>
      <c r="D44" s="250"/>
      <c r="E44" s="250"/>
      <c r="F44" s="250"/>
      <c r="G44" s="250"/>
      <c r="H44" s="221" t="s">
        <v>449</v>
      </c>
    </row>
    <row r="45" spans="2:8">
      <c r="B45" s="208" t="s">
        <v>372</v>
      </c>
      <c r="C45" s="250"/>
      <c r="D45" s="250"/>
      <c r="E45" s="250"/>
      <c r="F45" s="250"/>
      <c r="G45" s="250"/>
      <c r="H45" s="221" t="s">
        <v>445</v>
      </c>
    </row>
    <row r="46" spans="2:8">
      <c r="B46" s="208" t="s">
        <v>494</v>
      </c>
      <c r="C46" s="250"/>
      <c r="D46" s="250"/>
      <c r="E46" s="250"/>
      <c r="F46" s="250"/>
      <c r="G46" s="250"/>
      <c r="H46" s="221" t="s">
        <v>446</v>
      </c>
    </row>
    <row r="47" spans="2:8">
      <c r="B47" s="208" t="s">
        <v>469</v>
      </c>
      <c r="C47" s="250"/>
      <c r="D47" s="250"/>
      <c r="E47" s="250"/>
      <c r="F47" s="250"/>
      <c r="G47" s="250"/>
      <c r="H47" s="221" t="s">
        <v>451</v>
      </c>
    </row>
    <row r="48" spans="2:8">
      <c r="B48" s="208" t="s">
        <v>398</v>
      </c>
      <c r="C48" s="250"/>
      <c r="D48" s="250"/>
      <c r="E48" s="250"/>
      <c r="F48" s="250"/>
      <c r="G48" s="250"/>
      <c r="H48" s="221" t="s">
        <v>453</v>
      </c>
    </row>
    <row r="49" spans="2:8">
      <c r="B49" s="254" t="s">
        <v>417</v>
      </c>
      <c r="C49" s="250"/>
      <c r="D49" s="250"/>
      <c r="E49" s="250"/>
      <c r="F49" s="250"/>
      <c r="G49" s="250"/>
      <c r="H49" s="221" t="s">
        <v>594</v>
      </c>
    </row>
    <row r="50" spans="2:8">
      <c r="B50" s="208" t="s">
        <v>470</v>
      </c>
      <c r="C50" s="250"/>
      <c r="D50" s="250"/>
      <c r="E50" s="250"/>
      <c r="F50" s="250"/>
      <c r="G50" s="250"/>
      <c r="H50" s="221" t="s">
        <v>596</v>
      </c>
    </row>
    <row r="51" spans="2:8">
      <c r="B51" s="208" t="s">
        <v>471</v>
      </c>
      <c r="C51" s="250"/>
      <c r="D51" s="250"/>
      <c r="E51" s="250"/>
      <c r="F51" s="250"/>
      <c r="G51" s="250"/>
      <c r="H51" s="221" t="s">
        <v>493</v>
      </c>
    </row>
    <row r="52" spans="2:8">
      <c r="B52" s="208" t="s">
        <v>472</v>
      </c>
      <c r="C52" s="250"/>
      <c r="D52" s="250"/>
      <c r="E52" s="250"/>
      <c r="F52" s="250"/>
      <c r="G52" s="250"/>
      <c r="H52" s="221" t="s">
        <v>503</v>
      </c>
    </row>
    <row r="53" spans="2:8">
      <c r="B53" s="254" t="s">
        <v>382</v>
      </c>
      <c r="C53" s="250"/>
      <c r="D53" s="250"/>
      <c r="E53" s="250"/>
      <c r="F53" s="250"/>
      <c r="G53" s="250"/>
      <c r="H53" s="221" t="s">
        <v>456</v>
      </c>
    </row>
    <row r="54" spans="2:8">
      <c r="B54" s="208" t="s">
        <v>432</v>
      </c>
      <c r="C54" s="250"/>
      <c r="D54" s="250"/>
      <c r="E54" s="250"/>
      <c r="F54" s="250"/>
      <c r="G54" s="250"/>
      <c r="H54" s="221" t="s">
        <v>504</v>
      </c>
    </row>
    <row r="55" spans="2:8">
      <c r="B55" s="208" t="s">
        <v>424</v>
      </c>
      <c r="C55" s="250"/>
      <c r="D55" s="250"/>
      <c r="E55" s="250"/>
      <c r="F55" s="250"/>
      <c r="G55" s="250"/>
      <c r="H55" s="221" t="s">
        <v>494</v>
      </c>
    </row>
    <row r="56" spans="2:8">
      <c r="B56" s="208" t="s">
        <v>405</v>
      </c>
      <c r="C56" s="250"/>
      <c r="D56" s="250"/>
      <c r="E56" s="250"/>
      <c r="F56" s="250"/>
      <c r="G56" s="250"/>
      <c r="H56" s="221" t="s">
        <v>501</v>
      </c>
    </row>
    <row r="57" spans="2:8">
      <c r="B57" s="208" t="s">
        <v>473</v>
      </c>
      <c r="C57" s="250"/>
      <c r="D57" s="250"/>
      <c r="E57" s="250"/>
      <c r="F57" s="250"/>
      <c r="G57" s="250"/>
      <c r="H57" s="221" t="s">
        <v>490</v>
      </c>
    </row>
    <row r="58" spans="2:8">
      <c r="B58" s="208" t="s">
        <v>474</v>
      </c>
      <c r="C58" s="250"/>
      <c r="D58" s="250"/>
      <c r="E58" s="250"/>
      <c r="F58" s="250"/>
      <c r="G58" s="250"/>
      <c r="H58" s="221" t="s">
        <v>491</v>
      </c>
    </row>
    <row r="59" spans="2:8">
      <c r="B59" s="208" t="s">
        <v>409</v>
      </c>
      <c r="C59" s="250"/>
      <c r="D59" s="250"/>
      <c r="E59" s="250"/>
      <c r="F59" s="250"/>
      <c r="G59" s="250"/>
      <c r="H59" s="221" t="s">
        <v>495</v>
      </c>
    </row>
    <row r="60" spans="2:8">
      <c r="B60" s="255" t="s">
        <v>501</v>
      </c>
      <c r="C60" s="250"/>
      <c r="D60" s="250"/>
      <c r="E60" s="250"/>
      <c r="F60" s="250"/>
      <c r="G60" s="250"/>
      <c r="H60" s="221" t="s">
        <v>508</v>
      </c>
    </row>
    <row r="61" spans="2:8">
      <c r="B61" s="255" t="s">
        <v>433</v>
      </c>
      <c r="C61" s="250"/>
      <c r="D61" s="250"/>
      <c r="E61" s="250"/>
      <c r="F61" s="250"/>
      <c r="G61" s="250"/>
      <c r="H61" s="221" t="s">
        <v>510</v>
      </c>
    </row>
    <row r="62" spans="2:8">
      <c r="B62" s="208" t="s">
        <v>475</v>
      </c>
      <c r="C62" s="250"/>
      <c r="D62" s="250"/>
      <c r="E62" s="250"/>
      <c r="F62" s="250"/>
      <c r="G62" s="250"/>
      <c r="H62" s="221" t="s">
        <v>600</v>
      </c>
    </row>
    <row r="63" spans="2:8">
      <c r="B63" s="208" t="s">
        <v>399</v>
      </c>
      <c r="C63" s="250"/>
      <c r="D63" s="250"/>
      <c r="E63" s="250"/>
      <c r="F63" s="250"/>
      <c r="G63" s="250"/>
      <c r="H63" s="221" t="s">
        <v>517</v>
      </c>
    </row>
    <row r="64" spans="2:8">
      <c r="B64" s="208" t="s">
        <v>449</v>
      </c>
      <c r="C64" s="250"/>
      <c r="D64" s="250"/>
      <c r="E64" s="250"/>
      <c r="F64" s="250"/>
      <c r="G64" s="250"/>
      <c r="H64" s="250"/>
    </row>
    <row r="65" spans="2:8">
      <c r="B65" s="255" t="s">
        <v>374</v>
      </c>
      <c r="C65" s="250"/>
      <c r="D65" s="250"/>
      <c r="E65" s="250"/>
      <c r="F65" s="250"/>
      <c r="G65" s="250"/>
      <c r="H65" s="250"/>
    </row>
    <row r="66" spans="2:8">
      <c r="B66" s="208" t="s">
        <v>505</v>
      </c>
      <c r="C66" s="250"/>
      <c r="D66" s="250"/>
      <c r="E66" s="250"/>
      <c r="F66" s="250"/>
      <c r="G66" s="250"/>
      <c r="H66" s="250"/>
    </row>
    <row r="67" spans="2:8">
      <c r="B67" s="208" t="s">
        <v>438</v>
      </c>
      <c r="C67" s="250"/>
      <c r="D67" s="250"/>
      <c r="E67" s="250"/>
      <c r="F67" s="250"/>
      <c r="G67" s="250"/>
      <c r="H67" s="250"/>
    </row>
    <row r="68" spans="2:8">
      <c r="B68" s="208" t="s">
        <v>500</v>
      </c>
      <c r="C68" s="250"/>
      <c r="D68" s="250"/>
      <c r="E68" s="250"/>
      <c r="F68" s="250"/>
      <c r="G68" s="250"/>
      <c r="H68" s="250"/>
    </row>
    <row r="69" spans="2:8">
      <c r="B69" s="208" t="s">
        <v>476</v>
      </c>
      <c r="C69" s="250"/>
      <c r="D69" s="250"/>
      <c r="E69" s="250"/>
      <c r="F69" s="250"/>
      <c r="G69" s="250"/>
      <c r="H69" s="250"/>
    </row>
    <row r="70" spans="2:8">
      <c r="B70" s="208" t="s">
        <v>425</v>
      </c>
      <c r="C70" s="250"/>
      <c r="D70" s="250"/>
      <c r="E70" s="250"/>
      <c r="F70" s="250"/>
      <c r="G70" s="250"/>
      <c r="H70" s="250"/>
    </row>
    <row r="71" spans="2:8">
      <c r="B71" s="208" t="s">
        <v>506</v>
      </c>
      <c r="C71" s="250"/>
      <c r="D71" s="250"/>
      <c r="E71" s="250"/>
      <c r="F71" s="250"/>
      <c r="G71" s="250"/>
      <c r="H71" s="250"/>
    </row>
    <row r="72" spans="2:8">
      <c r="B72" s="208" t="s">
        <v>477</v>
      </c>
      <c r="C72" s="250"/>
      <c r="D72" s="250"/>
      <c r="E72" s="250"/>
      <c r="F72" s="250"/>
      <c r="G72" s="250"/>
      <c r="H72" s="250"/>
    </row>
    <row r="73" spans="2:8">
      <c r="B73" s="208" t="s">
        <v>490</v>
      </c>
      <c r="C73" s="250"/>
      <c r="D73" s="250"/>
      <c r="E73" s="250"/>
      <c r="F73" s="250"/>
      <c r="G73" s="250"/>
      <c r="H73" s="250"/>
    </row>
    <row r="74" spans="2:8">
      <c r="B74" s="208" t="s">
        <v>478</v>
      </c>
      <c r="C74" s="250"/>
      <c r="D74" s="250"/>
      <c r="E74" s="250"/>
      <c r="F74" s="250"/>
      <c r="G74" s="250"/>
      <c r="H74" s="250"/>
    </row>
    <row r="75" spans="2:8">
      <c r="B75" s="208" t="s">
        <v>379</v>
      </c>
      <c r="C75" s="250"/>
      <c r="D75" s="250"/>
      <c r="E75" s="250"/>
      <c r="F75" s="250"/>
      <c r="G75" s="250"/>
      <c r="H75" s="250"/>
    </row>
    <row r="76" spans="2:8">
      <c r="B76" s="208" t="s">
        <v>479</v>
      </c>
      <c r="C76" s="250"/>
      <c r="D76" s="250"/>
      <c r="E76" s="250"/>
      <c r="F76" s="250"/>
      <c r="G76" s="250"/>
      <c r="H76" s="250"/>
    </row>
    <row r="77" spans="2:8">
      <c r="B77" s="208" t="s">
        <v>489</v>
      </c>
      <c r="C77" s="250"/>
      <c r="D77" s="250"/>
      <c r="E77" s="250"/>
      <c r="F77" s="250"/>
      <c r="G77" s="250"/>
      <c r="H77" s="250"/>
    </row>
    <row r="78" spans="2:8">
      <c r="B78" s="208" t="s">
        <v>445</v>
      </c>
      <c r="C78" s="250"/>
      <c r="D78" s="250"/>
      <c r="E78" s="250"/>
      <c r="F78" s="250"/>
      <c r="G78" s="250"/>
      <c r="H78" s="250"/>
    </row>
    <row r="79" spans="2:8">
      <c r="B79" s="208" t="s">
        <v>446</v>
      </c>
      <c r="C79" s="250"/>
      <c r="D79" s="250"/>
      <c r="E79" s="250"/>
      <c r="F79" s="250"/>
      <c r="G79" s="250"/>
      <c r="H79" s="250"/>
    </row>
    <row r="80" spans="2:8">
      <c r="B80" s="255" t="s">
        <v>453</v>
      </c>
      <c r="C80" s="250"/>
      <c r="D80" s="250"/>
      <c r="E80" s="250"/>
      <c r="F80" s="250"/>
      <c r="G80" s="250"/>
      <c r="H80" s="250"/>
    </row>
    <row r="81" spans="2:8">
      <c r="B81" s="208" t="s">
        <v>480</v>
      </c>
      <c r="C81" s="250"/>
      <c r="D81" s="250"/>
      <c r="E81" s="250"/>
      <c r="F81" s="250"/>
      <c r="G81" s="250"/>
      <c r="H81" s="250"/>
    </row>
    <row r="82" spans="2:8">
      <c r="B82" s="254" t="s">
        <v>385</v>
      </c>
      <c r="C82" s="250"/>
      <c r="D82" s="250"/>
      <c r="E82" s="250"/>
      <c r="F82" s="250"/>
      <c r="G82" s="250"/>
      <c r="H82" s="250"/>
    </row>
    <row r="83" spans="2:8">
      <c r="B83" s="208" t="s">
        <v>397</v>
      </c>
      <c r="C83" s="250"/>
      <c r="D83" s="250"/>
      <c r="E83" s="250"/>
      <c r="F83" s="250"/>
      <c r="G83" s="250"/>
      <c r="H83" s="250"/>
    </row>
    <row r="84" spans="2:8">
      <c r="B84" s="208" t="s">
        <v>481</v>
      </c>
      <c r="C84" s="250"/>
      <c r="D84" s="250"/>
      <c r="E84" s="250"/>
      <c r="F84" s="250"/>
      <c r="G84" s="250"/>
      <c r="H84" s="250"/>
    </row>
    <row r="85" spans="2:8">
      <c r="B85" s="208" t="s">
        <v>380</v>
      </c>
      <c r="C85" s="250"/>
      <c r="D85" s="250"/>
      <c r="E85" s="250"/>
      <c r="F85" s="250"/>
      <c r="G85" s="250"/>
      <c r="H85" s="250"/>
    </row>
    <row r="86" spans="2:8">
      <c r="B86" s="208" t="s">
        <v>404</v>
      </c>
      <c r="C86" s="250"/>
      <c r="D86" s="250"/>
      <c r="E86" s="250"/>
      <c r="F86" s="250"/>
      <c r="G86" s="250"/>
      <c r="H86" s="250"/>
    </row>
    <row r="87" spans="2:8">
      <c r="B87" s="255" t="s">
        <v>415</v>
      </c>
      <c r="C87" s="250"/>
      <c r="D87" s="250"/>
      <c r="E87" s="250"/>
      <c r="F87" s="250"/>
      <c r="G87" s="250"/>
      <c r="H87" s="250"/>
    </row>
    <row r="88" spans="2:8">
      <c r="B88" s="208" t="s">
        <v>482</v>
      </c>
      <c r="C88" s="250"/>
      <c r="D88" s="250"/>
      <c r="E88" s="250"/>
      <c r="F88" s="250"/>
      <c r="G88" s="250"/>
      <c r="H88" s="250"/>
    </row>
    <row r="89" spans="2:8">
      <c r="B89" s="208" t="s">
        <v>483</v>
      </c>
      <c r="C89" s="250"/>
      <c r="D89" s="250"/>
      <c r="E89" s="250"/>
      <c r="F89" s="250"/>
      <c r="G89" s="250"/>
      <c r="H89" s="250"/>
    </row>
    <row r="90" spans="2:8">
      <c r="B90" s="206" t="s">
        <v>406</v>
      </c>
      <c r="C90" s="250"/>
      <c r="D90" s="250"/>
      <c r="E90" s="250"/>
      <c r="F90" s="250"/>
      <c r="G90" s="250"/>
      <c r="H90" s="250"/>
    </row>
    <row r="91" spans="2:8">
      <c r="B91" s="255" t="s">
        <v>416</v>
      </c>
      <c r="C91" s="250"/>
      <c r="D91" s="250"/>
      <c r="E91" s="250"/>
      <c r="F91" s="250"/>
      <c r="G91" s="250"/>
      <c r="H91" s="250"/>
    </row>
    <row r="92" spans="2:8">
      <c r="B92" s="255" t="s">
        <v>390</v>
      </c>
      <c r="C92" s="250"/>
      <c r="D92" s="250"/>
      <c r="E92" s="250"/>
      <c r="F92" s="250"/>
      <c r="G92" s="250"/>
      <c r="H92" s="250"/>
    </row>
    <row r="93" spans="2:8">
      <c r="B93" s="208" t="s">
        <v>497</v>
      </c>
      <c r="C93" s="250"/>
      <c r="D93" s="250"/>
      <c r="E93" s="250"/>
      <c r="F93" s="250"/>
      <c r="G93" s="250"/>
      <c r="H93" s="250"/>
    </row>
    <row r="94" spans="2:8">
      <c r="B94" s="206" t="s">
        <v>517</v>
      </c>
      <c r="C94" s="250"/>
      <c r="D94" s="250"/>
      <c r="E94" s="250"/>
      <c r="F94" s="250"/>
      <c r="G94" s="250"/>
      <c r="H94" s="250"/>
    </row>
    <row r="95" spans="2:8">
      <c r="B95" s="254" t="s">
        <v>384</v>
      </c>
      <c r="C95" s="250"/>
      <c r="D95" s="250"/>
      <c r="E95" s="250"/>
      <c r="F95" s="250"/>
      <c r="G95" s="250"/>
      <c r="H95" s="250"/>
    </row>
    <row r="96" spans="2:8">
      <c r="B96" s="254" t="s">
        <v>395</v>
      </c>
      <c r="C96" s="250"/>
      <c r="D96" s="250"/>
      <c r="E96" s="250"/>
      <c r="F96" s="250"/>
      <c r="G96" s="250"/>
      <c r="H96" s="250"/>
    </row>
    <row r="97" spans="2:8">
      <c r="B97" s="254" t="s">
        <v>408</v>
      </c>
      <c r="C97" s="250"/>
      <c r="D97" s="250"/>
      <c r="E97" s="250"/>
      <c r="F97" s="250"/>
      <c r="G97" s="250"/>
      <c r="H97" s="250"/>
    </row>
    <row r="98" spans="2:8">
      <c r="B98" s="208" t="s">
        <v>484</v>
      </c>
      <c r="C98" s="250"/>
      <c r="D98" s="250"/>
      <c r="E98" s="250"/>
      <c r="F98" s="250"/>
      <c r="G98" s="250"/>
      <c r="H98" s="250"/>
    </row>
    <row r="99" spans="2:8">
      <c r="B99" s="208" t="s">
        <v>491</v>
      </c>
      <c r="C99" s="250"/>
      <c r="D99" s="250"/>
      <c r="E99" s="250"/>
      <c r="F99" s="250"/>
      <c r="G99" s="250"/>
      <c r="H99" s="250"/>
    </row>
    <row r="100" spans="2:8">
      <c r="B100" s="208" t="s">
        <v>485</v>
      </c>
      <c r="C100" s="250"/>
      <c r="D100" s="250"/>
      <c r="E100" s="250"/>
      <c r="F100" s="250"/>
      <c r="G100" s="250"/>
      <c r="H100" s="250"/>
    </row>
    <row r="101" spans="2:8">
      <c r="B101" s="208" t="s">
        <v>426</v>
      </c>
      <c r="C101" s="250"/>
      <c r="D101" s="250"/>
      <c r="E101" s="250"/>
      <c r="F101" s="250"/>
      <c r="G101" s="250"/>
      <c r="H101" s="250"/>
    </row>
    <row r="102" spans="2:8">
      <c r="B102" s="208" t="s">
        <v>486</v>
      </c>
      <c r="C102" s="250"/>
      <c r="D102" s="250"/>
      <c r="E102" s="250"/>
      <c r="F102" s="250"/>
      <c r="G102" s="250"/>
      <c r="H102" s="250"/>
    </row>
    <row r="103" spans="2:8">
      <c r="B103" s="208" t="s">
        <v>427</v>
      </c>
      <c r="C103" s="250"/>
      <c r="D103" s="250"/>
      <c r="E103" s="250"/>
      <c r="F103" s="250"/>
      <c r="G103" s="250"/>
      <c r="H103" s="250"/>
    </row>
    <row r="104" spans="2:8">
      <c r="B104" s="208" t="s">
        <v>455</v>
      </c>
      <c r="C104" s="250"/>
      <c r="D104" s="250"/>
      <c r="E104" s="250"/>
      <c r="F104" s="250"/>
      <c r="G104" s="250"/>
      <c r="H104" s="250"/>
    </row>
    <row r="105" spans="2:8">
      <c r="B105" s="255" t="s">
        <v>393</v>
      </c>
      <c r="C105" s="250"/>
      <c r="D105" s="250"/>
      <c r="E105" s="250"/>
      <c r="F105" s="250"/>
      <c r="G105" s="250"/>
      <c r="H105" s="250"/>
    </row>
    <row r="106" spans="2:8">
      <c r="B106" s="208" t="s">
        <v>502</v>
      </c>
      <c r="C106" s="250"/>
      <c r="D106" s="250"/>
      <c r="E106" s="250"/>
      <c r="F106" s="250"/>
      <c r="G106" s="250"/>
      <c r="H106" s="250"/>
    </row>
    <row r="107" spans="2:8">
      <c r="B107" s="208" t="s">
        <v>410</v>
      </c>
      <c r="C107" s="250"/>
      <c r="D107" s="250"/>
      <c r="E107" s="250"/>
      <c r="F107" s="250"/>
      <c r="G107" s="250"/>
      <c r="H107" s="250"/>
    </row>
    <row r="108" spans="2:8">
      <c r="B108" s="208" t="s">
        <v>428</v>
      </c>
      <c r="C108" s="250"/>
      <c r="D108" s="250"/>
      <c r="E108" s="250"/>
      <c r="F108" s="250"/>
      <c r="G108" s="250"/>
      <c r="H108" s="250"/>
    </row>
    <row r="109" spans="2:8">
      <c r="B109" s="208" t="s">
        <v>437</v>
      </c>
      <c r="C109" s="250"/>
      <c r="D109" s="250"/>
      <c r="E109" s="250"/>
      <c r="F109" s="250"/>
      <c r="G109" s="250"/>
      <c r="H109" s="250"/>
    </row>
    <row r="110" spans="2:8">
      <c r="B110" s="208" t="s">
        <v>366</v>
      </c>
      <c r="C110" s="250"/>
      <c r="D110" s="250"/>
      <c r="E110" s="250"/>
      <c r="F110" s="250"/>
      <c r="G110" s="250"/>
      <c r="H110" s="250"/>
    </row>
    <row r="111" spans="2:8">
      <c r="B111" s="208" t="s">
        <v>495</v>
      </c>
      <c r="C111" s="250"/>
      <c r="D111" s="250"/>
      <c r="E111" s="250"/>
      <c r="F111" s="250"/>
      <c r="G111" s="250"/>
      <c r="H111" s="250"/>
    </row>
    <row r="112" spans="2:8">
      <c r="B112" s="208" t="s">
        <v>429</v>
      </c>
      <c r="C112" s="250"/>
      <c r="D112" s="250"/>
      <c r="E112" s="250"/>
      <c r="F112" s="250"/>
      <c r="G112" s="250"/>
      <c r="H112" s="250"/>
    </row>
    <row r="113" spans="2:8">
      <c r="B113" s="208" t="s">
        <v>508</v>
      </c>
      <c r="C113" s="250"/>
      <c r="D113" s="250"/>
      <c r="E113" s="250"/>
      <c r="F113" s="250"/>
      <c r="G113" s="250"/>
      <c r="H113" s="250"/>
    </row>
    <row r="114" spans="2:8">
      <c r="B114" s="206" t="s">
        <v>368</v>
      </c>
      <c r="C114" s="250"/>
      <c r="D114" s="250"/>
      <c r="E114" s="250"/>
      <c r="F114" s="250"/>
      <c r="G114" s="250"/>
      <c r="H114" s="250"/>
    </row>
    <row r="115" spans="2:8">
      <c r="B115" s="208" t="s">
        <v>375</v>
      </c>
      <c r="C115" s="250"/>
      <c r="D115" s="250"/>
      <c r="E115" s="250"/>
      <c r="F115" s="250"/>
      <c r="G115" s="250"/>
      <c r="H115" s="250"/>
    </row>
    <row r="116" spans="2:8">
      <c r="B116" s="208" t="s">
        <v>400</v>
      </c>
      <c r="C116" s="250"/>
      <c r="D116" s="250"/>
      <c r="E116" s="250"/>
      <c r="F116" s="250"/>
      <c r="G116" s="250"/>
      <c r="H116" s="250"/>
    </row>
    <row r="117" spans="2:8">
      <c r="B117" s="206" t="s">
        <v>439</v>
      </c>
      <c r="C117" s="250"/>
      <c r="D117" s="250"/>
      <c r="E117" s="250"/>
      <c r="F117" s="250"/>
      <c r="G117" s="250"/>
      <c r="H117" s="250"/>
    </row>
    <row r="118" spans="2:8">
      <c r="B118" s="208" t="s">
        <v>381</v>
      </c>
      <c r="C118" s="250"/>
      <c r="D118" s="250"/>
      <c r="E118" s="250"/>
      <c r="F118" s="250"/>
      <c r="G118" s="250"/>
      <c r="H118" s="250"/>
    </row>
    <row r="119" spans="2:8">
      <c r="B119" s="208" t="s">
        <v>487</v>
      </c>
      <c r="C119" s="250"/>
      <c r="D119" s="250"/>
      <c r="E119" s="250"/>
      <c r="F119" s="250"/>
      <c r="G119" s="250"/>
      <c r="H119" s="250"/>
    </row>
  </sheetData>
  <sortState xmlns:xlrd2="http://schemas.microsoft.com/office/spreadsheetml/2017/richdata2" ref="D2:D36">
    <sortCondition ref="D2:D36"/>
  </sortState>
  <mergeCells count="1">
    <mergeCell ref="J12:M13"/>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Rodrigo Hernan Arriaza Riquelme</cp:lastModifiedBy>
  <cp:revision/>
  <dcterms:created xsi:type="dcterms:W3CDTF">2006-09-16T00:00:00Z</dcterms:created>
  <dcterms:modified xsi:type="dcterms:W3CDTF">2024-07-03T20:03:56Z</dcterms:modified>
  <cp:category/>
  <cp:contentStatus/>
</cp:coreProperties>
</file>